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always" defaultThemeVersion="124226"/>
  <mc:AlternateContent xmlns:mc="http://schemas.openxmlformats.org/markup-compatibility/2006">
    <mc:Choice Requires="x15">
      <x15ac:absPath xmlns:x15ac="http://schemas.microsoft.com/office/spreadsheetml/2010/11/ac" url="C:\Users\planmalaysia\Downloads\"/>
    </mc:Choice>
  </mc:AlternateContent>
  <xr:revisionPtr revIDLastSave="0" documentId="13_ncr:1_{B5C60762-61F5-4AFF-A6CB-68B662BCE51D}" xr6:coauthVersionLast="47" xr6:coauthVersionMax="47" xr10:uidLastSave="{00000000-0000-0000-0000-000000000000}"/>
  <bookViews>
    <workbookView xWindow="-120" yWindow="-120" windowWidth="29040" windowHeight="15720" activeTab="1" xr2:uid="{00000000-000D-0000-FFFF-FFFF00000000}"/>
  </bookViews>
  <sheets>
    <sheet name="rekod" sheetId="1" r:id="rId1"/>
    <sheet name="Sheet3" sheetId="6" r:id="rId2"/>
    <sheet name="mesy pengarah neg" sheetId="3" r:id="rId3"/>
  </sheets>
  <definedNames>
    <definedName name="_xlnm._FilterDatabase" localSheetId="2" hidden="1">'mesy pengarah neg'!$A$13:$E$255</definedName>
    <definedName name="_xlnm._FilterDatabase" localSheetId="0" hidden="1">rekod!$A$3:$F$1445</definedName>
    <definedName name="_Hlk167378349" localSheetId="0">rekod!$H$297</definedName>
    <definedName name="_xlnm.Print_Area" localSheetId="2">'mesy pengarah neg'!$A$1:$F$247</definedName>
    <definedName name="_xlnm.Print_Area" localSheetId="0">rekod!$A$1:$F$400</definedName>
    <definedName name="_xlnm.Print_Titles" localSheetId="2">'mesy pengarah neg'!$1:$13</definedName>
    <definedName name="_xlnm.Print_Titles" localSheetId="0">rekod!$1:$3</definedName>
    <definedName name="Z_DFC52EC9_6B35_4ADC_A515_ABDCC01E7AD9_.wvu.FilterData" localSheetId="0" hidden="1">rekod!$A$3:$F$1445</definedName>
    <definedName name="Z_DFC52EC9_6B35_4ADC_A515_ABDCC01E7AD9_.wvu.PrintArea" localSheetId="0" hidden="1">rekod!$A$1:$F$49</definedName>
    <definedName name="Z_DFC52EC9_6B35_4ADC_A515_ABDCC01E7AD9_.wvu.PrintTitles" localSheetId="0" hidden="1">rekod!$1:$3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9" i="1" l="1"/>
  <c r="C387" i="1"/>
  <c r="C388" i="1"/>
  <c r="C395" i="1"/>
  <c r="C391" i="1"/>
  <c r="C389" i="1"/>
  <c r="AD393" i="1"/>
  <c r="Y393" i="1"/>
  <c r="X393" i="1"/>
  <c r="W393" i="1"/>
  <c r="V393" i="1"/>
  <c r="U393" i="1"/>
  <c r="T393" i="1"/>
  <c r="S393" i="1"/>
  <c r="R393" i="1"/>
  <c r="Q393" i="1"/>
  <c r="P393" i="1"/>
  <c r="O393" i="1"/>
  <c r="N393" i="1"/>
  <c r="M393" i="1"/>
  <c r="AD394" i="1"/>
  <c r="Y394" i="1"/>
  <c r="X394" i="1"/>
  <c r="W394" i="1"/>
  <c r="V394" i="1"/>
  <c r="U394" i="1"/>
  <c r="T394" i="1"/>
  <c r="S394" i="1"/>
  <c r="R394" i="1"/>
  <c r="Q394" i="1"/>
  <c r="P394" i="1"/>
  <c r="O394" i="1"/>
  <c r="N394" i="1"/>
  <c r="M394" i="1"/>
  <c r="AD385" i="1"/>
  <c r="Y385" i="1"/>
  <c r="X385" i="1"/>
  <c r="W385" i="1"/>
  <c r="V385" i="1"/>
  <c r="U385" i="1"/>
  <c r="T385" i="1"/>
  <c r="S385" i="1"/>
  <c r="R385" i="1"/>
  <c r="Q385" i="1"/>
  <c r="P385" i="1"/>
  <c r="O385" i="1"/>
  <c r="N385" i="1"/>
  <c r="M385" i="1"/>
  <c r="C385" i="1"/>
  <c r="AD382" i="1"/>
  <c r="Y382" i="1"/>
  <c r="X382" i="1"/>
  <c r="W382" i="1"/>
  <c r="V382" i="1"/>
  <c r="U382" i="1"/>
  <c r="T382" i="1"/>
  <c r="S382" i="1"/>
  <c r="R382" i="1"/>
  <c r="Q382" i="1"/>
  <c r="P382" i="1"/>
  <c r="O382" i="1"/>
  <c r="N382" i="1"/>
  <c r="M382" i="1"/>
  <c r="AD386" i="1"/>
  <c r="Y386" i="1"/>
  <c r="X386" i="1"/>
  <c r="W386" i="1"/>
  <c r="V386" i="1"/>
  <c r="U386" i="1"/>
  <c r="T386" i="1"/>
  <c r="S386" i="1"/>
  <c r="R386" i="1"/>
  <c r="Q386" i="1"/>
  <c r="P386" i="1"/>
  <c r="O386" i="1"/>
  <c r="N386" i="1"/>
  <c r="M386" i="1"/>
  <c r="C386" i="1"/>
  <c r="AD395" i="1"/>
  <c r="Y395" i="1"/>
  <c r="X395" i="1"/>
  <c r="W395" i="1"/>
  <c r="V395" i="1"/>
  <c r="U395" i="1"/>
  <c r="T395" i="1"/>
  <c r="S395" i="1"/>
  <c r="R395" i="1"/>
  <c r="Q395" i="1"/>
  <c r="P395" i="1"/>
  <c r="O395" i="1"/>
  <c r="N395" i="1"/>
  <c r="M395" i="1"/>
  <c r="AD506" i="1"/>
  <c r="Y506" i="1"/>
  <c r="X506" i="1"/>
  <c r="W506" i="1"/>
  <c r="V506" i="1"/>
  <c r="U506" i="1"/>
  <c r="T506" i="1"/>
  <c r="S506" i="1"/>
  <c r="R506" i="1"/>
  <c r="Q506" i="1"/>
  <c r="P506" i="1"/>
  <c r="O506" i="1"/>
  <c r="N506" i="1"/>
  <c r="M506" i="1"/>
  <c r="C506" i="1"/>
  <c r="A506" i="1"/>
  <c r="AD505" i="1"/>
  <c r="Y505" i="1"/>
  <c r="X505" i="1"/>
  <c r="W505" i="1"/>
  <c r="V505" i="1"/>
  <c r="U505" i="1"/>
  <c r="T505" i="1"/>
  <c r="S505" i="1"/>
  <c r="R505" i="1"/>
  <c r="Q505" i="1"/>
  <c r="P505" i="1"/>
  <c r="O505" i="1"/>
  <c r="N505" i="1"/>
  <c r="M505" i="1"/>
  <c r="C505" i="1"/>
  <c r="A505" i="1"/>
  <c r="AD504" i="1"/>
  <c r="Y504" i="1"/>
  <c r="X504" i="1"/>
  <c r="W504" i="1"/>
  <c r="V504" i="1"/>
  <c r="U504" i="1"/>
  <c r="T504" i="1"/>
  <c r="S504" i="1"/>
  <c r="R504" i="1"/>
  <c r="Q504" i="1"/>
  <c r="P504" i="1"/>
  <c r="O504" i="1"/>
  <c r="N504" i="1"/>
  <c r="M504" i="1"/>
  <c r="C504" i="1"/>
  <c r="A504" i="1"/>
  <c r="AD503" i="1"/>
  <c r="Y503" i="1"/>
  <c r="X503" i="1"/>
  <c r="W503" i="1"/>
  <c r="V503" i="1"/>
  <c r="U503" i="1"/>
  <c r="T503" i="1"/>
  <c r="S503" i="1"/>
  <c r="R503" i="1"/>
  <c r="Q503" i="1"/>
  <c r="P503" i="1"/>
  <c r="O503" i="1"/>
  <c r="N503" i="1"/>
  <c r="M503" i="1"/>
  <c r="C503" i="1"/>
  <c r="A503" i="1"/>
  <c r="AD502" i="1"/>
  <c r="Y502" i="1"/>
  <c r="X502" i="1"/>
  <c r="W502" i="1"/>
  <c r="V502" i="1"/>
  <c r="U502" i="1"/>
  <c r="T502" i="1"/>
  <c r="S502" i="1"/>
  <c r="R502" i="1"/>
  <c r="Q502" i="1"/>
  <c r="P502" i="1"/>
  <c r="O502" i="1"/>
  <c r="N502" i="1"/>
  <c r="M502" i="1"/>
  <c r="C502" i="1"/>
  <c r="A502" i="1"/>
  <c r="AD501" i="1"/>
  <c r="Y501" i="1"/>
  <c r="X501" i="1"/>
  <c r="W501" i="1"/>
  <c r="V501" i="1"/>
  <c r="U501" i="1"/>
  <c r="T501" i="1"/>
  <c r="S501" i="1"/>
  <c r="R501" i="1"/>
  <c r="Q501" i="1"/>
  <c r="P501" i="1"/>
  <c r="O501" i="1"/>
  <c r="N501" i="1"/>
  <c r="M501" i="1"/>
  <c r="C501" i="1"/>
  <c r="A501" i="1"/>
  <c r="AD500" i="1"/>
  <c r="Y500" i="1"/>
  <c r="X500" i="1"/>
  <c r="W500" i="1"/>
  <c r="V500" i="1"/>
  <c r="U500" i="1"/>
  <c r="T500" i="1"/>
  <c r="S500" i="1"/>
  <c r="R500" i="1"/>
  <c r="Q500" i="1"/>
  <c r="P500" i="1"/>
  <c r="O500" i="1"/>
  <c r="N500" i="1"/>
  <c r="M500" i="1"/>
  <c r="C500" i="1"/>
  <c r="A500" i="1"/>
  <c r="AD499" i="1"/>
  <c r="Y499" i="1"/>
  <c r="X499" i="1"/>
  <c r="W499" i="1"/>
  <c r="V499" i="1"/>
  <c r="U499" i="1"/>
  <c r="T499" i="1"/>
  <c r="S499" i="1"/>
  <c r="R499" i="1"/>
  <c r="Q499" i="1"/>
  <c r="P499" i="1"/>
  <c r="O499" i="1"/>
  <c r="N499" i="1"/>
  <c r="M499" i="1"/>
  <c r="C499" i="1"/>
  <c r="A499" i="1"/>
  <c r="AD498" i="1"/>
  <c r="Y498" i="1"/>
  <c r="X498" i="1"/>
  <c r="W498" i="1"/>
  <c r="V498" i="1"/>
  <c r="U498" i="1"/>
  <c r="T498" i="1"/>
  <c r="S498" i="1"/>
  <c r="R498" i="1"/>
  <c r="Q498" i="1"/>
  <c r="P498" i="1"/>
  <c r="O498" i="1"/>
  <c r="N498" i="1"/>
  <c r="M498" i="1"/>
  <c r="C498" i="1"/>
  <c r="A498" i="1"/>
  <c r="AD497" i="1"/>
  <c r="Y497" i="1"/>
  <c r="X497" i="1"/>
  <c r="W497" i="1"/>
  <c r="V497" i="1"/>
  <c r="U497" i="1"/>
  <c r="T497" i="1"/>
  <c r="S497" i="1"/>
  <c r="R497" i="1"/>
  <c r="Q497" i="1"/>
  <c r="P497" i="1"/>
  <c r="O497" i="1"/>
  <c r="N497" i="1"/>
  <c r="M497" i="1"/>
  <c r="C497" i="1"/>
  <c r="A497" i="1"/>
  <c r="AD496" i="1"/>
  <c r="Y496" i="1"/>
  <c r="X496" i="1"/>
  <c r="W496" i="1"/>
  <c r="V496" i="1"/>
  <c r="U496" i="1"/>
  <c r="T496" i="1"/>
  <c r="S496" i="1"/>
  <c r="R496" i="1"/>
  <c r="Q496" i="1"/>
  <c r="P496" i="1"/>
  <c r="O496" i="1"/>
  <c r="N496" i="1"/>
  <c r="M496" i="1"/>
  <c r="C496" i="1"/>
  <c r="A496" i="1"/>
  <c r="AD495" i="1"/>
  <c r="Y495" i="1"/>
  <c r="X495" i="1"/>
  <c r="W495" i="1"/>
  <c r="V495" i="1"/>
  <c r="U495" i="1"/>
  <c r="T495" i="1"/>
  <c r="S495" i="1"/>
  <c r="R495" i="1"/>
  <c r="Q495" i="1"/>
  <c r="P495" i="1"/>
  <c r="O495" i="1"/>
  <c r="N495" i="1"/>
  <c r="M495" i="1"/>
  <c r="C495" i="1"/>
  <c r="A495" i="1"/>
  <c r="AD494" i="1"/>
  <c r="Y494" i="1"/>
  <c r="X494" i="1"/>
  <c r="W494" i="1"/>
  <c r="V494" i="1"/>
  <c r="U494" i="1"/>
  <c r="T494" i="1"/>
  <c r="S494" i="1"/>
  <c r="R494" i="1"/>
  <c r="Q494" i="1"/>
  <c r="P494" i="1"/>
  <c r="O494" i="1"/>
  <c r="N494" i="1"/>
  <c r="M494" i="1"/>
  <c r="C494" i="1"/>
  <c r="A494" i="1"/>
  <c r="AD493" i="1"/>
  <c r="Y493" i="1"/>
  <c r="X493" i="1"/>
  <c r="W493" i="1"/>
  <c r="V493" i="1"/>
  <c r="U493" i="1"/>
  <c r="T493" i="1"/>
  <c r="S493" i="1"/>
  <c r="R493" i="1"/>
  <c r="Q493" i="1"/>
  <c r="P493" i="1"/>
  <c r="O493" i="1"/>
  <c r="N493" i="1"/>
  <c r="M493" i="1"/>
  <c r="C493" i="1"/>
  <c r="A493" i="1"/>
  <c r="AD492" i="1"/>
  <c r="Y492" i="1"/>
  <c r="X492" i="1"/>
  <c r="W492" i="1"/>
  <c r="V492" i="1"/>
  <c r="U492" i="1"/>
  <c r="T492" i="1"/>
  <c r="S492" i="1"/>
  <c r="R492" i="1"/>
  <c r="Q492" i="1"/>
  <c r="P492" i="1"/>
  <c r="O492" i="1"/>
  <c r="N492" i="1"/>
  <c r="M492" i="1"/>
  <c r="C492" i="1"/>
  <c r="A492" i="1"/>
  <c r="AD491" i="1"/>
  <c r="Y491" i="1"/>
  <c r="X491" i="1"/>
  <c r="W491" i="1"/>
  <c r="V491" i="1"/>
  <c r="U491" i="1"/>
  <c r="T491" i="1"/>
  <c r="S491" i="1"/>
  <c r="R491" i="1"/>
  <c r="Q491" i="1"/>
  <c r="P491" i="1"/>
  <c r="O491" i="1"/>
  <c r="N491" i="1"/>
  <c r="M491" i="1"/>
  <c r="C491" i="1"/>
  <c r="A491" i="1"/>
  <c r="AD508" i="1"/>
  <c r="Y508" i="1"/>
  <c r="X508" i="1"/>
  <c r="W508" i="1"/>
  <c r="V508" i="1"/>
  <c r="U508" i="1"/>
  <c r="T508" i="1"/>
  <c r="S508" i="1"/>
  <c r="R508" i="1"/>
  <c r="Q508" i="1"/>
  <c r="P508" i="1"/>
  <c r="O508" i="1"/>
  <c r="N508" i="1"/>
  <c r="M508" i="1"/>
  <c r="C508" i="1"/>
  <c r="A508" i="1"/>
  <c r="AD507" i="1"/>
  <c r="Y507" i="1"/>
  <c r="X507" i="1"/>
  <c r="W507" i="1"/>
  <c r="V507" i="1"/>
  <c r="U507" i="1"/>
  <c r="T507" i="1"/>
  <c r="S507" i="1"/>
  <c r="R507" i="1"/>
  <c r="Q507" i="1"/>
  <c r="P507" i="1"/>
  <c r="O507" i="1"/>
  <c r="N507" i="1"/>
  <c r="M507" i="1"/>
  <c r="C507" i="1"/>
  <c r="A507" i="1"/>
  <c r="AD490" i="1"/>
  <c r="Y490" i="1"/>
  <c r="X490" i="1"/>
  <c r="W490" i="1"/>
  <c r="V490" i="1"/>
  <c r="U490" i="1"/>
  <c r="T490" i="1"/>
  <c r="S490" i="1"/>
  <c r="R490" i="1"/>
  <c r="Q490" i="1"/>
  <c r="P490" i="1"/>
  <c r="O490" i="1"/>
  <c r="N490" i="1"/>
  <c r="M490" i="1"/>
  <c r="C490" i="1"/>
  <c r="A490" i="1"/>
  <c r="AD489" i="1"/>
  <c r="Y489" i="1"/>
  <c r="X489" i="1"/>
  <c r="W489" i="1"/>
  <c r="V489" i="1"/>
  <c r="U489" i="1"/>
  <c r="T489" i="1"/>
  <c r="S489" i="1"/>
  <c r="R489" i="1"/>
  <c r="Q489" i="1"/>
  <c r="P489" i="1"/>
  <c r="O489" i="1"/>
  <c r="N489" i="1"/>
  <c r="M489" i="1"/>
  <c r="C489" i="1"/>
  <c r="A489" i="1"/>
  <c r="AD488" i="1"/>
  <c r="Y488" i="1"/>
  <c r="X488" i="1"/>
  <c r="W488" i="1"/>
  <c r="V488" i="1"/>
  <c r="U488" i="1"/>
  <c r="T488" i="1"/>
  <c r="S488" i="1"/>
  <c r="R488" i="1"/>
  <c r="Q488" i="1"/>
  <c r="P488" i="1"/>
  <c r="O488" i="1"/>
  <c r="N488" i="1"/>
  <c r="M488" i="1"/>
  <c r="C488" i="1"/>
  <c r="A488" i="1"/>
  <c r="AD487" i="1"/>
  <c r="Y487" i="1"/>
  <c r="X487" i="1"/>
  <c r="W487" i="1"/>
  <c r="V487" i="1"/>
  <c r="U487" i="1"/>
  <c r="T487" i="1"/>
  <c r="S487" i="1"/>
  <c r="R487" i="1"/>
  <c r="Q487" i="1"/>
  <c r="P487" i="1"/>
  <c r="O487" i="1"/>
  <c r="N487" i="1"/>
  <c r="M487" i="1"/>
  <c r="C487" i="1"/>
  <c r="A487" i="1"/>
  <c r="AD486" i="1"/>
  <c r="Y486" i="1"/>
  <c r="X486" i="1"/>
  <c r="W486" i="1"/>
  <c r="V486" i="1"/>
  <c r="U486" i="1"/>
  <c r="T486" i="1"/>
  <c r="S486" i="1"/>
  <c r="R486" i="1"/>
  <c r="Q486" i="1"/>
  <c r="P486" i="1"/>
  <c r="O486" i="1"/>
  <c r="N486" i="1"/>
  <c r="M486" i="1"/>
  <c r="C486" i="1"/>
  <c r="A486" i="1"/>
  <c r="AD485" i="1"/>
  <c r="Y485" i="1"/>
  <c r="X485" i="1"/>
  <c r="W485" i="1"/>
  <c r="V485" i="1"/>
  <c r="U485" i="1"/>
  <c r="T485" i="1"/>
  <c r="S485" i="1"/>
  <c r="R485" i="1"/>
  <c r="Q485" i="1"/>
  <c r="P485" i="1"/>
  <c r="O485" i="1"/>
  <c r="N485" i="1"/>
  <c r="M485" i="1"/>
  <c r="C485" i="1"/>
  <c r="A485" i="1"/>
  <c r="AD484" i="1"/>
  <c r="Y484" i="1"/>
  <c r="X484" i="1"/>
  <c r="W484" i="1"/>
  <c r="V484" i="1"/>
  <c r="U484" i="1"/>
  <c r="T484" i="1"/>
  <c r="S484" i="1"/>
  <c r="R484" i="1"/>
  <c r="Q484" i="1"/>
  <c r="P484" i="1"/>
  <c r="O484" i="1"/>
  <c r="N484" i="1"/>
  <c r="M484" i="1"/>
  <c r="C484" i="1"/>
  <c r="A484" i="1"/>
  <c r="AD483" i="1"/>
  <c r="Y483" i="1"/>
  <c r="X483" i="1"/>
  <c r="W483" i="1"/>
  <c r="V483" i="1"/>
  <c r="U483" i="1"/>
  <c r="T483" i="1"/>
  <c r="S483" i="1"/>
  <c r="R483" i="1"/>
  <c r="Q483" i="1"/>
  <c r="P483" i="1"/>
  <c r="O483" i="1"/>
  <c r="N483" i="1"/>
  <c r="M483" i="1"/>
  <c r="C483" i="1"/>
  <c r="A483" i="1"/>
  <c r="AD482" i="1"/>
  <c r="Y482" i="1"/>
  <c r="X482" i="1"/>
  <c r="W482" i="1"/>
  <c r="V482" i="1"/>
  <c r="U482" i="1"/>
  <c r="T482" i="1"/>
  <c r="S482" i="1"/>
  <c r="R482" i="1"/>
  <c r="Q482" i="1"/>
  <c r="P482" i="1"/>
  <c r="O482" i="1"/>
  <c r="N482" i="1"/>
  <c r="M482" i="1"/>
  <c r="C482" i="1"/>
  <c r="A482" i="1"/>
  <c r="AD481" i="1"/>
  <c r="Y481" i="1"/>
  <c r="X481" i="1"/>
  <c r="W481" i="1"/>
  <c r="V481" i="1"/>
  <c r="U481" i="1"/>
  <c r="T481" i="1"/>
  <c r="S481" i="1"/>
  <c r="R481" i="1"/>
  <c r="Q481" i="1"/>
  <c r="P481" i="1"/>
  <c r="O481" i="1"/>
  <c r="N481" i="1"/>
  <c r="M481" i="1"/>
  <c r="C481" i="1"/>
  <c r="A481" i="1"/>
  <c r="AD480" i="1"/>
  <c r="Y480" i="1"/>
  <c r="X480" i="1"/>
  <c r="W480" i="1"/>
  <c r="V480" i="1"/>
  <c r="U480" i="1"/>
  <c r="T480" i="1"/>
  <c r="S480" i="1"/>
  <c r="R480" i="1"/>
  <c r="Q480" i="1"/>
  <c r="P480" i="1"/>
  <c r="O480" i="1"/>
  <c r="N480" i="1"/>
  <c r="M480" i="1"/>
  <c r="C480" i="1"/>
  <c r="A480" i="1"/>
  <c r="AD479" i="1"/>
  <c r="Y479" i="1"/>
  <c r="X479" i="1"/>
  <c r="W479" i="1"/>
  <c r="V479" i="1"/>
  <c r="U479" i="1"/>
  <c r="T479" i="1"/>
  <c r="S479" i="1"/>
  <c r="R479" i="1"/>
  <c r="Q479" i="1"/>
  <c r="P479" i="1"/>
  <c r="O479" i="1"/>
  <c r="N479" i="1"/>
  <c r="M479" i="1"/>
  <c r="C479" i="1"/>
  <c r="A479" i="1"/>
  <c r="AD478" i="1"/>
  <c r="Y478" i="1"/>
  <c r="X478" i="1"/>
  <c r="W478" i="1"/>
  <c r="V478" i="1"/>
  <c r="U478" i="1"/>
  <c r="T478" i="1"/>
  <c r="S478" i="1"/>
  <c r="R478" i="1"/>
  <c r="Q478" i="1"/>
  <c r="P478" i="1"/>
  <c r="O478" i="1"/>
  <c r="N478" i="1"/>
  <c r="M478" i="1"/>
  <c r="C478" i="1"/>
  <c r="A478" i="1"/>
  <c r="C378" i="1"/>
  <c r="C383" i="1"/>
  <c r="C375" i="1"/>
  <c r="C374" i="1"/>
  <c r="C371" i="1"/>
  <c r="C370" i="1"/>
  <c r="C367" i="1"/>
  <c r="C366" i="1"/>
  <c r="AD365" i="1"/>
  <c r="Y365" i="1"/>
  <c r="X365" i="1"/>
  <c r="W365" i="1"/>
  <c r="V365" i="1"/>
  <c r="U365" i="1"/>
  <c r="T365" i="1"/>
  <c r="S365" i="1"/>
  <c r="R365" i="1"/>
  <c r="Q365" i="1"/>
  <c r="P365" i="1"/>
  <c r="O365" i="1"/>
  <c r="N365" i="1"/>
  <c r="M365" i="1"/>
  <c r="C365" i="1"/>
  <c r="C360" i="1"/>
  <c r="C361" i="1"/>
  <c r="C356" i="1"/>
  <c r="C357" i="1"/>
  <c r="C358" i="1"/>
  <c r="C359" i="1"/>
  <c r="B28" i="6"/>
  <c r="B27" i="6"/>
  <c r="B26" i="6"/>
  <c r="B25" i="6"/>
  <c r="B24" i="6"/>
  <c r="F23" i="6"/>
  <c r="E23" i="6"/>
  <c r="D23" i="6"/>
  <c r="C23" i="6"/>
  <c r="F22" i="6"/>
  <c r="E22" i="6"/>
  <c r="D22" i="6"/>
  <c r="C22" i="6"/>
  <c r="F21" i="6"/>
  <c r="E21" i="6"/>
  <c r="D21" i="6"/>
  <c r="C21" i="6"/>
  <c r="F20" i="6"/>
  <c r="E20" i="6"/>
  <c r="D20" i="6"/>
  <c r="C20" i="6"/>
  <c r="F19" i="6"/>
  <c r="E19" i="6"/>
  <c r="D19" i="6"/>
  <c r="C19" i="6"/>
  <c r="F18" i="6"/>
  <c r="E18" i="6"/>
  <c r="D18" i="6"/>
  <c r="C18" i="6"/>
  <c r="F17" i="6"/>
  <c r="E17" i="6"/>
  <c r="D17" i="6"/>
  <c r="C17" i="6"/>
  <c r="F16" i="6"/>
  <c r="E16" i="6"/>
  <c r="D16" i="6"/>
  <c r="C16" i="6"/>
  <c r="F15" i="6"/>
  <c r="E15" i="6"/>
  <c r="D15" i="6"/>
  <c r="C15" i="6"/>
  <c r="F14" i="6"/>
  <c r="E14" i="6"/>
  <c r="D14" i="6"/>
  <c r="C14" i="6"/>
  <c r="F13" i="6"/>
  <c r="E13" i="6"/>
  <c r="D13" i="6"/>
  <c r="C13" i="6"/>
  <c r="C12" i="6"/>
  <c r="F12" i="6"/>
  <c r="E12" i="6"/>
  <c r="D12" i="6"/>
  <c r="F11" i="6"/>
  <c r="E11" i="6"/>
  <c r="D11" i="6"/>
  <c r="C11" i="6"/>
  <c r="F10" i="6"/>
  <c r="E10" i="6"/>
  <c r="D10" i="6"/>
  <c r="C10" i="6"/>
  <c r="B23" i="6"/>
  <c r="B22" i="6"/>
  <c r="B21" i="6"/>
  <c r="B20" i="6"/>
  <c r="AD343" i="1"/>
  <c r="Y343" i="1"/>
  <c r="X343" i="1"/>
  <c r="W343" i="1"/>
  <c r="V343" i="1"/>
  <c r="U343" i="1"/>
  <c r="T343" i="1"/>
  <c r="S343" i="1"/>
  <c r="R343" i="1"/>
  <c r="Q343" i="1"/>
  <c r="P343" i="1"/>
  <c r="O343" i="1"/>
  <c r="N343" i="1"/>
  <c r="M343" i="1"/>
  <c r="AD342" i="1"/>
  <c r="Y342" i="1"/>
  <c r="X342" i="1"/>
  <c r="W342" i="1"/>
  <c r="V342" i="1"/>
  <c r="U342" i="1"/>
  <c r="T342" i="1"/>
  <c r="S342" i="1"/>
  <c r="R342" i="1"/>
  <c r="Q342" i="1"/>
  <c r="P342" i="1"/>
  <c r="O342" i="1"/>
  <c r="N342" i="1"/>
  <c r="M342" i="1"/>
  <c r="AD341" i="1"/>
  <c r="Y341" i="1"/>
  <c r="X341" i="1"/>
  <c r="W341" i="1"/>
  <c r="V341" i="1"/>
  <c r="U341" i="1"/>
  <c r="T341" i="1"/>
  <c r="S341" i="1"/>
  <c r="R341" i="1"/>
  <c r="Q341" i="1"/>
  <c r="P341" i="1"/>
  <c r="O341" i="1"/>
  <c r="N341" i="1"/>
  <c r="M341" i="1"/>
  <c r="AD333" i="1"/>
  <c r="Y333" i="1"/>
  <c r="X333" i="1"/>
  <c r="W333" i="1"/>
  <c r="V333" i="1"/>
  <c r="U333" i="1"/>
  <c r="T333" i="1"/>
  <c r="S333" i="1"/>
  <c r="R333" i="1"/>
  <c r="Q333" i="1"/>
  <c r="P333" i="1"/>
  <c r="O333" i="1"/>
  <c r="N333" i="1"/>
  <c r="M333" i="1"/>
  <c r="C343" i="1"/>
  <c r="C342" i="1"/>
  <c r="C331" i="1"/>
  <c r="C337" i="1"/>
  <c r="C336" i="1"/>
  <c r="C335" i="1"/>
  <c r="C240" i="1"/>
  <c r="C307" i="1"/>
  <c r="M307" i="1"/>
  <c r="N307" i="1"/>
  <c r="O307" i="1"/>
  <c r="P307" i="1"/>
  <c r="Q307" i="1"/>
  <c r="R307" i="1"/>
  <c r="S307" i="1"/>
  <c r="T307" i="1"/>
  <c r="U307" i="1"/>
  <c r="V307" i="1"/>
  <c r="W307" i="1"/>
  <c r="X307" i="1"/>
  <c r="Y307" i="1"/>
  <c r="AD307" i="1"/>
  <c r="C308" i="1"/>
  <c r="M308" i="1"/>
  <c r="N308" i="1"/>
  <c r="O308" i="1"/>
  <c r="P308" i="1"/>
  <c r="Q308" i="1"/>
  <c r="R308" i="1"/>
  <c r="S308" i="1"/>
  <c r="T308" i="1"/>
  <c r="U308" i="1"/>
  <c r="V308" i="1"/>
  <c r="W308" i="1"/>
  <c r="X308" i="1"/>
  <c r="Y308" i="1"/>
  <c r="AD308" i="1"/>
  <c r="AD329" i="1"/>
  <c r="Y329" i="1"/>
  <c r="X329" i="1"/>
  <c r="W329" i="1"/>
  <c r="V329" i="1"/>
  <c r="U329" i="1"/>
  <c r="T329" i="1"/>
  <c r="S329" i="1"/>
  <c r="R329" i="1"/>
  <c r="Q329" i="1"/>
  <c r="P329" i="1"/>
  <c r="O329" i="1"/>
  <c r="N329" i="1"/>
  <c r="M329" i="1"/>
  <c r="C329" i="1"/>
  <c r="AD328" i="1"/>
  <c r="Y328" i="1"/>
  <c r="X328" i="1"/>
  <c r="W328" i="1"/>
  <c r="V328" i="1"/>
  <c r="U328" i="1"/>
  <c r="T328" i="1"/>
  <c r="S328" i="1"/>
  <c r="R328" i="1"/>
  <c r="Q328" i="1"/>
  <c r="P328" i="1"/>
  <c r="O328" i="1"/>
  <c r="N328" i="1"/>
  <c r="M328" i="1"/>
  <c r="C328" i="1"/>
  <c r="C322" i="1"/>
  <c r="AD319" i="1"/>
  <c r="Y319" i="1"/>
  <c r="X319" i="1"/>
  <c r="W319" i="1"/>
  <c r="V319" i="1"/>
  <c r="U319" i="1"/>
  <c r="T319" i="1"/>
  <c r="S319" i="1"/>
  <c r="R319" i="1"/>
  <c r="Q319" i="1"/>
  <c r="P319" i="1"/>
  <c r="O319" i="1"/>
  <c r="N319" i="1"/>
  <c r="M319" i="1"/>
  <c r="C319" i="1"/>
  <c r="AD318" i="1"/>
  <c r="Y318" i="1"/>
  <c r="X318" i="1"/>
  <c r="W318" i="1"/>
  <c r="V318" i="1"/>
  <c r="U318" i="1"/>
  <c r="T318" i="1"/>
  <c r="S318" i="1"/>
  <c r="R318" i="1"/>
  <c r="Q318" i="1"/>
  <c r="P318" i="1"/>
  <c r="O318" i="1"/>
  <c r="N318" i="1"/>
  <c r="M318" i="1"/>
  <c r="C318" i="1"/>
  <c r="C320" i="1"/>
  <c r="Y524" i="1"/>
  <c r="Y523" i="1"/>
  <c r="Y522" i="1"/>
  <c r="Y521" i="1"/>
  <c r="Y520" i="1"/>
  <c r="Y519" i="1"/>
  <c r="Y518" i="1"/>
  <c r="Y517" i="1"/>
  <c r="Y516" i="1"/>
  <c r="Y515" i="1"/>
  <c r="Y514" i="1"/>
  <c r="Y513" i="1"/>
  <c r="Y512" i="1"/>
  <c r="Y511" i="1"/>
  <c r="Y510" i="1"/>
  <c r="Y509"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81" i="1"/>
  <c r="Y380" i="1"/>
  <c r="Y379" i="1"/>
  <c r="Y378" i="1"/>
  <c r="Y383" i="1"/>
  <c r="Y377" i="1"/>
  <c r="Y376" i="1"/>
  <c r="Y375" i="1"/>
  <c r="Y374" i="1"/>
  <c r="Y373" i="1"/>
  <c r="Y372" i="1"/>
  <c r="Y371" i="1"/>
  <c r="Y370" i="1"/>
  <c r="Y369" i="1"/>
  <c r="Y368" i="1"/>
  <c r="Y367" i="1"/>
  <c r="Y366" i="1"/>
  <c r="Y364" i="1"/>
  <c r="Y363" i="1"/>
  <c r="Y361" i="1"/>
  <c r="Y360" i="1"/>
  <c r="Y359" i="1"/>
  <c r="Y358" i="1"/>
  <c r="Y357" i="1"/>
  <c r="Y356" i="1"/>
  <c r="Y355" i="1"/>
  <c r="Y353" i="1"/>
  <c r="Y352" i="1"/>
  <c r="Y351" i="1"/>
  <c r="Y350" i="1"/>
  <c r="Y349" i="1"/>
  <c r="Y348" i="1"/>
  <c r="Y347" i="1"/>
  <c r="Y346" i="1"/>
  <c r="Y345" i="1"/>
  <c r="Y344" i="1"/>
  <c r="Y340" i="1"/>
  <c r="Y339" i="1"/>
  <c r="Y338" i="1"/>
  <c r="Y337" i="1"/>
  <c r="Y336" i="1"/>
  <c r="Y335" i="1"/>
  <c r="Y334" i="1"/>
  <c r="Y332" i="1"/>
  <c r="Y331" i="1"/>
  <c r="Y330" i="1"/>
  <c r="Y327" i="1"/>
  <c r="Y326" i="1"/>
  <c r="Y325" i="1"/>
  <c r="Y324" i="1"/>
  <c r="Y323" i="1"/>
  <c r="Y321" i="1"/>
  <c r="Y320" i="1"/>
  <c r="Y317" i="1"/>
  <c r="Y316" i="1"/>
  <c r="Y315" i="1"/>
  <c r="Y314" i="1"/>
  <c r="Y313" i="1"/>
  <c r="Y312" i="1"/>
  <c r="Y311" i="1"/>
  <c r="Y310" i="1"/>
  <c r="Y309" i="1"/>
  <c r="Y306" i="1"/>
  <c r="Y305" i="1"/>
  <c r="Y304" i="1"/>
  <c r="Y303" i="1"/>
  <c r="Y302" i="1"/>
  <c r="Y301"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C303" i="1"/>
  <c r="C301" i="1"/>
  <c r="C304" i="1"/>
  <c r="C291" i="1"/>
  <c r="C290" i="1"/>
  <c r="C289" i="1"/>
  <c r="C288" i="1"/>
  <c r="C287" i="1"/>
  <c r="C284" i="1"/>
  <c r="C283" i="1"/>
  <c r="C282" i="1"/>
  <c r="C281" i="1"/>
  <c r="C276" i="1"/>
  <c r="C267" i="1"/>
  <c r="C268" i="1"/>
  <c r="C262" i="1"/>
  <c r="F29" i="6" l="1"/>
  <c r="D29" i="6"/>
  <c r="C29" i="6"/>
  <c r="E29" i="6"/>
  <c r="Y525" i="1"/>
  <c r="Y1" i="1" s="1"/>
  <c r="AD524" i="1"/>
  <c r="X524" i="1"/>
  <c r="W524" i="1"/>
  <c r="V524" i="1"/>
  <c r="U524" i="1"/>
  <c r="T524" i="1"/>
  <c r="S524" i="1"/>
  <c r="R524" i="1"/>
  <c r="Q524" i="1"/>
  <c r="P524" i="1"/>
  <c r="O524" i="1"/>
  <c r="N524" i="1"/>
  <c r="M524" i="1"/>
  <c r="AD523" i="1"/>
  <c r="X523" i="1"/>
  <c r="W523" i="1"/>
  <c r="V523" i="1"/>
  <c r="U523" i="1"/>
  <c r="T523" i="1"/>
  <c r="S523" i="1"/>
  <c r="R523" i="1"/>
  <c r="Q523" i="1"/>
  <c r="P523" i="1"/>
  <c r="O523" i="1"/>
  <c r="N523" i="1"/>
  <c r="M523" i="1"/>
  <c r="AD522" i="1"/>
  <c r="X522" i="1"/>
  <c r="W522" i="1"/>
  <c r="V522" i="1"/>
  <c r="U522" i="1"/>
  <c r="T522" i="1"/>
  <c r="S522" i="1"/>
  <c r="R522" i="1"/>
  <c r="Q522" i="1"/>
  <c r="P522" i="1"/>
  <c r="O522" i="1"/>
  <c r="N522" i="1"/>
  <c r="M522" i="1"/>
  <c r="AD521" i="1"/>
  <c r="X521" i="1"/>
  <c r="W521" i="1"/>
  <c r="V521" i="1"/>
  <c r="U521" i="1"/>
  <c r="T521" i="1"/>
  <c r="S521" i="1"/>
  <c r="R521" i="1"/>
  <c r="Q521" i="1"/>
  <c r="P521" i="1"/>
  <c r="O521" i="1"/>
  <c r="N521" i="1"/>
  <c r="M521" i="1"/>
  <c r="AD520" i="1"/>
  <c r="X520" i="1"/>
  <c r="W520" i="1"/>
  <c r="V520" i="1"/>
  <c r="U520" i="1"/>
  <c r="T520" i="1"/>
  <c r="S520" i="1"/>
  <c r="R520" i="1"/>
  <c r="Q520" i="1"/>
  <c r="P520" i="1"/>
  <c r="O520" i="1"/>
  <c r="N520" i="1"/>
  <c r="M520" i="1"/>
  <c r="AD519" i="1"/>
  <c r="X519" i="1"/>
  <c r="W519" i="1"/>
  <c r="V519" i="1"/>
  <c r="U519" i="1"/>
  <c r="T519" i="1"/>
  <c r="S519" i="1"/>
  <c r="R519" i="1"/>
  <c r="Q519" i="1"/>
  <c r="P519" i="1"/>
  <c r="O519" i="1"/>
  <c r="N519" i="1"/>
  <c r="M519" i="1"/>
  <c r="AD518" i="1"/>
  <c r="X518" i="1"/>
  <c r="W518" i="1"/>
  <c r="V518" i="1"/>
  <c r="U518" i="1"/>
  <c r="T518" i="1"/>
  <c r="S518" i="1"/>
  <c r="R518" i="1"/>
  <c r="Q518" i="1"/>
  <c r="P518" i="1"/>
  <c r="O518" i="1"/>
  <c r="N518" i="1"/>
  <c r="M518" i="1"/>
  <c r="AD517" i="1"/>
  <c r="X517" i="1"/>
  <c r="W517" i="1"/>
  <c r="V517" i="1"/>
  <c r="U517" i="1"/>
  <c r="T517" i="1"/>
  <c r="S517" i="1"/>
  <c r="R517" i="1"/>
  <c r="Q517" i="1"/>
  <c r="P517" i="1"/>
  <c r="O517" i="1"/>
  <c r="N517" i="1"/>
  <c r="M517" i="1"/>
  <c r="AD516" i="1"/>
  <c r="X516" i="1"/>
  <c r="W516" i="1"/>
  <c r="V516" i="1"/>
  <c r="U516" i="1"/>
  <c r="T516" i="1"/>
  <c r="S516" i="1"/>
  <c r="R516" i="1"/>
  <c r="Q516" i="1"/>
  <c r="P516" i="1"/>
  <c r="O516" i="1"/>
  <c r="N516" i="1"/>
  <c r="M516" i="1"/>
  <c r="AD515" i="1"/>
  <c r="X515" i="1"/>
  <c r="W515" i="1"/>
  <c r="V515" i="1"/>
  <c r="U515" i="1"/>
  <c r="T515" i="1"/>
  <c r="S515" i="1"/>
  <c r="R515" i="1"/>
  <c r="Q515" i="1"/>
  <c r="P515" i="1"/>
  <c r="O515" i="1"/>
  <c r="N515" i="1"/>
  <c r="M515" i="1"/>
  <c r="AD514" i="1"/>
  <c r="X514" i="1"/>
  <c r="W514" i="1"/>
  <c r="V514" i="1"/>
  <c r="U514" i="1"/>
  <c r="T514" i="1"/>
  <c r="S514" i="1"/>
  <c r="R514" i="1"/>
  <c r="Q514" i="1"/>
  <c r="P514" i="1"/>
  <c r="O514" i="1"/>
  <c r="N514" i="1"/>
  <c r="M514" i="1"/>
  <c r="AD513" i="1"/>
  <c r="X513" i="1"/>
  <c r="W513" i="1"/>
  <c r="V513" i="1"/>
  <c r="U513" i="1"/>
  <c r="T513" i="1"/>
  <c r="S513" i="1"/>
  <c r="R513" i="1"/>
  <c r="Q513" i="1"/>
  <c r="P513" i="1"/>
  <c r="O513" i="1"/>
  <c r="N513" i="1"/>
  <c r="M513" i="1"/>
  <c r="AD512" i="1"/>
  <c r="X512" i="1"/>
  <c r="W512" i="1"/>
  <c r="V512" i="1"/>
  <c r="U512" i="1"/>
  <c r="T512" i="1"/>
  <c r="S512" i="1"/>
  <c r="R512" i="1"/>
  <c r="Q512" i="1"/>
  <c r="P512" i="1"/>
  <c r="O512" i="1"/>
  <c r="N512" i="1"/>
  <c r="M512" i="1"/>
  <c r="AD511" i="1"/>
  <c r="X511" i="1"/>
  <c r="W511" i="1"/>
  <c r="V511" i="1"/>
  <c r="U511" i="1"/>
  <c r="T511" i="1"/>
  <c r="S511" i="1"/>
  <c r="R511" i="1"/>
  <c r="Q511" i="1"/>
  <c r="P511" i="1"/>
  <c r="O511" i="1"/>
  <c r="N511" i="1"/>
  <c r="M511" i="1"/>
  <c r="AD510" i="1"/>
  <c r="X510" i="1"/>
  <c r="W510" i="1"/>
  <c r="V510" i="1"/>
  <c r="U510" i="1"/>
  <c r="T510" i="1"/>
  <c r="S510" i="1"/>
  <c r="R510" i="1"/>
  <c r="Q510" i="1"/>
  <c r="P510" i="1"/>
  <c r="O510" i="1"/>
  <c r="N510" i="1"/>
  <c r="M510" i="1"/>
  <c r="AD509" i="1"/>
  <c r="X509" i="1"/>
  <c r="W509" i="1"/>
  <c r="V509" i="1"/>
  <c r="U509" i="1"/>
  <c r="T509" i="1"/>
  <c r="S509" i="1"/>
  <c r="R509" i="1"/>
  <c r="Q509" i="1"/>
  <c r="P509" i="1"/>
  <c r="O509" i="1"/>
  <c r="N509" i="1"/>
  <c r="M509" i="1"/>
  <c r="AD477" i="1"/>
  <c r="X477" i="1"/>
  <c r="W477" i="1"/>
  <c r="V477" i="1"/>
  <c r="U477" i="1"/>
  <c r="T477" i="1"/>
  <c r="S477" i="1"/>
  <c r="R477" i="1"/>
  <c r="Q477" i="1"/>
  <c r="P477" i="1"/>
  <c r="O477" i="1"/>
  <c r="N477" i="1"/>
  <c r="M477" i="1"/>
  <c r="AD476" i="1"/>
  <c r="X476" i="1"/>
  <c r="W476" i="1"/>
  <c r="V476" i="1"/>
  <c r="U476" i="1"/>
  <c r="T476" i="1"/>
  <c r="S476" i="1"/>
  <c r="R476" i="1"/>
  <c r="Q476" i="1"/>
  <c r="P476" i="1"/>
  <c r="O476" i="1"/>
  <c r="N476" i="1"/>
  <c r="M476" i="1"/>
  <c r="AD475" i="1"/>
  <c r="X475" i="1"/>
  <c r="W475" i="1"/>
  <c r="V475" i="1"/>
  <c r="U475" i="1"/>
  <c r="T475" i="1"/>
  <c r="S475" i="1"/>
  <c r="R475" i="1"/>
  <c r="Q475" i="1"/>
  <c r="P475" i="1"/>
  <c r="O475" i="1"/>
  <c r="N475" i="1"/>
  <c r="M475" i="1"/>
  <c r="AD474" i="1"/>
  <c r="X474" i="1"/>
  <c r="W474" i="1"/>
  <c r="V474" i="1"/>
  <c r="U474" i="1"/>
  <c r="T474" i="1"/>
  <c r="S474" i="1"/>
  <c r="R474" i="1"/>
  <c r="Q474" i="1"/>
  <c r="P474" i="1"/>
  <c r="O474" i="1"/>
  <c r="N474" i="1"/>
  <c r="M474" i="1"/>
  <c r="AD473" i="1"/>
  <c r="X473" i="1"/>
  <c r="W473" i="1"/>
  <c r="V473" i="1"/>
  <c r="U473" i="1"/>
  <c r="T473" i="1"/>
  <c r="S473" i="1"/>
  <c r="R473" i="1"/>
  <c r="Q473" i="1"/>
  <c r="P473" i="1"/>
  <c r="O473" i="1"/>
  <c r="N473" i="1"/>
  <c r="M473" i="1"/>
  <c r="AD472" i="1"/>
  <c r="X472" i="1"/>
  <c r="W472" i="1"/>
  <c r="V472" i="1"/>
  <c r="U472" i="1"/>
  <c r="T472" i="1"/>
  <c r="S472" i="1"/>
  <c r="R472" i="1"/>
  <c r="Q472" i="1"/>
  <c r="P472" i="1"/>
  <c r="O472" i="1"/>
  <c r="N472" i="1"/>
  <c r="M472" i="1"/>
  <c r="AD471" i="1"/>
  <c r="X471" i="1"/>
  <c r="W471" i="1"/>
  <c r="V471" i="1"/>
  <c r="U471" i="1"/>
  <c r="T471" i="1"/>
  <c r="S471" i="1"/>
  <c r="R471" i="1"/>
  <c r="Q471" i="1"/>
  <c r="P471" i="1"/>
  <c r="O471" i="1"/>
  <c r="N471" i="1"/>
  <c r="M471" i="1"/>
  <c r="AD470" i="1"/>
  <c r="X470" i="1"/>
  <c r="W470" i="1"/>
  <c r="V470" i="1"/>
  <c r="U470" i="1"/>
  <c r="T470" i="1"/>
  <c r="S470" i="1"/>
  <c r="R470" i="1"/>
  <c r="Q470" i="1"/>
  <c r="P470" i="1"/>
  <c r="O470" i="1"/>
  <c r="N470" i="1"/>
  <c r="M470" i="1"/>
  <c r="AD469" i="1"/>
  <c r="X469" i="1"/>
  <c r="W469" i="1"/>
  <c r="V469" i="1"/>
  <c r="U469" i="1"/>
  <c r="T469" i="1"/>
  <c r="S469" i="1"/>
  <c r="R469" i="1"/>
  <c r="Q469" i="1"/>
  <c r="P469" i="1"/>
  <c r="O469" i="1"/>
  <c r="N469" i="1"/>
  <c r="M469" i="1"/>
  <c r="AD468" i="1"/>
  <c r="X468" i="1"/>
  <c r="W468" i="1"/>
  <c r="V468" i="1"/>
  <c r="U468" i="1"/>
  <c r="T468" i="1"/>
  <c r="S468" i="1"/>
  <c r="R468" i="1"/>
  <c r="Q468" i="1"/>
  <c r="P468" i="1"/>
  <c r="O468" i="1"/>
  <c r="N468" i="1"/>
  <c r="M468" i="1"/>
  <c r="AD467" i="1"/>
  <c r="X467" i="1"/>
  <c r="W467" i="1"/>
  <c r="V467" i="1"/>
  <c r="U467" i="1"/>
  <c r="T467" i="1"/>
  <c r="S467" i="1"/>
  <c r="R467" i="1"/>
  <c r="Q467" i="1"/>
  <c r="P467" i="1"/>
  <c r="O467" i="1"/>
  <c r="N467" i="1"/>
  <c r="M467" i="1"/>
  <c r="AD466" i="1"/>
  <c r="X466" i="1"/>
  <c r="W466" i="1"/>
  <c r="V466" i="1"/>
  <c r="U466" i="1"/>
  <c r="T466" i="1"/>
  <c r="S466" i="1"/>
  <c r="R466" i="1"/>
  <c r="Q466" i="1"/>
  <c r="P466" i="1"/>
  <c r="O466" i="1"/>
  <c r="N466" i="1"/>
  <c r="M466" i="1"/>
  <c r="AD465" i="1"/>
  <c r="X465" i="1"/>
  <c r="W465" i="1"/>
  <c r="V465" i="1"/>
  <c r="U465" i="1"/>
  <c r="T465" i="1"/>
  <c r="S465" i="1"/>
  <c r="R465" i="1"/>
  <c r="Q465" i="1"/>
  <c r="P465" i="1"/>
  <c r="O465" i="1"/>
  <c r="N465" i="1"/>
  <c r="M465" i="1"/>
  <c r="AD464" i="1"/>
  <c r="X464" i="1"/>
  <c r="W464" i="1"/>
  <c r="V464" i="1"/>
  <c r="U464" i="1"/>
  <c r="T464" i="1"/>
  <c r="S464" i="1"/>
  <c r="R464" i="1"/>
  <c r="Q464" i="1"/>
  <c r="P464" i="1"/>
  <c r="O464" i="1"/>
  <c r="N464" i="1"/>
  <c r="M464" i="1"/>
  <c r="AD463" i="1"/>
  <c r="X463" i="1"/>
  <c r="W463" i="1"/>
  <c r="V463" i="1"/>
  <c r="U463" i="1"/>
  <c r="T463" i="1"/>
  <c r="S463" i="1"/>
  <c r="R463" i="1"/>
  <c r="Q463" i="1"/>
  <c r="P463" i="1"/>
  <c r="O463" i="1"/>
  <c r="N463" i="1"/>
  <c r="M463" i="1"/>
  <c r="AD462" i="1"/>
  <c r="X462" i="1"/>
  <c r="W462" i="1"/>
  <c r="V462" i="1"/>
  <c r="U462" i="1"/>
  <c r="T462" i="1"/>
  <c r="S462" i="1"/>
  <c r="R462" i="1"/>
  <c r="Q462" i="1"/>
  <c r="P462" i="1"/>
  <c r="O462" i="1"/>
  <c r="N462" i="1"/>
  <c r="M462" i="1"/>
  <c r="AD461" i="1"/>
  <c r="X461" i="1"/>
  <c r="W461" i="1"/>
  <c r="V461" i="1"/>
  <c r="U461" i="1"/>
  <c r="T461" i="1"/>
  <c r="S461" i="1"/>
  <c r="R461" i="1"/>
  <c r="Q461" i="1"/>
  <c r="P461" i="1"/>
  <c r="O461" i="1"/>
  <c r="N461" i="1"/>
  <c r="M461" i="1"/>
  <c r="AD460" i="1"/>
  <c r="X460" i="1"/>
  <c r="W460" i="1"/>
  <c r="V460" i="1"/>
  <c r="U460" i="1"/>
  <c r="T460" i="1"/>
  <c r="S460" i="1"/>
  <c r="R460" i="1"/>
  <c r="Q460" i="1"/>
  <c r="P460" i="1"/>
  <c r="O460" i="1"/>
  <c r="N460" i="1"/>
  <c r="M460" i="1"/>
  <c r="AD459" i="1"/>
  <c r="X459" i="1"/>
  <c r="W459" i="1"/>
  <c r="V459" i="1"/>
  <c r="U459" i="1"/>
  <c r="T459" i="1"/>
  <c r="S459" i="1"/>
  <c r="R459" i="1"/>
  <c r="Q459" i="1"/>
  <c r="P459" i="1"/>
  <c r="O459" i="1"/>
  <c r="N459" i="1"/>
  <c r="M459" i="1"/>
  <c r="AD458" i="1"/>
  <c r="X458" i="1"/>
  <c r="W458" i="1"/>
  <c r="V458" i="1"/>
  <c r="U458" i="1"/>
  <c r="T458" i="1"/>
  <c r="S458" i="1"/>
  <c r="R458" i="1"/>
  <c r="Q458" i="1"/>
  <c r="P458" i="1"/>
  <c r="O458" i="1"/>
  <c r="N458" i="1"/>
  <c r="M458" i="1"/>
  <c r="AD457" i="1"/>
  <c r="X457" i="1"/>
  <c r="W457" i="1"/>
  <c r="V457" i="1"/>
  <c r="U457" i="1"/>
  <c r="T457" i="1"/>
  <c r="S457" i="1"/>
  <c r="R457" i="1"/>
  <c r="Q457" i="1"/>
  <c r="P457" i="1"/>
  <c r="O457" i="1"/>
  <c r="N457" i="1"/>
  <c r="M457" i="1"/>
  <c r="AD456" i="1"/>
  <c r="X456" i="1"/>
  <c r="W456" i="1"/>
  <c r="V456" i="1"/>
  <c r="U456" i="1"/>
  <c r="T456" i="1"/>
  <c r="S456" i="1"/>
  <c r="R456" i="1"/>
  <c r="Q456" i="1"/>
  <c r="P456" i="1"/>
  <c r="O456" i="1"/>
  <c r="N456" i="1"/>
  <c r="M456" i="1"/>
  <c r="AD455" i="1"/>
  <c r="X455" i="1"/>
  <c r="W455" i="1"/>
  <c r="V455" i="1"/>
  <c r="U455" i="1"/>
  <c r="T455" i="1"/>
  <c r="S455" i="1"/>
  <c r="R455" i="1"/>
  <c r="Q455" i="1"/>
  <c r="P455" i="1"/>
  <c r="O455" i="1"/>
  <c r="N455" i="1"/>
  <c r="M455" i="1"/>
  <c r="AD454" i="1"/>
  <c r="X454" i="1"/>
  <c r="W454" i="1"/>
  <c r="V454" i="1"/>
  <c r="U454" i="1"/>
  <c r="T454" i="1"/>
  <c r="S454" i="1"/>
  <c r="R454" i="1"/>
  <c r="Q454" i="1"/>
  <c r="P454" i="1"/>
  <c r="O454" i="1"/>
  <c r="N454" i="1"/>
  <c r="M454" i="1"/>
  <c r="AD453" i="1"/>
  <c r="X453" i="1"/>
  <c r="W453" i="1"/>
  <c r="V453" i="1"/>
  <c r="U453" i="1"/>
  <c r="T453" i="1"/>
  <c r="S453" i="1"/>
  <c r="R453" i="1"/>
  <c r="Q453" i="1"/>
  <c r="P453" i="1"/>
  <c r="O453" i="1"/>
  <c r="N453" i="1"/>
  <c r="M453" i="1"/>
  <c r="AD452" i="1"/>
  <c r="X452" i="1"/>
  <c r="W452" i="1"/>
  <c r="V452" i="1"/>
  <c r="U452" i="1"/>
  <c r="T452" i="1"/>
  <c r="S452" i="1"/>
  <c r="R452" i="1"/>
  <c r="Q452" i="1"/>
  <c r="P452" i="1"/>
  <c r="O452" i="1"/>
  <c r="N452" i="1"/>
  <c r="M452" i="1"/>
  <c r="AD451" i="1"/>
  <c r="X451" i="1"/>
  <c r="W451" i="1"/>
  <c r="V451" i="1"/>
  <c r="U451" i="1"/>
  <c r="T451" i="1"/>
  <c r="S451" i="1"/>
  <c r="R451" i="1"/>
  <c r="Q451" i="1"/>
  <c r="P451" i="1"/>
  <c r="O451" i="1"/>
  <c r="N451" i="1"/>
  <c r="M451" i="1"/>
  <c r="AD450" i="1"/>
  <c r="X450" i="1"/>
  <c r="W450" i="1"/>
  <c r="V450" i="1"/>
  <c r="U450" i="1"/>
  <c r="T450" i="1"/>
  <c r="S450" i="1"/>
  <c r="R450" i="1"/>
  <c r="Q450" i="1"/>
  <c r="P450" i="1"/>
  <c r="O450" i="1"/>
  <c r="N450" i="1"/>
  <c r="M450" i="1"/>
  <c r="AD449" i="1"/>
  <c r="X449" i="1"/>
  <c r="W449" i="1"/>
  <c r="V449" i="1"/>
  <c r="U449" i="1"/>
  <c r="T449" i="1"/>
  <c r="S449" i="1"/>
  <c r="R449" i="1"/>
  <c r="Q449" i="1"/>
  <c r="P449" i="1"/>
  <c r="O449" i="1"/>
  <c r="N449" i="1"/>
  <c r="M449" i="1"/>
  <c r="AD448" i="1"/>
  <c r="X448" i="1"/>
  <c r="W448" i="1"/>
  <c r="V448" i="1"/>
  <c r="U448" i="1"/>
  <c r="T448" i="1"/>
  <c r="S448" i="1"/>
  <c r="R448" i="1"/>
  <c r="Q448" i="1"/>
  <c r="P448" i="1"/>
  <c r="O448" i="1"/>
  <c r="N448" i="1"/>
  <c r="M448" i="1"/>
  <c r="AD447" i="1"/>
  <c r="X447" i="1"/>
  <c r="W447" i="1"/>
  <c r="V447" i="1"/>
  <c r="U447" i="1"/>
  <c r="T447" i="1"/>
  <c r="S447" i="1"/>
  <c r="R447" i="1"/>
  <c r="Q447" i="1"/>
  <c r="P447" i="1"/>
  <c r="O447" i="1"/>
  <c r="N447" i="1"/>
  <c r="M447" i="1"/>
  <c r="AD446" i="1"/>
  <c r="X446" i="1"/>
  <c r="W446" i="1"/>
  <c r="V446" i="1"/>
  <c r="U446" i="1"/>
  <c r="T446" i="1"/>
  <c r="S446" i="1"/>
  <c r="R446" i="1"/>
  <c r="Q446" i="1"/>
  <c r="P446" i="1"/>
  <c r="O446" i="1"/>
  <c r="N446" i="1"/>
  <c r="M446" i="1"/>
  <c r="AD445" i="1"/>
  <c r="X445" i="1"/>
  <c r="W445" i="1"/>
  <c r="V445" i="1"/>
  <c r="U445" i="1"/>
  <c r="T445" i="1"/>
  <c r="S445" i="1"/>
  <c r="R445" i="1"/>
  <c r="Q445" i="1"/>
  <c r="P445" i="1"/>
  <c r="O445" i="1"/>
  <c r="N445" i="1"/>
  <c r="M445" i="1"/>
  <c r="AD444" i="1"/>
  <c r="X444" i="1"/>
  <c r="W444" i="1"/>
  <c r="V444" i="1"/>
  <c r="U444" i="1"/>
  <c r="T444" i="1"/>
  <c r="S444" i="1"/>
  <c r="R444" i="1"/>
  <c r="Q444" i="1"/>
  <c r="P444" i="1"/>
  <c r="O444" i="1"/>
  <c r="N444" i="1"/>
  <c r="M444" i="1"/>
  <c r="AD443" i="1"/>
  <c r="X443" i="1"/>
  <c r="W443" i="1"/>
  <c r="V443" i="1"/>
  <c r="U443" i="1"/>
  <c r="T443" i="1"/>
  <c r="S443" i="1"/>
  <c r="R443" i="1"/>
  <c r="Q443" i="1"/>
  <c r="P443" i="1"/>
  <c r="O443" i="1"/>
  <c r="N443" i="1"/>
  <c r="M443" i="1"/>
  <c r="AD442" i="1"/>
  <c r="X442" i="1"/>
  <c r="W442" i="1"/>
  <c r="V442" i="1"/>
  <c r="U442" i="1"/>
  <c r="T442" i="1"/>
  <c r="S442" i="1"/>
  <c r="R442" i="1"/>
  <c r="Q442" i="1"/>
  <c r="P442" i="1"/>
  <c r="O442" i="1"/>
  <c r="N442" i="1"/>
  <c r="M442" i="1"/>
  <c r="AD441" i="1"/>
  <c r="X441" i="1"/>
  <c r="W441" i="1"/>
  <c r="V441" i="1"/>
  <c r="U441" i="1"/>
  <c r="T441" i="1"/>
  <c r="S441" i="1"/>
  <c r="R441" i="1"/>
  <c r="Q441" i="1"/>
  <c r="P441" i="1"/>
  <c r="O441" i="1"/>
  <c r="N441" i="1"/>
  <c r="M441" i="1"/>
  <c r="AD440" i="1"/>
  <c r="X440" i="1"/>
  <c r="W440" i="1"/>
  <c r="V440" i="1"/>
  <c r="U440" i="1"/>
  <c r="T440" i="1"/>
  <c r="S440" i="1"/>
  <c r="R440" i="1"/>
  <c r="Q440" i="1"/>
  <c r="P440" i="1"/>
  <c r="O440" i="1"/>
  <c r="N440" i="1"/>
  <c r="M440" i="1"/>
  <c r="AD439" i="1"/>
  <c r="X439" i="1"/>
  <c r="W439" i="1"/>
  <c r="V439" i="1"/>
  <c r="U439" i="1"/>
  <c r="T439" i="1"/>
  <c r="S439" i="1"/>
  <c r="R439" i="1"/>
  <c r="Q439" i="1"/>
  <c r="P439" i="1"/>
  <c r="O439" i="1"/>
  <c r="N439" i="1"/>
  <c r="M439" i="1"/>
  <c r="AD438" i="1"/>
  <c r="X438" i="1"/>
  <c r="W438" i="1"/>
  <c r="V438" i="1"/>
  <c r="U438" i="1"/>
  <c r="T438" i="1"/>
  <c r="S438" i="1"/>
  <c r="R438" i="1"/>
  <c r="Q438" i="1"/>
  <c r="P438" i="1"/>
  <c r="O438" i="1"/>
  <c r="N438" i="1"/>
  <c r="M438" i="1"/>
  <c r="AD437" i="1"/>
  <c r="X437" i="1"/>
  <c r="W437" i="1"/>
  <c r="V437" i="1"/>
  <c r="U437" i="1"/>
  <c r="T437" i="1"/>
  <c r="S437" i="1"/>
  <c r="R437" i="1"/>
  <c r="Q437" i="1"/>
  <c r="P437" i="1"/>
  <c r="O437" i="1"/>
  <c r="N437" i="1"/>
  <c r="M437" i="1"/>
  <c r="AD436" i="1"/>
  <c r="X436" i="1"/>
  <c r="W436" i="1"/>
  <c r="V436" i="1"/>
  <c r="U436" i="1"/>
  <c r="T436" i="1"/>
  <c r="S436" i="1"/>
  <c r="R436" i="1"/>
  <c r="Q436" i="1"/>
  <c r="P436" i="1"/>
  <c r="O436" i="1"/>
  <c r="N436" i="1"/>
  <c r="M436" i="1"/>
  <c r="AD435" i="1"/>
  <c r="X435" i="1"/>
  <c r="W435" i="1"/>
  <c r="V435" i="1"/>
  <c r="U435" i="1"/>
  <c r="T435" i="1"/>
  <c r="S435" i="1"/>
  <c r="R435" i="1"/>
  <c r="Q435" i="1"/>
  <c r="P435" i="1"/>
  <c r="O435" i="1"/>
  <c r="N435" i="1"/>
  <c r="M435" i="1"/>
  <c r="AD434" i="1"/>
  <c r="X434" i="1"/>
  <c r="W434" i="1"/>
  <c r="V434" i="1"/>
  <c r="U434" i="1"/>
  <c r="T434" i="1"/>
  <c r="S434" i="1"/>
  <c r="R434" i="1"/>
  <c r="Q434" i="1"/>
  <c r="P434" i="1"/>
  <c r="O434" i="1"/>
  <c r="N434" i="1"/>
  <c r="M434" i="1"/>
  <c r="AD433" i="1"/>
  <c r="X433" i="1"/>
  <c r="W433" i="1"/>
  <c r="V433" i="1"/>
  <c r="U433" i="1"/>
  <c r="T433" i="1"/>
  <c r="S433" i="1"/>
  <c r="R433" i="1"/>
  <c r="Q433" i="1"/>
  <c r="P433" i="1"/>
  <c r="O433" i="1"/>
  <c r="N433" i="1"/>
  <c r="M433" i="1"/>
  <c r="AD432" i="1"/>
  <c r="X432" i="1"/>
  <c r="W432" i="1"/>
  <c r="V432" i="1"/>
  <c r="U432" i="1"/>
  <c r="T432" i="1"/>
  <c r="S432" i="1"/>
  <c r="R432" i="1"/>
  <c r="Q432" i="1"/>
  <c r="P432" i="1"/>
  <c r="O432" i="1"/>
  <c r="N432" i="1"/>
  <c r="M432" i="1"/>
  <c r="AD431" i="1"/>
  <c r="X431" i="1"/>
  <c r="W431" i="1"/>
  <c r="V431" i="1"/>
  <c r="U431" i="1"/>
  <c r="T431" i="1"/>
  <c r="S431" i="1"/>
  <c r="R431" i="1"/>
  <c r="Q431" i="1"/>
  <c r="P431" i="1"/>
  <c r="O431" i="1"/>
  <c r="N431" i="1"/>
  <c r="M431" i="1"/>
  <c r="AD430" i="1"/>
  <c r="X430" i="1"/>
  <c r="W430" i="1"/>
  <c r="V430" i="1"/>
  <c r="U430" i="1"/>
  <c r="T430" i="1"/>
  <c r="S430" i="1"/>
  <c r="R430" i="1"/>
  <c r="Q430" i="1"/>
  <c r="P430" i="1"/>
  <c r="O430" i="1"/>
  <c r="N430" i="1"/>
  <c r="M430" i="1"/>
  <c r="AD429" i="1"/>
  <c r="X429" i="1"/>
  <c r="W429" i="1"/>
  <c r="V429" i="1"/>
  <c r="U429" i="1"/>
  <c r="T429" i="1"/>
  <c r="S429" i="1"/>
  <c r="R429" i="1"/>
  <c r="Q429" i="1"/>
  <c r="P429" i="1"/>
  <c r="O429" i="1"/>
  <c r="N429" i="1"/>
  <c r="M429" i="1"/>
  <c r="AD428" i="1"/>
  <c r="X428" i="1"/>
  <c r="W428" i="1"/>
  <c r="V428" i="1"/>
  <c r="U428" i="1"/>
  <c r="T428" i="1"/>
  <c r="S428" i="1"/>
  <c r="R428" i="1"/>
  <c r="Q428" i="1"/>
  <c r="P428" i="1"/>
  <c r="O428" i="1"/>
  <c r="N428" i="1"/>
  <c r="M428" i="1"/>
  <c r="AD427" i="1"/>
  <c r="X427" i="1"/>
  <c r="W427" i="1"/>
  <c r="V427" i="1"/>
  <c r="U427" i="1"/>
  <c r="T427" i="1"/>
  <c r="S427" i="1"/>
  <c r="R427" i="1"/>
  <c r="Q427" i="1"/>
  <c r="P427" i="1"/>
  <c r="O427" i="1"/>
  <c r="N427" i="1"/>
  <c r="M427" i="1"/>
  <c r="AD426" i="1"/>
  <c r="X426" i="1"/>
  <c r="W426" i="1"/>
  <c r="V426" i="1"/>
  <c r="U426" i="1"/>
  <c r="T426" i="1"/>
  <c r="S426" i="1"/>
  <c r="R426" i="1"/>
  <c r="Q426" i="1"/>
  <c r="P426" i="1"/>
  <c r="O426" i="1"/>
  <c r="N426" i="1"/>
  <c r="M426" i="1"/>
  <c r="AD425" i="1"/>
  <c r="X425" i="1"/>
  <c r="W425" i="1"/>
  <c r="V425" i="1"/>
  <c r="U425" i="1"/>
  <c r="T425" i="1"/>
  <c r="S425" i="1"/>
  <c r="R425" i="1"/>
  <c r="Q425" i="1"/>
  <c r="P425" i="1"/>
  <c r="O425" i="1"/>
  <c r="N425" i="1"/>
  <c r="M425" i="1"/>
  <c r="AD424" i="1"/>
  <c r="X424" i="1"/>
  <c r="W424" i="1"/>
  <c r="V424" i="1"/>
  <c r="U424" i="1"/>
  <c r="T424" i="1"/>
  <c r="S424" i="1"/>
  <c r="R424" i="1"/>
  <c r="Q424" i="1"/>
  <c r="P424" i="1"/>
  <c r="O424" i="1"/>
  <c r="N424" i="1"/>
  <c r="M424" i="1"/>
  <c r="AD423" i="1"/>
  <c r="X423" i="1"/>
  <c r="W423" i="1"/>
  <c r="V423" i="1"/>
  <c r="U423" i="1"/>
  <c r="T423" i="1"/>
  <c r="S423" i="1"/>
  <c r="R423" i="1"/>
  <c r="Q423" i="1"/>
  <c r="P423" i="1"/>
  <c r="O423" i="1"/>
  <c r="N423" i="1"/>
  <c r="M423" i="1"/>
  <c r="AD422" i="1"/>
  <c r="X422" i="1"/>
  <c r="W422" i="1"/>
  <c r="V422" i="1"/>
  <c r="U422" i="1"/>
  <c r="T422" i="1"/>
  <c r="S422" i="1"/>
  <c r="R422" i="1"/>
  <c r="Q422" i="1"/>
  <c r="P422" i="1"/>
  <c r="O422" i="1"/>
  <c r="N422" i="1"/>
  <c r="M422" i="1"/>
  <c r="AD421" i="1"/>
  <c r="X421" i="1"/>
  <c r="W421" i="1"/>
  <c r="V421" i="1"/>
  <c r="U421" i="1"/>
  <c r="T421" i="1"/>
  <c r="S421" i="1"/>
  <c r="R421" i="1"/>
  <c r="Q421" i="1"/>
  <c r="P421" i="1"/>
  <c r="O421" i="1"/>
  <c r="N421" i="1"/>
  <c r="M421" i="1"/>
  <c r="AD420" i="1"/>
  <c r="X420" i="1"/>
  <c r="W420" i="1"/>
  <c r="V420" i="1"/>
  <c r="U420" i="1"/>
  <c r="T420" i="1"/>
  <c r="S420" i="1"/>
  <c r="R420" i="1"/>
  <c r="Q420" i="1"/>
  <c r="P420" i="1"/>
  <c r="O420" i="1"/>
  <c r="N420" i="1"/>
  <c r="M420" i="1"/>
  <c r="AD419" i="1"/>
  <c r="X419" i="1"/>
  <c r="W419" i="1"/>
  <c r="V419" i="1"/>
  <c r="U419" i="1"/>
  <c r="T419" i="1"/>
  <c r="S419" i="1"/>
  <c r="R419" i="1"/>
  <c r="Q419" i="1"/>
  <c r="P419" i="1"/>
  <c r="O419" i="1"/>
  <c r="N419" i="1"/>
  <c r="M419" i="1"/>
  <c r="AD418" i="1"/>
  <c r="X418" i="1"/>
  <c r="W418" i="1"/>
  <c r="V418" i="1"/>
  <c r="U418" i="1"/>
  <c r="T418" i="1"/>
  <c r="S418" i="1"/>
  <c r="R418" i="1"/>
  <c r="Q418" i="1"/>
  <c r="P418" i="1"/>
  <c r="O418" i="1"/>
  <c r="N418" i="1"/>
  <c r="M418" i="1"/>
  <c r="AD417" i="1"/>
  <c r="X417" i="1"/>
  <c r="W417" i="1"/>
  <c r="V417" i="1"/>
  <c r="U417" i="1"/>
  <c r="T417" i="1"/>
  <c r="S417" i="1"/>
  <c r="R417" i="1"/>
  <c r="Q417" i="1"/>
  <c r="P417" i="1"/>
  <c r="O417" i="1"/>
  <c r="N417" i="1"/>
  <c r="M417" i="1"/>
  <c r="AD416" i="1"/>
  <c r="X416" i="1"/>
  <c r="W416" i="1"/>
  <c r="V416" i="1"/>
  <c r="U416" i="1"/>
  <c r="T416" i="1"/>
  <c r="S416" i="1"/>
  <c r="R416" i="1"/>
  <c r="Q416" i="1"/>
  <c r="P416" i="1"/>
  <c r="O416" i="1"/>
  <c r="N416" i="1"/>
  <c r="M416" i="1"/>
  <c r="AD415" i="1"/>
  <c r="X415" i="1"/>
  <c r="W415" i="1"/>
  <c r="V415" i="1"/>
  <c r="U415" i="1"/>
  <c r="T415" i="1"/>
  <c r="S415" i="1"/>
  <c r="R415" i="1"/>
  <c r="Q415" i="1"/>
  <c r="P415" i="1"/>
  <c r="O415" i="1"/>
  <c r="N415" i="1"/>
  <c r="M415" i="1"/>
  <c r="AD414" i="1"/>
  <c r="X414" i="1"/>
  <c r="W414" i="1"/>
  <c r="V414" i="1"/>
  <c r="U414" i="1"/>
  <c r="T414" i="1"/>
  <c r="S414" i="1"/>
  <c r="R414" i="1"/>
  <c r="Q414" i="1"/>
  <c r="P414" i="1"/>
  <c r="O414" i="1"/>
  <c r="N414" i="1"/>
  <c r="M414" i="1"/>
  <c r="AD413" i="1"/>
  <c r="X413" i="1"/>
  <c r="W413" i="1"/>
  <c r="V413" i="1"/>
  <c r="U413" i="1"/>
  <c r="T413" i="1"/>
  <c r="S413" i="1"/>
  <c r="R413" i="1"/>
  <c r="Q413" i="1"/>
  <c r="P413" i="1"/>
  <c r="O413" i="1"/>
  <c r="N413" i="1"/>
  <c r="M413" i="1"/>
  <c r="AD412" i="1"/>
  <c r="X412" i="1"/>
  <c r="W412" i="1"/>
  <c r="V412" i="1"/>
  <c r="U412" i="1"/>
  <c r="T412" i="1"/>
  <c r="S412" i="1"/>
  <c r="R412" i="1"/>
  <c r="Q412" i="1"/>
  <c r="P412" i="1"/>
  <c r="O412" i="1"/>
  <c r="N412" i="1"/>
  <c r="M412" i="1"/>
  <c r="AD411" i="1"/>
  <c r="X411" i="1"/>
  <c r="W411" i="1"/>
  <c r="V411" i="1"/>
  <c r="U411" i="1"/>
  <c r="T411" i="1"/>
  <c r="S411" i="1"/>
  <c r="R411" i="1"/>
  <c r="Q411" i="1"/>
  <c r="P411" i="1"/>
  <c r="O411" i="1"/>
  <c r="N411" i="1"/>
  <c r="M411" i="1"/>
  <c r="AD410" i="1"/>
  <c r="X410" i="1"/>
  <c r="W410" i="1"/>
  <c r="V410" i="1"/>
  <c r="U410" i="1"/>
  <c r="T410" i="1"/>
  <c r="S410" i="1"/>
  <c r="R410" i="1"/>
  <c r="Q410" i="1"/>
  <c r="P410" i="1"/>
  <c r="O410" i="1"/>
  <c r="N410" i="1"/>
  <c r="M410" i="1"/>
  <c r="AD409" i="1"/>
  <c r="X409" i="1"/>
  <c r="W409" i="1"/>
  <c r="V409" i="1"/>
  <c r="U409" i="1"/>
  <c r="T409" i="1"/>
  <c r="S409" i="1"/>
  <c r="R409" i="1"/>
  <c r="Q409" i="1"/>
  <c r="P409" i="1"/>
  <c r="O409" i="1"/>
  <c r="N409" i="1"/>
  <c r="M409" i="1"/>
  <c r="AD408" i="1"/>
  <c r="X408" i="1"/>
  <c r="W408" i="1"/>
  <c r="V408" i="1"/>
  <c r="U408" i="1"/>
  <c r="T408" i="1"/>
  <c r="S408" i="1"/>
  <c r="R408" i="1"/>
  <c r="Q408" i="1"/>
  <c r="P408" i="1"/>
  <c r="O408" i="1"/>
  <c r="N408" i="1"/>
  <c r="M408" i="1"/>
  <c r="AD407" i="1"/>
  <c r="X407" i="1"/>
  <c r="W407" i="1"/>
  <c r="V407" i="1"/>
  <c r="U407" i="1"/>
  <c r="T407" i="1"/>
  <c r="S407" i="1"/>
  <c r="R407" i="1"/>
  <c r="Q407" i="1"/>
  <c r="P407" i="1"/>
  <c r="O407" i="1"/>
  <c r="N407" i="1"/>
  <c r="M407" i="1"/>
  <c r="AD406" i="1"/>
  <c r="X406" i="1"/>
  <c r="W406" i="1"/>
  <c r="V406" i="1"/>
  <c r="U406" i="1"/>
  <c r="T406" i="1"/>
  <c r="S406" i="1"/>
  <c r="R406" i="1"/>
  <c r="Q406" i="1"/>
  <c r="P406" i="1"/>
  <c r="O406" i="1"/>
  <c r="N406" i="1"/>
  <c r="M406" i="1"/>
  <c r="AD405" i="1"/>
  <c r="X405" i="1"/>
  <c r="W405" i="1"/>
  <c r="V405" i="1"/>
  <c r="U405" i="1"/>
  <c r="T405" i="1"/>
  <c r="S405" i="1"/>
  <c r="R405" i="1"/>
  <c r="Q405" i="1"/>
  <c r="P405" i="1"/>
  <c r="O405" i="1"/>
  <c r="N405" i="1"/>
  <c r="M405" i="1"/>
  <c r="AD404" i="1"/>
  <c r="X404" i="1"/>
  <c r="W404" i="1"/>
  <c r="V404" i="1"/>
  <c r="U404" i="1"/>
  <c r="T404" i="1"/>
  <c r="S404" i="1"/>
  <c r="R404" i="1"/>
  <c r="Q404" i="1"/>
  <c r="P404" i="1"/>
  <c r="O404" i="1"/>
  <c r="N404" i="1"/>
  <c r="M404" i="1"/>
  <c r="AD403" i="1"/>
  <c r="X403" i="1"/>
  <c r="W403" i="1"/>
  <c r="V403" i="1"/>
  <c r="U403" i="1"/>
  <c r="T403" i="1"/>
  <c r="S403" i="1"/>
  <c r="R403" i="1"/>
  <c r="Q403" i="1"/>
  <c r="P403" i="1"/>
  <c r="O403" i="1"/>
  <c r="N403" i="1"/>
  <c r="M403" i="1"/>
  <c r="AD402" i="1"/>
  <c r="X402" i="1"/>
  <c r="W402" i="1"/>
  <c r="V402" i="1"/>
  <c r="U402" i="1"/>
  <c r="T402" i="1"/>
  <c r="S402" i="1"/>
  <c r="R402" i="1"/>
  <c r="Q402" i="1"/>
  <c r="P402" i="1"/>
  <c r="O402" i="1"/>
  <c r="N402" i="1"/>
  <c r="M402" i="1"/>
  <c r="AD401" i="1"/>
  <c r="X401" i="1"/>
  <c r="W401" i="1"/>
  <c r="V401" i="1"/>
  <c r="U401" i="1"/>
  <c r="T401" i="1"/>
  <c r="S401" i="1"/>
  <c r="R401" i="1"/>
  <c r="Q401" i="1"/>
  <c r="P401" i="1"/>
  <c r="O401" i="1"/>
  <c r="N401" i="1"/>
  <c r="M401" i="1"/>
  <c r="AD400" i="1"/>
  <c r="X400" i="1"/>
  <c r="W400" i="1"/>
  <c r="V400" i="1"/>
  <c r="U400" i="1"/>
  <c r="T400" i="1"/>
  <c r="S400" i="1"/>
  <c r="R400" i="1"/>
  <c r="Q400" i="1"/>
  <c r="P400" i="1"/>
  <c r="O400" i="1"/>
  <c r="N400" i="1"/>
  <c r="M400" i="1"/>
  <c r="AD399" i="1"/>
  <c r="X399" i="1"/>
  <c r="W399" i="1"/>
  <c r="V399" i="1"/>
  <c r="U399" i="1"/>
  <c r="T399" i="1"/>
  <c r="S399" i="1"/>
  <c r="R399" i="1"/>
  <c r="Q399" i="1"/>
  <c r="P399" i="1"/>
  <c r="O399" i="1"/>
  <c r="N399" i="1"/>
  <c r="M399" i="1"/>
  <c r="AD398" i="1"/>
  <c r="X398" i="1"/>
  <c r="W398" i="1"/>
  <c r="V398" i="1"/>
  <c r="U398" i="1"/>
  <c r="T398" i="1"/>
  <c r="S398" i="1"/>
  <c r="R398" i="1"/>
  <c r="Q398" i="1"/>
  <c r="P398" i="1"/>
  <c r="O398" i="1"/>
  <c r="N398" i="1"/>
  <c r="M398" i="1"/>
  <c r="AD397" i="1"/>
  <c r="X397" i="1"/>
  <c r="W397" i="1"/>
  <c r="V397" i="1"/>
  <c r="U397" i="1"/>
  <c r="T397" i="1"/>
  <c r="S397" i="1"/>
  <c r="R397" i="1"/>
  <c r="Q397" i="1"/>
  <c r="P397" i="1"/>
  <c r="O397" i="1"/>
  <c r="N397" i="1"/>
  <c r="M397" i="1"/>
  <c r="AD396" i="1"/>
  <c r="X396" i="1"/>
  <c r="W396" i="1"/>
  <c r="V396" i="1"/>
  <c r="U396" i="1"/>
  <c r="T396" i="1"/>
  <c r="S396" i="1"/>
  <c r="R396" i="1"/>
  <c r="Q396" i="1"/>
  <c r="P396" i="1"/>
  <c r="O396" i="1"/>
  <c r="N396" i="1"/>
  <c r="M396" i="1"/>
  <c r="AD381" i="1"/>
  <c r="X381" i="1"/>
  <c r="W381" i="1"/>
  <c r="V381" i="1"/>
  <c r="U381" i="1"/>
  <c r="T381" i="1"/>
  <c r="S381" i="1"/>
  <c r="R381" i="1"/>
  <c r="Q381" i="1"/>
  <c r="P381" i="1"/>
  <c r="O381" i="1"/>
  <c r="N381" i="1"/>
  <c r="M381" i="1"/>
  <c r="AD380" i="1"/>
  <c r="X380" i="1"/>
  <c r="W380" i="1"/>
  <c r="V380" i="1"/>
  <c r="U380" i="1"/>
  <c r="T380" i="1"/>
  <c r="S380" i="1"/>
  <c r="R380" i="1"/>
  <c r="Q380" i="1"/>
  <c r="P380" i="1"/>
  <c r="O380" i="1"/>
  <c r="N380" i="1"/>
  <c r="M380" i="1"/>
  <c r="AD379" i="1"/>
  <c r="X379" i="1"/>
  <c r="W379" i="1"/>
  <c r="V379" i="1"/>
  <c r="U379" i="1"/>
  <c r="T379" i="1"/>
  <c r="S379" i="1"/>
  <c r="R379" i="1"/>
  <c r="Q379" i="1"/>
  <c r="P379" i="1"/>
  <c r="O379" i="1"/>
  <c r="N379" i="1"/>
  <c r="M379" i="1"/>
  <c r="AD378" i="1"/>
  <c r="X378" i="1"/>
  <c r="W378" i="1"/>
  <c r="V378" i="1"/>
  <c r="U378" i="1"/>
  <c r="T378" i="1"/>
  <c r="S378" i="1"/>
  <c r="R378" i="1"/>
  <c r="Q378" i="1"/>
  <c r="P378" i="1"/>
  <c r="O378" i="1"/>
  <c r="N378" i="1"/>
  <c r="M378" i="1"/>
  <c r="AD383" i="1"/>
  <c r="X383" i="1"/>
  <c r="W383" i="1"/>
  <c r="V383" i="1"/>
  <c r="U383" i="1"/>
  <c r="T383" i="1"/>
  <c r="S383" i="1"/>
  <c r="R383" i="1"/>
  <c r="Q383" i="1"/>
  <c r="P383" i="1"/>
  <c r="O383" i="1"/>
  <c r="N383" i="1"/>
  <c r="M383" i="1"/>
  <c r="AD377" i="1"/>
  <c r="X377" i="1"/>
  <c r="W377" i="1"/>
  <c r="V377" i="1"/>
  <c r="U377" i="1"/>
  <c r="T377" i="1"/>
  <c r="S377" i="1"/>
  <c r="R377" i="1"/>
  <c r="Q377" i="1"/>
  <c r="P377" i="1"/>
  <c r="O377" i="1"/>
  <c r="N377" i="1"/>
  <c r="M377" i="1"/>
  <c r="AD376" i="1"/>
  <c r="X376" i="1"/>
  <c r="W376" i="1"/>
  <c r="V376" i="1"/>
  <c r="U376" i="1"/>
  <c r="T376" i="1"/>
  <c r="S376" i="1"/>
  <c r="R376" i="1"/>
  <c r="Q376" i="1"/>
  <c r="P376" i="1"/>
  <c r="O376" i="1"/>
  <c r="N376" i="1"/>
  <c r="M376" i="1"/>
  <c r="AD375" i="1"/>
  <c r="X375" i="1"/>
  <c r="W375" i="1"/>
  <c r="V375" i="1"/>
  <c r="U375" i="1"/>
  <c r="T375" i="1"/>
  <c r="S375" i="1"/>
  <c r="R375" i="1"/>
  <c r="Q375" i="1"/>
  <c r="P375" i="1"/>
  <c r="O375" i="1"/>
  <c r="N375" i="1"/>
  <c r="M375" i="1"/>
  <c r="AD374" i="1"/>
  <c r="X374" i="1"/>
  <c r="W374" i="1"/>
  <c r="V374" i="1"/>
  <c r="U374" i="1"/>
  <c r="T374" i="1"/>
  <c r="S374" i="1"/>
  <c r="R374" i="1"/>
  <c r="Q374" i="1"/>
  <c r="P374" i="1"/>
  <c r="O374" i="1"/>
  <c r="N374" i="1"/>
  <c r="M374" i="1"/>
  <c r="AD373" i="1"/>
  <c r="X373" i="1"/>
  <c r="W373" i="1"/>
  <c r="V373" i="1"/>
  <c r="U373" i="1"/>
  <c r="T373" i="1"/>
  <c r="S373" i="1"/>
  <c r="R373" i="1"/>
  <c r="Q373" i="1"/>
  <c r="P373" i="1"/>
  <c r="O373" i="1"/>
  <c r="N373" i="1"/>
  <c r="M373" i="1"/>
  <c r="AD372" i="1"/>
  <c r="X372" i="1"/>
  <c r="W372" i="1"/>
  <c r="V372" i="1"/>
  <c r="U372" i="1"/>
  <c r="T372" i="1"/>
  <c r="S372" i="1"/>
  <c r="R372" i="1"/>
  <c r="Q372" i="1"/>
  <c r="P372" i="1"/>
  <c r="O372" i="1"/>
  <c r="N372" i="1"/>
  <c r="M372" i="1"/>
  <c r="AD371" i="1"/>
  <c r="X371" i="1"/>
  <c r="W371" i="1"/>
  <c r="V371" i="1"/>
  <c r="U371" i="1"/>
  <c r="T371" i="1"/>
  <c r="S371" i="1"/>
  <c r="R371" i="1"/>
  <c r="Q371" i="1"/>
  <c r="P371" i="1"/>
  <c r="O371" i="1"/>
  <c r="N371" i="1"/>
  <c r="M371" i="1"/>
  <c r="AD370" i="1"/>
  <c r="X370" i="1"/>
  <c r="W370" i="1"/>
  <c r="V370" i="1"/>
  <c r="U370" i="1"/>
  <c r="T370" i="1"/>
  <c r="S370" i="1"/>
  <c r="R370" i="1"/>
  <c r="Q370" i="1"/>
  <c r="P370" i="1"/>
  <c r="O370" i="1"/>
  <c r="N370" i="1"/>
  <c r="M370" i="1"/>
  <c r="AD369" i="1"/>
  <c r="X369" i="1"/>
  <c r="W369" i="1"/>
  <c r="V369" i="1"/>
  <c r="U369" i="1"/>
  <c r="T369" i="1"/>
  <c r="S369" i="1"/>
  <c r="R369" i="1"/>
  <c r="Q369" i="1"/>
  <c r="P369" i="1"/>
  <c r="O369" i="1"/>
  <c r="N369" i="1"/>
  <c r="M369" i="1"/>
  <c r="AD368" i="1"/>
  <c r="X368" i="1"/>
  <c r="W368" i="1"/>
  <c r="V368" i="1"/>
  <c r="U368" i="1"/>
  <c r="T368" i="1"/>
  <c r="S368" i="1"/>
  <c r="R368" i="1"/>
  <c r="Q368" i="1"/>
  <c r="P368" i="1"/>
  <c r="O368" i="1"/>
  <c r="N368" i="1"/>
  <c r="M368" i="1"/>
  <c r="AD367" i="1"/>
  <c r="X367" i="1"/>
  <c r="W367" i="1"/>
  <c r="V367" i="1"/>
  <c r="U367" i="1"/>
  <c r="T367" i="1"/>
  <c r="S367" i="1"/>
  <c r="R367" i="1"/>
  <c r="Q367" i="1"/>
  <c r="P367" i="1"/>
  <c r="O367" i="1"/>
  <c r="N367" i="1"/>
  <c r="M367" i="1"/>
  <c r="AD366" i="1"/>
  <c r="X366" i="1"/>
  <c r="W366" i="1"/>
  <c r="V366" i="1"/>
  <c r="U366" i="1"/>
  <c r="T366" i="1"/>
  <c r="S366" i="1"/>
  <c r="R366" i="1"/>
  <c r="Q366" i="1"/>
  <c r="P366" i="1"/>
  <c r="O366" i="1"/>
  <c r="N366" i="1"/>
  <c r="M366" i="1"/>
  <c r="AD364" i="1"/>
  <c r="X364" i="1"/>
  <c r="W364" i="1"/>
  <c r="V364" i="1"/>
  <c r="U364" i="1"/>
  <c r="T364" i="1"/>
  <c r="S364" i="1"/>
  <c r="R364" i="1"/>
  <c r="Q364" i="1"/>
  <c r="P364" i="1"/>
  <c r="O364" i="1"/>
  <c r="N364" i="1"/>
  <c r="M364" i="1"/>
  <c r="AD363" i="1"/>
  <c r="X363" i="1"/>
  <c r="W363" i="1"/>
  <c r="V363" i="1"/>
  <c r="U363" i="1"/>
  <c r="T363" i="1"/>
  <c r="S363" i="1"/>
  <c r="R363" i="1"/>
  <c r="Q363" i="1"/>
  <c r="P363" i="1"/>
  <c r="O363" i="1"/>
  <c r="N363" i="1"/>
  <c r="M363" i="1"/>
  <c r="AD361" i="1"/>
  <c r="X361" i="1"/>
  <c r="W361" i="1"/>
  <c r="V361" i="1"/>
  <c r="U361" i="1"/>
  <c r="T361" i="1"/>
  <c r="S361" i="1"/>
  <c r="R361" i="1"/>
  <c r="Q361" i="1"/>
  <c r="P361" i="1"/>
  <c r="O361" i="1"/>
  <c r="N361" i="1"/>
  <c r="M361" i="1"/>
  <c r="AD360" i="1"/>
  <c r="X360" i="1"/>
  <c r="W360" i="1"/>
  <c r="V360" i="1"/>
  <c r="U360" i="1"/>
  <c r="T360" i="1"/>
  <c r="S360" i="1"/>
  <c r="R360" i="1"/>
  <c r="Q360" i="1"/>
  <c r="P360" i="1"/>
  <c r="O360" i="1"/>
  <c r="N360" i="1"/>
  <c r="M360" i="1"/>
  <c r="AD359" i="1"/>
  <c r="X359" i="1"/>
  <c r="W359" i="1"/>
  <c r="V359" i="1"/>
  <c r="U359" i="1"/>
  <c r="T359" i="1"/>
  <c r="S359" i="1"/>
  <c r="R359" i="1"/>
  <c r="Q359" i="1"/>
  <c r="P359" i="1"/>
  <c r="O359" i="1"/>
  <c r="N359" i="1"/>
  <c r="M359" i="1"/>
  <c r="AD358" i="1"/>
  <c r="X358" i="1"/>
  <c r="W358" i="1"/>
  <c r="V358" i="1"/>
  <c r="U358" i="1"/>
  <c r="T358" i="1"/>
  <c r="S358" i="1"/>
  <c r="R358" i="1"/>
  <c r="Q358" i="1"/>
  <c r="P358" i="1"/>
  <c r="O358" i="1"/>
  <c r="N358" i="1"/>
  <c r="M358" i="1"/>
  <c r="AD357" i="1"/>
  <c r="X357" i="1"/>
  <c r="W357" i="1"/>
  <c r="V357" i="1"/>
  <c r="U357" i="1"/>
  <c r="T357" i="1"/>
  <c r="S357" i="1"/>
  <c r="R357" i="1"/>
  <c r="Q357" i="1"/>
  <c r="P357" i="1"/>
  <c r="O357" i="1"/>
  <c r="N357" i="1"/>
  <c r="M357" i="1"/>
  <c r="AD356" i="1"/>
  <c r="X356" i="1"/>
  <c r="W356" i="1"/>
  <c r="V356" i="1"/>
  <c r="U356" i="1"/>
  <c r="T356" i="1"/>
  <c r="S356" i="1"/>
  <c r="R356" i="1"/>
  <c r="Q356" i="1"/>
  <c r="P356" i="1"/>
  <c r="O356" i="1"/>
  <c r="N356" i="1"/>
  <c r="M356" i="1"/>
  <c r="AD355" i="1"/>
  <c r="X355" i="1"/>
  <c r="W355" i="1"/>
  <c r="V355" i="1"/>
  <c r="U355" i="1"/>
  <c r="T355" i="1"/>
  <c r="S355" i="1"/>
  <c r="R355" i="1"/>
  <c r="Q355" i="1"/>
  <c r="P355" i="1"/>
  <c r="O355" i="1"/>
  <c r="N355" i="1"/>
  <c r="M355" i="1"/>
  <c r="AD353" i="1"/>
  <c r="X353" i="1"/>
  <c r="W353" i="1"/>
  <c r="V353" i="1"/>
  <c r="U353" i="1"/>
  <c r="T353" i="1"/>
  <c r="S353" i="1"/>
  <c r="R353" i="1"/>
  <c r="Q353" i="1"/>
  <c r="P353" i="1"/>
  <c r="O353" i="1"/>
  <c r="N353" i="1"/>
  <c r="M353" i="1"/>
  <c r="AD352" i="1"/>
  <c r="X352" i="1"/>
  <c r="W352" i="1"/>
  <c r="V352" i="1"/>
  <c r="U352" i="1"/>
  <c r="T352" i="1"/>
  <c r="S352" i="1"/>
  <c r="R352" i="1"/>
  <c r="Q352" i="1"/>
  <c r="P352" i="1"/>
  <c r="O352" i="1"/>
  <c r="N352" i="1"/>
  <c r="M352" i="1"/>
  <c r="AD351" i="1"/>
  <c r="X351" i="1"/>
  <c r="W351" i="1"/>
  <c r="V351" i="1"/>
  <c r="U351" i="1"/>
  <c r="T351" i="1"/>
  <c r="S351" i="1"/>
  <c r="R351" i="1"/>
  <c r="Q351" i="1"/>
  <c r="P351" i="1"/>
  <c r="O351" i="1"/>
  <c r="N351" i="1"/>
  <c r="M351" i="1"/>
  <c r="AD350" i="1"/>
  <c r="X350" i="1"/>
  <c r="W350" i="1"/>
  <c r="V350" i="1"/>
  <c r="U350" i="1"/>
  <c r="T350" i="1"/>
  <c r="S350" i="1"/>
  <c r="R350" i="1"/>
  <c r="Q350" i="1"/>
  <c r="P350" i="1"/>
  <c r="O350" i="1"/>
  <c r="N350" i="1"/>
  <c r="M350" i="1"/>
  <c r="AD349" i="1"/>
  <c r="X349" i="1"/>
  <c r="W349" i="1"/>
  <c r="V349" i="1"/>
  <c r="U349" i="1"/>
  <c r="T349" i="1"/>
  <c r="S349" i="1"/>
  <c r="R349" i="1"/>
  <c r="Q349" i="1"/>
  <c r="P349" i="1"/>
  <c r="O349" i="1"/>
  <c r="N349" i="1"/>
  <c r="M349" i="1"/>
  <c r="AD348" i="1"/>
  <c r="X348" i="1"/>
  <c r="W348" i="1"/>
  <c r="V348" i="1"/>
  <c r="U348" i="1"/>
  <c r="T348" i="1"/>
  <c r="S348" i="1"/>
  <c r="R348" i="1"/>
  <c r="Q348" i="1"/>
  <c r="P348" i="1"/>
  <c r="O348" i="1"/>
  <c r="N348" i="1"/>
  <c r="M348" i="1"/>
  <c r="AD347" i="1"/>
  <c r="X347" i="1"/>
  <c r="W347" i="1"/>
  <c r="V347" i="1"/>
  <c r="U347" i="1"/>
  <c r="T347" i="1"/>
  <c r="S347" i="1"/>
  <c r="R347" i="1"/>
  <c r="Q347" i="1"/>
  <c r="P347" i="1"/>
  <c r="O347" i="1"/>
  <c r="N347" i="1"/>
  <c r="M347" i="1"/>
  <c r="AD346" i="1"/>
  <c r="X346" i="1"/>
  <c r="W346" i="1"/>
  <c r="V346" i="1"/>
  <c r="U346" i="1"/>
  <c r="T346" i="1"/>
  <c r="S346" i="1"/>
  <c r="R346" i="1"/>
  <c r="Q346" i="1"/>
  <c r="P346" i="1"/>
  <c r="O346" i="1"/>
  <c r="N346" i="1"/>
  <c r="M346" i="1"/>
  <c r="AD345" i="1"/>
  <c r="X345" i="1"/>
  <c r="W345" i="1"/>
  <c r="V345" i="1"/>
  <c r="U345" i="1"/>
  <c r="T345" i="1"/>
  <c r="S345" i="1"/>
  <c r="R345" i="1"/>
  <c r="Q345" i="1"/>
  <c r="P345" i="1"/>
  <c r="O345" i="1"/>
  <c r="N345" i="1"/>
  <c r="M345" i="1"/>
  <c r="AD344" i="1"/>
  <c r="X344" i="1"/>
  <c r="W344" i="1"/>
  <c r="V344" i="1"/>
  <c r="U344" i="1"/>
  <c r="T344" i="1"/>
  <c r="S344" i="1"/>
  <c r="R344" i="1"/>
  <c r="Q344" i="1"/>
  <c r="P344" i="1"/>
  <c r="O344" i="1"/>
  <c r="N344" i="1"/>
  <c r="M344" i="1"/>
  <c r="AD340" i="1"/>
  <c r="X340" i="1"/>
  <c r="W340" i="1"/>
  <c r="V340" i="1"/>
  <c r="U340" i="1"/>
  <c r="T340" i="1"/>
  <c r="S340" i="1"/>
  <c r="R340" i="1"/>
  <c r="Q340" i="1"/>
  <c r="P340" i="1"/>
  <c r="O340" i="1"/>
  <c r="N340" i="1"/>
  <c r="M340" i="1"/>
  <c r="AD339" i="1"/>
  <c r="X339" i="1"/>
  <c r="W339" i="1"/>
  <c r="V339" i="1"/>
  <c r="U339" i="1"/>
  <c r="T339" i="1"/>
  <c r="S339" i="1"/>
  <c r="R339" i="1"/>
  <c r="Q339" i="1"/>
  <c r="P339" i="1"/>
  <c r="O339" i="1"/>
  <c r="N339" i="1"/>
  <c r="M339" i="1"/>
  <c r="AD338" i="1"/>
  <c r="X338" i="1"/>
  <c r="W338" i="1"/>
  <c r="V338" i="1"/>
  <c r="U338" i="1"/>
  <c r="T338" i="1"/>
  <c r="S338" i="1"/>
  <c r="R338" i="1"/>
  <c r="Q338" i="1"/>
  <c r="P338" i="1"/>
  <c r="O338" i="1"/>
  <c r="N338" i="1"/>
  <c r="M338" i="1"/>
  <c r="AD337" i="1"/>
  <c r="X337" i="1"/>
  <c r="W337" i="1"/>
  <c r="V337" i="1"/>
  <c r="U337" i="1"/>
  <c r="T337" i="1"/>
  <c r="S337" i="1"/>
  <c r="R337" i="1"/>
  <c r="Q337" i="1"/>
  <c r="P337" i="1"/>
  <c r="O337" i="1"/>
  <c r="N337" i="1"/>
  <c r="M337" i="1"/>
  <c r="AD336" i="1"/>
  <c r="X336" i="1"/>
  <c r="W336" i="1"/>
  <c r="V336" i="1"/>
  <c r="U336" i="1"/>
  <c r="T336" i="1"/>
  <c r="S336" i="1"/>
  <c r="R336" i="1"/>
  <c r="Q336" i="1"/>
  <c r="P336" i="1"/>
  <c r="O336" i="1"/>
  <c r="N336" i="1"/>
  <c r="M336" i="1"/>
  <c r="AD335" i="1"/>
  <c r="X335" i="1"/>
  <c r="W335" i="1"/>
  <c r="V335" i="1"/>
  <c r="U335" i="1"/>
  <c r="T335" i="1"/>
  <c r="S335" i="1"/>
  <c r="R335" i="1"/>
  <c r="Q335" i="1"/>
  <c r="P335" i="1"/>
  <c r="O335" i="1"/>
  <c r="N335" i="1"/>
  <c r="M335" i="1"/>
  <c r="AD334" i="1"/>
  <c r="X334" i="1"/>
  <c r="W334" i="1"/>
  <c r="V334" i="1"/>
  <c r="U334" i="1"/>
  <c r="T334" i="1"/>
  <c r="S334" i="1"/>
  <c r="R334" i="1"/>
  <c r="Q334" i="1"/>
  <c r="P334" i="1"/>
  <c r="O334" i="1"/>
  <c r="N334" i="1"/>
  <c r="M334" i="1"/>
  <c r="AD332" i="1"/>
  <c r="X332" i="1"/>
  <c r="W332" i="1"/>
  <c r="V332" i="1"/>
  <c r="U332" i="1"/>
  <c r="T332" i="1"/>
  <c r="S332" i="1"/>
  <c r="R332" i="1"/>
  <c r="Q332" i="1"/>
  <c r="P332" i="1"/>
  <c r="O332" i="1"/>
  <c r="N332" i="1"/>
  <c r="M332" i="1"/>
  <c r="AD331" i="1"/>
  <c r="X331" i="1"/>
  <c r="W331" i="1"/>
  <c r="V331" i="1"/>
  <c r="U331" i="1"/>
  <c r="T331" i="1"/>
  <c r="S331" i="1"/>
  <c r="R331" i="1"/>
  <c r="Q331" i="1"/>
  <c r="P331" i="1"/>
  <c r="O331" i="1"/>
  <c r="N331" i="1"/>
  <c r="M331" i="1"/>
  <c r="AD330" i="1"/>
  <c r="X330" i="1"/>
  <c r="W330" i="1"/>
  <c r="V330" i="1"/>
  <c r="U330" i="1"/>
  <c r="T330" i="1"/>
  <c r="S330" i="1"/>
  <c r="R330" i="1"/>
  <c r="Q330" i="1"/>
  <c r="P330" i="1"/>
  <c r="O330" i="1"/>
  <c r="N330" i="1"/>
  <c r="M330" i="1"/>
  <c r="AD327" i="1"/>
  <c r="X327" i="1"/>
  <c r="W327" i="1"/>
  <c r="V327" i="1"/>
  <c r="U327" i="1"/>
  <c r="T327" i="1"/>
  <c r="S327" i="1"/>
  <c r="R327" i="1"/>
  <c r="Q327" i="1"/>
  <c r="P327" i="1"/>
  <c r="O327" i="1"/>
  <c r="N327" i="1"/>
  <c r="M327" i="1"/>
  <c r="AD326" i="1"/>
  <c r="X326" i="1"/>
  <c r="W326" i="1"/>
  <c r="V326" i="1"/>
  <c r="U326" i="1"/>
  <c r="T326" i="1"/>
  <c r="S326" i="1"/>
  <c r="R326" i="1"/>
  <c r="Q326" i="1"/>
  <c r="P326" i="1"/>
  <c r="O326" i="1"/>
  <c r="N326" i="1"/>
  <c r="M326" i="1"/>
  <c r="AD325" i="1"/>
  <c r="X325" i="1"/>
  <c r="W325" i="1"/>
  <c r="V325" i="1"/>
  <c r="U325" i="1"/>
  <c r="T325" i="1"/>
  <c r="S325" i="1"/>
  <c r="R325" i="1"/>
  <c r="Q325" i="1"/>
  <c r="P325" i="1"/>
  <c r="O325" i="1"/>
  <c r="N325" i="1"/>
  <c r="M325" i="1"/>
  <c r="AD324" i="1"/>
  <c r="X324" i="1"/>
  <c r="W324" i="1"/>
  <c r="V324" i="1"/>
  <c r="U324" i="1"/>
  <c r="T324" i="1"/>
  <c r="S324" i="1"/>
  <c r="R324" i="1"/>
  <c r="Q324" i="1"/>
  <c r="P324" i="1"/>
  <c r="O324" i="1"/>
  <c r="N324" i="1"/>
  <c r="M324" i="1"/>
  <c r="AD323" i="1"/>
  <c r="X323" i="1"/>
  <c r="W323" i="1"/>
  <c r="V323" i="1"/>
  <c r="U323" i="1"/>
  <c r="T323" i="1"/>
  <c r="S323" i="1"/>
  <c r="R323" i="1"/>
  <c r="Q323" i="1"/>
  <c r="P323" i="1"/>
  <c r="O323" i="1"/>
  <c r="N323" i="1"/>
  <c r="M323" i="1"/>
  <c r="AD321" i="1"/>
  <c r="X321" i="1"/>
  <c r="W321" i="1"/>
  <c r="V321" i="1"/>
  <c r="U321" i="1"/>
  <c r="T321" i="1"/>
  <c r="S321" i="1"/>
  <c r="R321" i="1"/>
  <c r="Q321" i="1"/>
  <c r="P321" i="1"/>
  <c r="O321" i="1"/>
  <c r="N321" i="1"/>
  <c r="M321" i="1"/>
  <c r="AD320" i="1"/>
  <c r="X320" i="1"/>
  <c r="W320" i="1"/>
  <c r="V320" i="1"/>
  <c r="U320" i="1"/>
  <c r="T320" i="1"/>
  <c r="S320" i="1"/>
  <c r="R320" i="1"/>
  <c r="Q320" i="1"/>
  <c r="P320" i="1"/>
  <c r="O320" i="1"/>
  <c r="N320" i="1"/>
  <c r="M320" i="1"/>
  <c r="AD317" i="1"/>
  <c r="X317" i="1"/>
  <c r="W317" i="1"/>
  <c r="V317" i="1"/>
  <c r="U317" i="1"/>
  <c r="T317" i="1"/>
  <c r="S317" i="1"/>
  <c r="R317" i="1"/>
  <c r="Q317" i="1"/>
  <c r="P317" i="1"/>
  <c r="O317" i="1"/>
  <c r="N317" i="1"/>
  <c r="M317" i="1"/>
  <c r="AD316" i="1"/>
  <c r="X316" i="1"/>
  <c r="W316" i="1"/>
  <c r="V316" i="1"/>
  <c r="U316" i="1"/>
  <c r="T316" i="1"/>
  <c r="S316" i="1"/>
  <c r="R316" i="1"/>
  <c r="Q316" i="1"/>
  <c r="P316" i="1"/>
  <c r="O316" i="1"/>
  <c r="N316" i="1"/>
  <c r="M316" i="1"/>
  <c r="AD315" i="1"/>
  <c r="X315" i="1"/>
  <c r="W315" i="1"/>
  <c r="V315" i="1"/>
  <c r="U315" i="1"/>
  <c r="T315" i="1"/>
  <c r="S315" i="1"/>
  <c r="R315" i="1"/>
  <c r="Q315" i="1"/>
  <c r="P315" i="1"/>
  <c r="O315" i="1"/>
  <c r="N315" i="1"/>
  <c r="M315" i="1"/>
  <c r="AD314" i="1"/>
  <c r="X314" i="1"/>
  <c r="W314" i="1"/>
  <c r="V314" i="1"/>
  <c r="U314" i="1"/>
  <c r="T314" i="1"/>
  <c r="S314" i="1"/>
  <c r="R314" i="1"/>
  <c r="Q314" i="1"/>
  <c r="P314" i="1"/>
  <c r="O314" i="1"/>
  <c r="N314" i="1"/>
  <c r="M314" i="1"/>
  <c r="AD313" i="1"/>
  <c r="X313" i="1"/>
  <c r="W313" i="1"/>
  <c r="V313" i="1"/>
  <c r="U313" i="1"/>
  <c r="T313" i="1"/>
  <c r="S313" i="1"/>
  <c r="R313" i="1"/>
  <c r="Q313" i="1"/>
  <c r="P313" i="1"/>
  <c r="O313" i="1"/>
  <c r="N313" i="1"/>
  <c r="M313" i="1"/>
  <c r="AD312" i="1"/>
  <c r="X312" i="1"/>
  <c r="W312" i="1"/>
  <c r="V312" i="1"/>
  <c r="U312" i="1"/>
  <c r="T312" i="1"/>
  <c r="S312" i="1"/>
  <c r="R312" i="1"/>
  <c r="Q312" i="1"/>
  <c r="P312" i="1"/>
  <c r="O312" i="1"/>
  <c r="N312" i="1"/>
  <c r="M312" i="1"/>
  <c r="AD311" i="1"/>
  <c r="X311" i="1"/>
  <c r="W311" i="1"/>
  <c r="V311" i="1"/>
  <c r="U311" i="1"/>
  <c r="T311" i="1"/>
  <c r="S311" i="1"/>
  <c r="R311" i="1"/>
  <c r="Q311" i="1"/>
  <c r="P311" i="1"/>
  <c r="O311" i="1"/>
  <c r="N311" i="1"/>
  <c r="M311" i="1"/>
  <c r="AD310" i="1"/>
  <c r="X310" i="1"/>
  <c r="W310" i="1"/>
  <c r="V310" i="1"/>
  <c r="U310" i="1"/>
  <c r="T310" i="1"/>
  <c r="S310" i="1"/>
  <c r="R310" i="1"/>
  <c r="Q310" i="1"/>
  <c r="P310" i="1"/>
  <c r="O310" i="1"/>
  <c r="N310" i="1"/>
  <c r="M310" i="1"/>
  <c r="AD309" i="1"/>
  <c r="X309" i="1"/>
  <c r="W309" i="1"/>
  <c r="V309" i="1"/>
  <c r="U309" i="1"/>
  <c r="T309" i="1"/>
  <c r="S309" i="1"/>
  <c r="R309" i="1"/>
  <c r="Q309" i="1"/>
  <c r="P309" i="1"/>
  <c r="O309" i="1"/>
  <c r="N309" i="1"/>
  <c r="M309" i="1"/>
  <c r="AD306" i="1"/>
  <c r="X306" i="1"/>
  <c r="W306" i="1"/>
  <c r="V306" i="1"/>
  <c r="U306" i="1"/>
  <c r="T306" i="1"/>
  <c r="S306" i="1"/>
  <c r="R306" i="1"/>
  <c r="Q306" i="1"/>
  <c r="P306" i="1"/>
  <c r="O306" i="1"/>
  <c r="N306" i="1"/>
  <c r="M306" i="1"/>
  <c r="AD305" i="1"/>
  <c r="X305" i="1"/>
  <c r="W305" i="1"/>
  <c r="V305" i="1"/>
  <c r="U305" i="1"/>
  <c r="T305" i="1"/>
  <c r="S305" i="1"/>
  <c r="R305" i="1"/>
  <c r="Q305" i="1"/>
  <c r="P305" i="1"/>
  <c r="O305" i="1"/>
  <c r="N305" i="1"/>
  <c r="M305" i="1"/>
  <c r="AD304" i="1"/>
  <c r="X304" i="1"/>
  <c r="W304" i="1"/>
  <c r="V304" i="1"/>
  <c r="U304" i="1"/>
  <c r="T304" i="1"/>
  <c r="S304" i="1"/>
  <c r="R304" i="1"/>
  <c r="Q304" i="1"/>
  <c r="P304" i="1"/>
  <c r="O304" i="1"/>
  <c r="N304" i="1"/>
  <c r="M304" i="1"/>
  <c r="AD303" i="1"/>
  <c r="X303" i="1"/>
  <c r="W303" i="1"/>
  <c r="V303" i="1"/>
  <c r="U303" i="1"/>
  <c r="T303" i="1"/>
  <c r="S303" i="1"/>
  <c r="R303" i="1"/>
  <c r="Q303" i="1"/>
  <c r="P303" i="1"/>
  <c r="O303" i="1"/>
  <c r="N303" i="1"/>
  <c r="M303" i="1"/>
  <c r="AD302" i="1"/>
  <c r="X302" i="1"/>
  <c r="W302" i="1"/>
  <c r="V302" i="1"/>
  <c r="U302" i="1"/>
  <c r="T302" i="1"/>
  <c r="S302" i="1"/>
  <c r="R302" i="1"/>
  <c r="Q302" i="1"/>
  <c r="P302" i="1"/>
  <c r="O302" i="1"/>
  <c r="N302" i="1"/>
  <c r="M302" i="1"/>
  <c r="AD301" i="1"/>
  <c r="X301" i="1"/>
  <c r="W301" i="1"/>
  <c r="V301" i="1"/>
  <c r="U301" i="1"/>
  <c r="T301" i="1"/>
  <c r="S301" i="1"/>
  <c r="R301" i="1"/>
  <c r="Q301" i="1"/>
  <c r="P301" i="1"/>
  <c r="O301" i="1"/>
  <c r="N301" i="1"/>
  <c r="M301" i="1"/>
  <c r="AD299" i="1"/>
  <c r="X299" i="1"/>
  <c r="W299" i="1"/>
  <c r="V299" i="1"/>
  <c r="U299" i="1"/>
  <c r="T299" i="1"/>
  <c r="S299" i="1"/>
  <c r="R299" i="1"/>
  <c r="Q299" i="1"/>
  <c r="P299" i="1"/>
  <c r="O299" i="1"/>
  <c r="N299" i="1"/>
  <c r="M299" i="1"/>
  <c r="AD298" i="1"/>
  <c r="X298" i="1"/>
  <c r="W298" i="1"/>
  <c r="V298" i="1"/>
  <c r="U298" i="1"/>
  <c r="T298" i="1"/>
  <c r="S298" i="1"/>
  <c r="R298" i="1"/>
  <c r="Q298" i="1"/>
  <c r="P298" i="1"/>
  <c r="O298" i="1"/>
  <c r="N298" i="1"/>
  <c r="M298" i="1"/>
  <c r="AD297" i="1"/>
  <c r="X297" i="1"/>
  <c r="W297" i="1"/>
  <c r="V297" i="1"/>
  <c r="U297" i="1"/>
  <c r="T297" i="1"/>
  <c r="S297" i="1"/>
  <c r="R297" i="1"/>
  <c r="Q297" i="1"/>
  <c r="P297" i="1"/>
  <c r="O297" i="1"/>
  <c r="N297" i="1"/>
  <c r="M297" i="1"/>
  <c r="AD296" i="1"/>
  <c r="X296" i="1"/>
  <c r="W296" i="1"/>
  <c r="V296" i="1"/>
  <c r="U296" i="1"/>
  <c r="T296" i="1"/>
  <c r="S296" i="1"/>
  <c r="R296" i="1"/>
  <c r="Q296" i="1"/>
  <c r="P296" i="1"/>
  <c r="O296" i="1"/>
  <c r="N296" i="1"/>
  <c r="M296" i="1"/>
  <c r="AD295" i="1"/>
  <c r="X295" i="1"/>
  <c r="W295" i="1"/>
  <c r="V295" i="1"/>
  <c r="U295" i="1"/>
  <c r="T295" i="1"/>
  <c r="S295" i="1"/>
  <c r="R295" i="1"/>
  <c r="Q295" i="1"/>
  <c r="P295" i="1"/>
  <c r="O295" i="1"/>
  <c r="N295" i="1"/>
  <c r="M295" i="1"/>
  <c r="AD294" i="1"/>
  <c r="X294" i="1"/>
  <c r="W294" i="1"/>
  <c r="V294" i="1"/>
  <c r="U294" i="1"/>
  <c r="T294" i="1"/>
  <c r="S294" i="1"/>
  <c r="R294" i="1"/>
  <c r="Q294" i="1"/>
  <c r="P294" i="1"/>
  <c r="O294" i="1"/>
  <c r="N294" i="1"/>
  <c r="M294" i="1"/>
  <c r="AD293" i="1"/>
  <c r="X293" i="1"/>
  <c r="W293" i="1"/>
  <c r="V293" i="1"/>
  <c r="U293" i="1"/>
  <c r="T293" i="1"/>
  <c r="S293" i="1"/>
  <c r="R293" i="1"/>
  <c r="Q293" i="1"/>
  <c r="P293" i="1"/>
  <c r="O293" i="1"/>
  <c r="N293" i="1"/>
  <c r="M293" i="1"/>
  <c r="AD292" i="1"/>
  <c r="X292" i="1"/>
  <c r="W292" i="1"/>
  <c r="V292" i="1"/>
  <c r="U292" i="1"/>
  <c r="T292" i="1"/>
  <c r="S292" i="1"/>
  <c r="R292" i="1"/>
  <c r="Q292" i="1"/>
  <c r="P292" i="1"/>
  <c r="O292" i="1"/>
  <c r="N292" i="1"/>
  <c r="M292" i="1"/>
  <c r="AD291" i="1"/>
  <c r="X291" i="1"/>
  <c r="W291" i="1"/>
  <c r="V291" i="1"/>
  <c r="U291" i="1"/>
  <c r="T291" i="1"/>
  <c r="S291" i="1"/>
  <c r="R291" i="1"/>
  <c r="Q291" i="1"/>
  <c r="P291" i="1"/>
  <c r="O291" i="1"/>
  <c r="N291" i="1"/>
  <c r="M291" i="1"/>
  <c r="AD290" i="1"/>
  <c r="X290" i="1"/>
  <c r="W290" i="1"/>
  <c r="V290" i="1"/>
  <c r="U290" i="1"/>
  <c r="T290" i="1"/>
  <c r="S290" i="1"/>
  <c r="R290" i="1"/>
  <c r="Q290" i="1"/>
  <c r="P290" i="1"/>
  <c r="O290" i="1"/>
  <c r="N290" i="1"/>
  <c r="M290" i="1"/>
  <c r="AD289" i="1"/>
  <c r="X289" i="1"/>
  <c r="W289" i="1"/>
  <c r="V289" i="1"/>
  <c r="U289" i="1"/>
  <c r="T289" i="1"/>
  <c r="S289" i="1"/>
  <c r="R289" i="1"/>
  <c r="Q289" i="1"/>
  <c r="P289" i="1"/>
  <c r="O289" i="1"/>
  <c r="N289" i="1"/>
  <c r="M289" i="1"/>
  <c r="AD288" i="1"/>
  <c r="X288" i="1"/>
  <c r="W288" i="1"/>
  <c r="V288" i="1"/>
  <c r="U288" i="1"/>
  <c r="T288" i="1"/>
  <c r="S288" i="1"/>
  <c r="R288" i="1"/>
  <c r="Q288" i="1"/>
  <c r="P288" i="1"/>
  <c r="O288" i="1"/>
  <c r="N288" i="1"/>
  <c r="M288" i="1"/>
  <c r="AD287" i="1"/>
  <c r="X287" i="1"/>
  <c r="W287" i="1"/>
  <c r="V287" i="1"/>
  <c r="U287" i="1"/>
  <c r="T287" i="1"/>
  <c r="S287" i="1"/>
  <c r="R287" i="1"/>
  <c r="Q287" i="1"/>
  <c r="P287" i="1"/>
  <c r="O287" i="1"/>
  <c r="N287" i="1"/>
  <c r="M287" i="1"/>
  <c r="AD286" i="1"/>
  <c r="X286" i="1"/>
  <c r="W286" i="1"/>
  <c r="V286" i="1"/>
  <c r="U286" i="1"/>
  <c r="T286" i="1"/>
  <c r="S286" i="1"/>
  <c r="R286" i="1"/>
  <c r="Q286" i="1"/>
  <c r="P286" i="1"/>
  <c r="O286" i="1"/>
  <c r="N286" i="1"/>
  <c r="M286" i="1"/>
  <c r="AD285" i="1"/>
  <c r="X285" i="1"/>
  <c r="W285" i="1"/>
  <c r="V285" i="1"/>
  <c r="U285" i="1"/>
  <c r="T285" i="1"/>
  <c r="S285" i="1"/>
  <c r="R285" i="1"/>
  <c r="Q285" i="1"/>
  <c r="P285" i="1"/>
  <c r="O285" i="1"/>
  <c r="N285" i="1"/>
  <c r="M285" i="1"/>
  <c r="AD284" i="1"/>
  <c r="X284" i="1"/>
  <c r="W284" i="1"/>
  <c r="V284" i="1"/>
  <c r="U284" i="1"/>
  <c r="T284" i="1"/>
  <c r="S284" i="1"/>
  <c r="R284" i="1"/>
  <c r="Q284" i="1"/>
  <c r="P284" i="1"/>
  <c r="O284" i="1"/>
  <c r="N284" i="1"/>
  <c r="M284" i="1"/>
  <c r="AD283" i="1"/>
  <c r="X283" i="1"/>
  <c r="W283" i="1"/>
  <c r="V283" i="1"/>
  <c r="U283" i="1"/>
  <c r="T283" i="1"/>
  <c r="S283" i="1"/>
  <c r="R283" i="1"/>
  <c r="Q283" i="1"/>
  <c r="P283" i="1"/>
  <c r="O283" i="1"/>
  <c r="N283" i="1"/>
  <c r="M283" i="1"/>
  <c r="AD282" i="1"/>
  <c r="X282" i="1"/>
  <c r="W282" i="1"/>
  <c r="V282" i="1"/>
  <c r="U282" i="1"/>
  <c r="T282" i="1"/>
  <c r="S282" i="1"/>
  <c r="R282" i="1"/>
  <c r="Q282" i="1"/>
  <c r="P282" i="1"/>
  <c r="O282" i="1"/>
  <c r="N282" i="1"/>
  <c r="M282" i="1"/>
  <c r="AD281" i="1"/>
  <c r="X281" i="1"/>
  <c r="W281" i="1"/>
  <c r="V281" i="1"/>
  <c r="U281" i="1"/>
  <c r="T281" i="1"/>
  <c r="S281" i="1"/>
  <c r="R281" i="1"/>
  <c r="Q281" i="1"/>
  <c r="P281" i="1"/>
  <c r="O281" i="1"/>
  <c r="N281" i="1"/>
  <c r="M281" i="1"/>
  <c r="AD280" i="1"/>
  <c r="X280" i="1"/>
  <c r="W280" i="1"/>
  <c r="V280" i="1"/>
  <c r="U280" i="1"/>
  <c r="T280" i="1"/>
  <c r="S280" i="1"/>
  <c r="R280" i="1"/>
  <c r="Q280" i="1"/>
  <c r="P280" i="1"/>
  <c r="O280" i="1"/>
  <c r="N280" i="1"/>
  <c r="M280" i="1"/>
  <c r="AD279" i="1"/>
  <c r="X279" i="1"/>
  <c r="W279" i="1"/>
  <c r="V279" i="1"/>
  <c r="U279" i="1"/>
  <c r="T279" i="1"/>
  <c r="S279" i="1"/>
  <c r="R279" i="1"/>
  <c r="Q279" i="1"/>
  <c r="P279" i="1"/>
  <c r="O279" i="1"/>
  <c r="N279" i="1"/>
  <c r="M279" i="1"/>
  <c r="AD278" i="1"/>
  <c r="X278" i="1"/>
  <c r="W278" i="1"/>
  <c r="V278" i="1"/>
  <c r="U278" i="1"/>
  <c r="T278" i="1"/>
  <c r="S278" i="1"/>
  <c r="R278" i="1"/>
  <c r="Q278" i="1"/>
  <c r="P278" i="1"/>
  <c r="O278" i="1"/>
  <c r="N278" i="1"/>
  <c r="M278" i="1"/>
  <c r="AD277" i="1"/>
  <c r="X277" i="1"/>
  <c r="W277" i="1"/>
  <c r="V277" i="1"/>
  <c r="U277" i="1"/>
  <c r="T277" i="1"/>
  <c r="S277" i="1"/>
  <c r="R277" i="1"/>
  <c r="Q277" i="1"/>
  <c r="P277" i="1"/>
  <c r="O277" i="1"/>
  <c r="N277" i="1"/>
  <c r="M277" i="1"/>
  <c r="AD276" i="1"/>
  <c r="X276" i="1"/>
  <c r="W276" i="1"/>
  <c r="V276" i="1"/>
  <c r="U276" i="1"/>
  <c r="T276" i="1"/>
  <c r="S276" i="1"/>
  <c r="R276" i="1"/>
  <c r="Q276" i="1"/>
  <c r="P276" i="1"/>
  <c r="O276" i="1"/>
  <c r="N276" i="1"/>
  <c r="M276" i="1"/>
  <c r="AD275" i="1"/>
  <c r="X275" i="1"/>
  <c r="W275" i="1"/>
  <c r="V275" i="1"/>
  <c r="U275" i="1"/>
  <c r="T275" i="1"/>
  <c r="S275" i="1"/>
  <c r="R275" i="1"/>
  <c r="Q275" i="1"/>
  <c r="P275" i="1"/>
  <c r="O275" i="1"/>
  <c r="N275" i="1"/>
  <c r="M275" i="1"/>
  <c r="AD274" i="1"/>
  <c r="X274" i="1"/>
  <c r="W274" i="1"/>
  <c r="V274" i="1"/>
  <c r="U274" i="1"/>
  <c r="T274" i="1"/>
  <c r="S274" i="1"/>
  <c r="R274" i="1"/>
  <c r="Q274" i="1"/>
  <c r="P274" i="1"/>
  <c r="O274" i="1"/>
  <c r="N274" i="1"/>
  <c r="M274" i="1"/>
  <c r="AD273" i="1"/>
  <c r="X273" i="1"/>
  <c r="W273" i="1"/>
  <c r="V273" i="1"/>
  <c r="U273" i="1"/>
  <c r="T273" i="1"/>
  <c r="S273" i="1"/>
  <c r="R273" i="1"/>
  <c r="Q273" i="1"/>
  <c r="P273" i="1"/>
  <c r="O273" i="1"/>
  <c r="N273" i="1"/>
  <c r="M273" i="1"/>
  <c r="AD272" i="1"/>
  <c r="X272" i="1"/>
  <c r="W272" i="1"/>
  <c r="V272" i="1"/>
  <c r="U272" i="1"/>
  <c r="T272" i="1"/>
  <c r="S272" i="1"/>
  <c r="R272" i="1"/>
  <c r="Q272" i="1"/>
  <c r="P272" i="1"/>
  <c r="O272" i="1"/>
  <c r="N272" i="1"/>
  <c r="M272" i="1"/>
  <c r="AD271" i="1"/>
  <c r="X271" i="1"/>
  <c r="W271" i="1"/>
  <c r="V271" i="1"/>
  <c r="U271" i="1"/>
  <c r="T271" i="1"/>
  <c r="S271" i="1"/>
  <c r="R271" i="1"/>
  <c r="Q271" i="1"/>
  <c r="P271" i="1"/>
  <c r="O271" i="1"/>
  <c r="N271" i="1"/>
  <c r="M271" i="1"/>
  <c r="AD270" i="1"/>
  <c r="X270" i="1"/>
  <c r="W270" i="1"/>
  <c r="V270" i="1"/>
  <c r="U270" i="1"/>
  <c r="T270" i="1"/>
  <c r="S270" i="1"/>
  <c r="R270" i="1"/>
  <c r="Q270" i="1"/>
  <c r="P270" i="1"/>
  <c r="O270" i="1"/>
  <c r="N270" i="1"/>
  <c r="M270" i="1"/>
  <c r="AD268" i="1"/>
  <c r="X268" i="1"/>
  <c r="W268" i="1"/>
  <c r="V268" i="1"/>
  <c r="U268" i="1"/>
  <c r="T268" i="1"/>
  <c r="S268" i="1"/>
  <c r="R268" i="1"/>
  <c r="Q268" i="1"/>
  <c r="P268" i="1"/>
  <c r="O268" i="1"/>
  <c r="N268" i="1"/>
  <c r="M268" i="1"/>
  <c r="AD267" i="1"/>
  <c r="X267" i="1"/>
  <c r="W267" i="1"/>
  <c r="V267" i="1"/>
  <c r="U267" i="1"/>
  <c r="T267" i="1"/>
  <c r="S267" i="1"/>
  <c r="R267" i="1"/>
  <c r="Q267" i="1"/>
  <c r="P267" i="1"/>
  <c r="O267" i="1"/>
  <c r="N267" i="1"/>
  <c r="M267" i="1"/>
  <c r="AD266" i="1"/>
  <c r="X266" i="1"/>
  <c r="W266" i="1"/>
  <c r="V266" i="1"/>
  <c r="U266" i="1"/>
  <c r="T266" i="1"/>
  <c r="S266" i="1"/>
  <c r="R266" i="1"/>
  <c r="Q266" i="1"/>
  <c r="P266" i="1"/>
  <c r="O266" i="1"/>
  <c r="N266" i="1"/>
  <c r="M266" i="1"/>
  <c r="AD265" i="1"/>
  <c r="X265" i="1"/>
  <c r="W265" i="1"/>
  <c r="V265" i="1"/>
  <c r="U265" i="1"/>
  <c r="T265" i="1"/>
  <c r="S265" i="1"/>
  <c r="R265" i="1"/>
  <c r="Q265" i="1"/>
  <c r="P265" i="1"/>
  <c r="O265" i="1"/>
  <c r="N265" i="1"/>
  <c r="M265" i="1"/>
  <c r="AD264" i="1"/>
  <c r="X264" i="1"/>
  <c r="W264" i="1"/>
  <c r="V264" i="1"/>
  <c r="U264" i="1"/>
  <c r="T264" i="1"/>
  <c r="S264" i="1"/>
  <c r="R264" i="1"/>
  <c r="Q264" i="1"/>
  <c r="P264" i="1"/>
  <c r="O264" i="1"/>
  <c r="N264" i="1"/>
  <c r="M264" i="1"/>
  <c r="AD263" i="1"/>
  <c r="X263" i="1"/>
  <c r="W263" i="1"/>
  <c r="V263" i="1"/>
  <c r="U263" i="1"/>
  <c r="T263" i="1"/>
  <c r="S263" i="1"/>
  <c r="R263" i="1"/>
  <c r="Q263" i="1"/>
  <c r="P263" i="1"/>
  <c r="O263" i="1"/>
  <c r="N263" i="1"/>
  <c r="M263" i="1"/>
  <c r="AD262" i="1"/>
  <c r="X262" i="1"/>
  <c r="W262" i="1"/>
  <c r="V262" i="1"/>
  <c r="U262" i="1"/>
  <c r="T262" i="1"/>
  <c r="S262" i="1"/>
  <c r="R262" i="1"/>
  <c r="Q262" i="1"/>
  <c r="P262" i="1"/>
  <c r="O262" i="1"/>
  <c r="N262" i="1"/>
  <c r="M262" i="1"/>
  <c r="AD261" i="1"/>
  <c r="X261" i="1"/>
  <c r="W261" i="1"/>
  <c r="V261" i="1"/>
  <c r="U261" i="1"/>
  <c r="T261" i="1"/>
  <c r="S261" i="1"/>
  <c r="R261" i="1"/>
  <c r="Q261" i="1"/>
  <c r="P261" i="1"/>
  <c r="O261" i="1"/>
  <c r="N261" i="1"/>
  <c r="M261" i="1"/>
  <c r="AD260" i="1"/>
  <c r="X260" i="1"/>
  <c r="W260" i="1"/>
  <c r="V260" i="1"/>
  <c r="U260" i="1"/>
  <c r="T260" i="1"/>
  <c r="S260" i="1"/>
  <c r="R260" i="1"/>
  <c r="Q260" i="1"/>
  <c r="P260" i="1"/>
  <c r="O260" i="1"/>
  <c r="N260" i="1"/>
  <c r="M260" i="1"/>
  <c r="AD259" i="1"/>
  <c r="X259" i="1"/>
  <c r="W259" i="1"/>
  <c r="V259" i="1"/>
  <c r="U259" i="1"/>
  <c r="T259" i="1"/>
  <c r="S259" i="1"/>
  <c r="R259" i="1"/>
  <c r="Q259" i="1"/>
  <c r="P259" i="1"/>
  <c r="O259" i="1"/>
  <c r="N259" i="1"/>
  <c r="M259" i="1"/>
  <c r="AD258" i="1"/>
  <c r="X258" i="1"/>
  <c r="W258" i="1"/>
  <c r="V258" i="1"/>
  <c r="U258" i="1"/>
  <c r="T258" i="1"/>
  <c r="S258" i="1"/>
  <c r="R258" i="1"/>
  <c r="Q258" i="1"/>
  <c r="P258" i="1"/>
  <c r="O258" i="1"/>
  <c r="N258" i="1"/>
  <c r="M258" i="1"/>
  <c r="AD257" i="1"/>
  <c r="X257" i="1"/>
  <c r="W257" i="1"/>
  <c r="V257" i="1"/>
  <c r="U257" i="1"/>
  <c r="T257" i="1"/>
  <c r="S257" i="1"/>
  <c r="R257" i="1"/>
  <c r="Q257" i="1"/>
  <c r="P257" i="1"/>
  <c r="O257" i="1"/>
  <c r="N257" i="1"/>
  <c r="M257" i="1"/>
  <c r="AD256" i="1"/>
  <c r="X256" i="1"/>
  <c r="W256" i="1"/>
  <c r="V256" i="1"/>
  <c r="U256" i="1"/>
  <c r="T256" i="1"/>
  <c r="S256" i="1"/>
  <c r="R256" i="1"/>
  <c r="Q256" i="1"/>
  <c r="P256" i="1"/>
  <c r="O256" i="1"/>
  <c r="N256" i="1"/>
  <c r="M256" i="1"/>
  <c r="AD255" i="1"/>
  <c r="X255" i="1"/>
  <c r="W255" i="1"/>
  <c r="V255" i="1"/>
  <c r="U255" i="1"/>
  <c r="T255" i="1"/>
  <c r="S255" i="1"/>
  <c r="R255" i="1"/>
  <c r="Q255" i="1"/>
  <c r="P255" i="1"/>
  <c r="O255" i="1"/>
  <c r="N255" i="1"/>
  <c r="M255" i="1"/>
  <c r="AD254" i="1"/>
  <c r="X254" i="1"/>
  <c r="W254" i="1"/>
  <c r="V254" i="1"/>
  <c r="U254" i="1"/>
  <c r="T254" i="1"/>
  <c r="S254" i="1"/>
  <c r="R254" i="1"/>
  <c r="Q254" i="1"/>
  <c r="P254" i="1"/>
  <c r="O254" i="1"/>
  <c r="N254" i="1"/>
  <c r="M254" i="1"/>
  <c r="AD253" i="1"/>
  <c r="X253" i="1"/>
  <c r="W253" i="1"/>
  <c r="V253" i="1"/>
  <c r="U253" i="1"/>
  <c r="T253" i="1"/>
  <c r="S253" i="1"/>
  <c r="R253" i="1"/>
  <c r="Q253" i="1"/>
  <c r="P253" i="1"/>
  <c r="O253" i="1"/>
  <c r="N253" i="1"/>
  <c r="M253" i="1"/>
  <c r="AD252" i="1"/>
  <c r="X252" i="1"/>
  <c r="W252" i="1"/>
  <c r="V252" i="1"/>
  <c r="U252" i="1"/>
  <c r="T252" i="1"/>
  <c r="S252" i="1"/>
  <c r="R252" i="1"/>
  <c r="Q252" i="1"/>
  <c r="P252" i="1"/>
  <c r="O252" i="1"/>
  <c r="N252" i="1"/>
  <c r="M252" i="1"/>
  <c r="AD251" i="1"/>
  <c r="X251" i="1"/>
  <c r="W251" i="1"/>
  <c r="V251" i="1"/>
  <c r="U251" i="1"/>
  <c r="T251" i="1"/>
  <c r="S251" i="1"/>
  <c r="R251" i="1"/>
  <c r="Q251" i="1"/>
  <c r="P251" i="1"/>
  <c r="O251" i="1"/>
  <c r="N251" i="1"/>
  <c r="M251" i="1"/>
  <c r="AD250" i="1"/>
  <c r="X250" i="1"/>
  <c r="W250" i="1"/>
  <c r="V250" i="1"/>
  <c r="U250" i="1"/>
  <c r="T250" i="1"/>
  <c r="S250" i="1"/>
  <c r="R250" i="1"/>
  <c r="Q250" i="1"/>
  <c r="P250" i="1"/>
  <c r="O250" i="1"/>
  <c r="N250" i="1"/>
  <c r="M250" i="1"/>
  <c r="AD249" i="1"/>
  <c r="X249" i="1"/>
  <c r="W249" i="1"/>
  <c r="V249" i="1"/>
  <c r="U249" i="1"/>
  <c r="T249" i="1"/>
  <c r="S249" i="1"/>
  <c r="R249" i="1"/>
  <c r="Q249" i="1"/>
  <c r="P249" i="1"/>
  <c r="O249" i="1"/>
  <c r="N249" i="1"/>
  <c r="M249" i="1"/>
  <c r="AD248" i="1"/>
  <c r="X248" i="1"/>
  <c r="W248" i="1"/>
  <c r="V248" i="1"/>
  <c r="U248" i="1"/>
  <c r="T248" i="1"/>
  <c r="S248" i="1"/>
  <c r="R248" i="1"/>
  <c r="Q248" i="1"/>
  <c r="P248" i="1"/>
  <c r="O248" i="1"/>
  <c r="N248" i="1"/>
  <c r="M248" i="1"/>
  <c r="AD247" i="1"/>
  <c r="X247" i="1"/>
  <c r="W247" i="1"/>
  <c r="V247" i="1"/>
  <c r="U247" i="1"/>
  <c r="T247" i="1"/>
  <c r="S247" i="1"/>
  <c r="R247" i="1"/>
  <c r="Q247" i="1"/>
  <c r="P247" i="1"/>
  <c r="O247" i="1"/>
  <c r="N247" i="1"/>
  <c r="M247" i="1"/>
  <c r="AD246" i="1"/>
  <c r="X246" i="1"/>
  <c r="W246" i="1"/>
  <c r="V246" i="1"/>
  <c r="U246" i="1"/>
  <c r="T246" i="1"/>
  <c r="S246" i="1"/>
  <c r="R246" i="1"/>
  <c r="Q246" i="1"/>
  <c r="P246" i="1"/>
  <c r="O246" i="1"/>
  <c r="N246" i="1"/>
  <c r="M246" i="1"/>
  <c r="AD245" i="1"/>
  <c r="X245" i="1"/>
  <c r="W245" i="1"/>
  <c r="V245" i="1"/>
  <c r="U245" i="1"/>
  <c r="T245" i="1"/>
  <c r="S245" i="1"/>
  <c r="R245" i="1"/>
  <c r="Q245" i="1"/>
  <c r="P245" i="1"/>
  <c r="O245" i="1"/>
  <c r="N245" i="1"/>
  <c r="M245" i="1"/>
  <c r="AD244" i="1"/>
  <c r="X244" i="1"/>
  <c r="W244" i="1"/>
  <c r="V244" i="1"/>
  <c r="U244" i="1"/>
  <c r="T244" i="1"/>
  <c r="S244" i="1"/>
  <c r="R244" i="1"/>
  <c r="Q244" i="1"/>
  <c r="P244" i="1"/>
  <c r="O244" i="1"/>
  <c r="N244" i="1"/>
  <c r="M244" i="1"/>
  <c r="AD243" i="1"/>
  <c r="X243" i="1"/>
  <c r="W243" i="1"/>
  <c r="V243" i="1"/>
  <c r="U243" i="1"/>
  <c r="T243" i="1"/>
  <c r="S243" i="1"/>
  <c r="R243" i="1"/>
  <c r="Q243" i="1"/>
  <c r="P243" i="1"/>
  <c r="O243" i="1"/>
  <c r="N243" i="1"/>
  <c r="M243" i="1"/>
  <c r="AD242" i="1"/>
  <c r="X242" i="1"/>
  <c r="W242" i="1"/>
  <c r="V242" i="1"/>
  <c r="U242" i="1"/>
  <c r="T242" i="1"/>
  <c r="S242" i="1"/>
  <c r="R242" i="1"/>
  <c r="Q242" i="1"/>
  <c r="P242" i="1"/>
  <c r="O242" i="1"/>
  <c r="N242" i="1"/>
  <c r="M242" i="1"/>
  <c r="AD241" i="1"/>
  <c r="X241" i="1"/>
  <c r="W241" i="1"/>
  <c r="V241" i="1"/>
  <c r="U241" i="1"/>
  <c r="T241" i="1"/>
  <c r="S241" i="1"/>
  <c r="R241" i="1"/>
  <c r="Q241" i="1"/>
  <c r="P241" i="1"/>
  <c r="O241" i="1"/>
  <c r="N241" i="1"/>
  <c r="M241" i="1"/>
  <c r="AD239" i="1"/>
  <c r="X239" i="1"/>
  <c r="W239" i="1"/>
  <c r="V239" i="1"/>
  <c r="U239" i="1"/>
  <c r="T239" i="1"/>
  <c r="S239" i="1"/>
  <c r="R239" i="1"/>
  <c r="Q239" i="1"/>
  <c r="P239" i="1"/>
  <c r="O239" i="1"/>
  <c r="N239" i="1"/>
  <c r="M239" i="1"/>
  <c r="AD238" i="1"/>
  <c r="X238" i="1"/>
  <c r="W238" i="1"/>
  <c r="V238" i="1"/>
  <c r="U238" i="1"/>
  <c r="T238" i="1"/>
  <c r="S238" i="1"/>
  <c r="R238" i="1"/>
  <c r="Q238" i="1"/>
  <c r="P238" i="1"/>
  <c r="O238" i="1"/>
  <c r="N238" i="1"/>
  <c r="M238" i="1"/>
  <c r="AD237" i="1"/>
  <c r="X237" i="1"/>
  <c r="W237" i="1"/>
  <c r="V237" i="1"/>
  <c r="U237" i="1"/>
  <c r="T237" i="1"/>
  <c r="S237" i="1"/>
  <c r="R237" i="1"/>
  <c r="Q237" i="1"/>
  <c r="P237" i="1"/>
  <c r="O237" i="1"/>
  <c r="N237" i="1"/>
  <c r="M237" i="1"/>
  <c r="AD236" i="1"/>
  <c r="X236" i="1"/>
  <c r="W236" i="1"/>
  <c r="V236" i="1"/>
  <c r="U236" i="1"/>
  <c r="T236" i="1"/>
  <c r="S236" i="1"/>
  <c r="R236" i="1"/>
  <c r="Q236" i="1"/>
  <c r="P236" i="1"/>
  <c r="O236" i="1"/>
  <c r="N236" i="1"/>
  <c r="M236" i="1"/>
  <c r="AD235" i="1"/>
  <c r="X235" i="1"/>
  <c r="W235" i="1"/>
  <c r="V235" i="1"/>
  <c r="U235" i="1"/>
  <c r="T235" i="1"/>
  <c r="S235" i="1"/>
  <c r="R235" i="1"/>
  <c r="Q235" i="1"/>
  <c r="P235" i="1"/>
  <c r="O235" i="1"/>
  <c r="N235" i="1"/>
  <c r="M235" i="1"/>
  <c r="AD234" i="1"/>
  <c r="X234" i="1"/>
  <c r="W234" i="1"/>
  <c r="V234" i="1"/>
  <c r="U234" i="1"/>
  <c r="T234" i="1"/>
  <c r="S234" i="1"/>
  <c r="R234" i="1"/>
  <c r="Q234" i="1"/>
  <c r="P234" i="1"/>
  <c r="O234" i="1"/>
  <c r="N234" i="1"/>
  <c r="M234" i="1"/>
  <c r="AD233" i="1"/>
  <c r="X233" i="1"/>
  <c r="W233" i="1"/>
  <c r="V233" i="1"/>
  <c r="U233" i="1"/>
  <c r="T233" i="1"/>
  <c r="S233" i="1"/>
  <c r="R233" i="1"/>
  <c r="Q233" i="1"/>
  <c r="P233" i="1"/>
  <c r="O233" i="1"/>
  <c r="N233" i="1"/>
  <c r="M233" i="1"/>
  <c r="AD232" i="1"/>
  <c r="X232" i="1"/>
  <c r="W232" i="1"/>
  <c r="V232" i="1"/>
  <c r="U232" i="1"/>
  <c r="T232" i="1"/>
  <c r="S232" i="1"/>
  <c r="R232" i="1"/>
  <c r="Q232" i="1"/>
  <c r="P232" i="1"/>
  <c r="O232" i="1"/>
  <c r="N232" i="1"/>
  <c r="M232" i="1"/>
  <c r="AD231" i="1"/>
  <c r="X231" i="1"/>
  <c r="W231" i="1"/>
  <c r="V231" i="1"/>
  <c r="U231" i="1"/>
  <c r="T231" i="1"/>
  <c r="S231" i="1"/>
  <c r="R231" i="1"/>
  <c r="Q231" i="1"/>
  <c r="P231" i="1"/>
  <c r="O231" i="1"/>
  <c r="N231" i="1"/>
  <c r="M231" i="1"/>
  <c r="AD230" i="1"/>
  <c r="X230" i="1"/>
  <c r="W230" i="1"/>
  <c r="V230" i="1"/>
  <c r="U230" i="1"/>
  <c r="T230" i="1"/>
  <c r="S230" i="1"/>
  <c r="R230" i="1"/>
  <c r="Q230" i="1"/>
  <c r="P230" i="1"/>
  <c r="O230" i="1"/>
  <c r="N230" i="1"/>
  <c r="M230" i="1"/>
  <c r="AD229" i="1"/>
  <c r="X229" i="1"/>
  <c r="W229" i="1"/>
  <c r="V229" i="1"/>
  <c r="U229" i="1"/>
  <c r="T229" i="1"/>
  <c r="S229" i="1"/>
  <c r="R229" i="1"/>
  <c r="Q229" i="1"/>
  <c r="P229" i="1"/>
  <c r="O229" i="1"/>
  <c r="N229" i="1"/>
  <c r="M229" i="1"/>
  <c r="AD228" i="1"/>
  <c r="X228" i="1"/>
  <c r="W228" i="1"/>
  <c r="V228" i="1"/>
  <c r="U228" i="1"/>
  <c r="T228" i="1"/>
  <c r="S228" i="1"/>
  <c r="R228" i="1"/>
  <c r="Q228" i="1"/>
  <c r="P228" i="1"/>
  <c r="O228" i="1"/>
  <c r="N228" i="1"/>
  <c r="M228" i="1"/>
  <c r="AD227" i="1"/>
  <c r="X227" i="1"/>
  <c r="W227" i="1"/>
  <c r="V227" i="1"/>
  <c r="U227" i="1"/>
  <c r="T227" i="1"/>
  <c r="S227" i="1"/>
  <c r="R227" i="1"/>
  <c r="Q227" i="1"/>
  <c r="P227" i="1"/>
  <c r="O227" i="1"/>
  <c r="N227" i="1"/>
  <c r="M227" i="1"/>
  <c r="AD226" i="1"/>
  <c r="X226" i="1"/>
  <c r="W226" i="1"/>
  <c r="V226" i="1"/>
  <c r="U226" i="1"/>
  <c r="T226" i="1"/>
  <c r="S226" i="1"/>
  <c r="R226" i="1"/>
  <c r="Q226" i="1"/>
  <c r="P226" i="1"/>
  <c r="O226" i="1"/>
  <c r="N226" i="1"/>
  <c r="M226" i="1"/>
  <c r="AD225" i="1"/>
  <c r="X225" i="1"/>
  <c r="W225" i="1"/>
  <c r="V225" i="1"/>
  <c r="U225" i="1"/>
  <c r="T225" i="1"/>
  <c r="S225" i="1"/>
  <c r="R225" i="1"/>
  <c r="Q225" i="1"/>
  <c r="P225" i="1"/>
  <c r="O225" i="1"/>
  <c r="N225" i="1"/>
  <c r="M225" i="1"/>
  <c r="AD224" i="1"/>
  <c r="X224" i="1"/>
  <c r="W224" i="1"/>
  <c r="V224" i="1"/>
  <c r="U224" i="1"/>
  <c r="T224" i="1"/>
  <c r="S224" i="1"/>
  <c r="R224" i="1"/>
  <c r="Q224" i="1"/>
  <c r="P224" i="1"/>
  <c r="O224" i="1"/>
  <c r="N224" i="1"/>
  <c r="M224" i="1"/>
  <c r="AD223" i="1"/>
  <c r="X223" i="1"/>
  <c r="W223" i="1"/>
  <c r="V223" i="1"/>
  <c r="U223" i="1"/>
  <c r="T223" i="1"/>
  <c r="S223" i="1"/>
  <c r="R223" i="1"/>
  <c r="Q223" i="1"/>
  <c r="P223" i="1"/>
  <c r="O223" i="1"/>
  <c r="N223" i="1"/>
  <c r="M223" i="1"/>
  <c r="AD222" i="1"/>
  <c r="X222" i="1"/>
  <c r="W222" i="1"/>
  <c r="V222" i="1"/>
  <c r="U222" i="1"/>
  <c r="T222" i="1"/>
  <c r="S222" i="1"/>
  <c r="R222" i="1"/>
  <c r="Q222" i="1"/>
  <c r="P222" i="1"/>
  <c r="O222" i="1"/>
  <c r="N222" i="1"/>
  <c r="M222" i="1"/>
  <c r="AD221" i="1"/>
  <c r="X221" i="1"/>
  <c r="W221" i="1"/>
  <c r="V221" i="1"/>
  <c r="U221" i="1"/>
  <c r="T221" i="1"/>
  <c r="S221" i="1"/>
  <c r="R221" i="1"/>
  <c r="Q221" i="1"/>
  <c r="P221" i="1"/>
  <c r="O221" i="1"/>
  <c r="N221" i="1"/>
  <c r="M221" i="1"/>
  <c r="AD220" i="1"/>
  <c r="X220" i="1"/>
  <c r="W220" i="1"/>
  <c r="V220" i="1"/>
  <c r="U220" i="1"/>
  <c r="T220" i="1"/>
  <c r="S220" i="1"/>
  <c r="R220" i="1"/>
  <c r="Q220" i="1"/>
  <c r="P220" i="1"/>
  <c r="O220" i="1"/>
  <c r="N220" i="1"/>
  <c r="M220" i="1"/>
  <c r="AD219" i="1"/>
  <c r="X219" i="1"/>
  <c r="W219" i="1"/>
  <c r="V219" i="1"/>
  <c r="U219" i="1"/>
  <c r="T219" i="1"/>
  <c r="S219" i="1"/>
  <c r="R219" i="1"/>
  <c r="Q219" i="1"/>
  <c r="P219" i="1"/>
  <c r="O219" i="1"/>
  <c r="N219" i="1"/>
  <c r="M219" i="1"/>
  <c r="AD218" i="1"/>
  <c r="X218" i="1"/>
  <c r="W218" i="1"/>
  <c r="V218" i="1"/>
  <c r="U218" i="1"/>
  <c r="T218" i="1"/>
  <c r="S218" i="1"/>
  <c r="R218" i="1"/>
  <c r="Q218" i="1"/>
  <c r="P218" i="1"/>
  <c r="O218" i="1"/>
  <c r="N218" i="1"/>
  <c r="M218" i="1"/>
  <c r="AD217" i="1"/>
  <c r="X217" i="1"/>
  <c r="W217" i="1"/>
  <c r="V217" i="1"/>
  <c r="U217" i="1"/>
  <c r="T217" i="1"/>
  <c r="S217" i="1"/>
  <c r="R217" i="1"/>
  <c r="Q217" i="1"/>
  <c r="P217" i="1"/>
  <c r="O217" i="1"/>
  <c r="N217" i="1"/>
  <c r="M217" i="1"/>
  <c r="AD216" i="1"/>
  <c r="X216" i="1"/>
  <c r="W216" i="1"/>
  <c r="V216" i="1"/>
  <c r="U216" i="1"/>
  <c r="T216" i="1"/>
  <c r="S216" i="1"/>
  <c r="R216" i="1"/>
  <c r="Q216" i="1"/>
  <c r="P216" i="1"/>
  <c r="O216" i="1"/>
  <c r="N216" i="1"/>
  <c r="M216" i="1"/>
  <c r="AD215" i="1"/>
  <c r="X215" i="1"/>
  <c r="W215" i="1"/>
  <c r="V215" i="1"/>
  <c r="U215" i="1"/>
  <c r="T215" i="1"/>
  <c r="S215" i="1"/>
  <c r="R215" i="1"/>
  <c r="Q215" i="1"/>
  <c r="P215" i="1"/>
  <c r="O215" i="1"/>
  <c r="N215" i="1"/>
  <c r="M215" i="1"/>
  <c r="AD214" i="1"/>
  <c r="X214" i="1"/>
  <c r="W214" i="1"/>
  <c r="V214" i="1"/>
  <c r="U214" i="1"/>
  <c r="T214" i="1"/>
  <c r="S214" i="1"/>
  <c r="R214" i="1"/>
  <c r="Q214" i="1"/>
  <c r="P214" i="1"/>
  <c r="O214" i="1"/>
  <c r="N214" i="1"/>
  <c r="M214" i="1"/>
  <c r="AD213" i="1"/>
  <c r="X213" i="1"/>
  <c r="W213" i="1"/>
  <c r="V213" i="1"/>
  <c r="U213" i="1"/>
  <c r="T213" i="1"/>
  <c r="S213" i="1"/>
  <c r="R213" i="1"/>
  <c r="Q213" i="1"/>
  <c r="P213" i="1"/>
  <c r="O213" i="1"/>
  <c r="N213" i="1"/>
  <c r="M213" i="1"/>
  <c r="AD212" i="1"/>
  <c r="X212" i="1"/>
  <c r="W212" i="1"/>
  <c r="V212" i="1"/>
  <c r="U212" i="1"/>
  <c r="T212" i="1"/>
  <c r="S212" i="1"/>
  <c r="R212" i="1"/>
  <c r="Q212" i="1"/>
  <c r="P212" i="1"/>
  <c r="O212" i="1"/>
  <c r="N212" i="1"/>
  <c r="M212" i="1"/>
  <c r="AD211" i="1"/>
  <c r="X211" i="1"/>
  <c r="W211" i="1"/>
  <c r="V211" i="1"/>
  <c r="U211" i="1"/>
  <c r="T211" i="1"/>
  <c r="S211" i="1"/>
  <c r="R211" i="1"/>
  <c r="Q211" i="1"/>
  <c r="P211" i="1"/>
  <c r="O211" i="1"/>
  <c r="N211" i="1"/>
  <c r="M211" i="1"/>
  <c r="AD210" i="1"/>
  <c r="X210" i="1"/>
  <c r="W210" i="1"/>
  <c r="V210" i="1"/>
  <c r="U210" i="1"/>
  <c r="T210" i="1"/>
  <c r="S210" i="1"/>
  <c r="R210" i="1"/>
  <c r="Q210" i="1"/>
  <c r="P210" i="1"/>
  <c r="O210" i="1"/>
  <c r="N210" i="1"/>
  <c r="M210" i="1"/>
  <c r="AD209" i="1"/>
  <c r="X209" i="1"/>
  <c r="W209" i="1"/>
  <c r="V209" i="1"/>
  <c r="U209" i="1"/>
  <c r="T209" i="1"/>
  <c r="S209" i="1"/>
  <c r="R209" i="1"/>
  <c r="Q209" i="1"/>
  <c r="P209" i="1"/>
  <c r="O209" i="1"/>
  <c r="N209" i="1"/>
  <c r="M209" i="1"/>
  <c r="AD208" i="1"/>
  <c r="X208" i="1"/>
  <c r="W208" i="1"/>
  <c r="V208" i="1"/>
  <c r="U208" i="1"/>
  <c r="T208" i="1"/>
  <c r="S208" i="1"/>
  <c r="R208" i="1"/>
  <c r="Q208" i="1"/>
  <c r="P208" i="1"/>
  <c r="O208" i="1"/>
  <c r="N208" i="1"/>
  <c r="M208" i="1"/>
  <c r="AD207" i="1"/>
  <c r="X207" i="1"/>
  <c r="W207" i="1"/>
  <c r="V207" i="1"/>
  <c r="U207" i="1"/>
  <c r="T207" i="1"/>
  <c r="S207" i="1"/>
  <c r="R207" i="1"/>
  <c r="Q207" i="1"/>
  <c r="P207" i="1"/>
  <c r="O207" i="1"/>
  <c r="N207" i="1"/>
  <c r="M207" i="1"/>
  <c r="AD206" i="1"/>
  <c r="X206" i="1"/>
  <c r="W206" i="1"/>
  <c r="V206" i="1"/>
  <c r="U206" i="1"/>
  <c r="T206" i="1"/>
  <c r="S206" i="1"/>
  <c r="R206" i="1"/>
  <c r="Q206" i="1"/>
  <c r="P206" i="1"/>
  <c r="O206" i="1"/>
  <c r="N206" i="1"/>
  <c r="M206" i="1"/>
  <c r="AD205" i="1"/>
  <c r="X205" i="1"/>
  <c r="W205" i="1"/>
  <c r="V205" i="1"/>
  <c r="U205" i="1"/>
  <c r="T205" i="1"/>
  <c r="S205" i="1"/>
  <c r="R205" i="1"/>
  <c r="Q205" i="1"/>
  <c r="P205" i="1"/>
  <c r="O205" i="1"/>
  <c r="N205" i="1"/>
  <c r="M205" i="1"/>
  <c r="AD204" i="1"/>
  <c r="X204" i="1"/>
  <c r="W204" i="1"/>
  <c r="V204" i="1"/>
  <c r="U204" i="1"/>
  <c r="T204" i="1"/>
  <c r="S204" i="1"/>
  <c r="R204" i="1"/>
  <c r="Q204" i="1"/>
  <c r="P204" i="1"/>
  <c r="O204" i="1"/>
  <c r="N204" i="1"/>
  <c r="M204" i="1"/>
  <c r="AD203" i="1"/>
  <c r="X203" i="1"/>
  <c r="W203" i="1"/>
  <c r="V203" i="1"/>
  <c r="U203" i="1"/>
  <c r="T203" i="1"/>
  <c r="S203" i="1"/>
  <c r="R203" i="1"/>
  <c r="Q203" i="1"/>
  <c r="P203" i="1"/>
  <c r="O203" i="1"/>
  <c r="N203" i="1"/>
  <c r="M203" i="1"/>
  <c r="AD202" i="1"/>
  <c r="X202" i="1"/>
  <c r="W202" i="1"/>
  <c r="V202" i="1"/>
  <c r="U202" i="1"/>
  <c r="T202" i="1"/>
  <c r="S202" i="1"/>
  <c r="R202" i="1"/>
  <c r="Q202" i="1"/>
  <c r="P202" i="1"/>
  <c r="O202" i="1"/>
  <c r="N202" i="1"/>
  <c r="M202" i="1"/>
  <c r="AD201" i="1"/>
  <c r="X201" i="1"/>
  <c r="W201" i="1"/>
  <c r="V201" i="1"/>
  <c r="U201" i="1"/>
  <c r="T201" i="1"/>
  <c r="S201" i="1"/>
  <c r="R201" i="1"/>
  <c r="Q201" i="1"/>
  <c r="P201" i="1"/>
  <c r="O201" i="1"/>
  <c r="N201" i="1"/>
  <c r="M201" i="1"/>
  <c r="AD200" i="1"/>
  <c r="X200" i="1"/>
  <c r="W200" i="1"/>
  <c r="V200" i="1"/>
  <c r="U200" i="1"/>
  <c r="T200" i="1"/>
  <c r="S200" i="1"/>
  <c r="R200" i="1"/>
  <c r="Q200" i="1"/>
  <c r="P200" i="1"/>
  <c r="O200" i="1"/>
  <c r="N200" i="1"/>
  <c r="M200" i="1"/>
  <c r="AD199" i="1"/>
  <c r="X199" i="1"/>
  <c r="W199" i="1"/>
  <c r="V199" i="1"/>
  <c r="U199" i="1"/>
  <c r="T199" i="1"/>
  <c r="S199" i="1"/>
  <c r="R199" i="1"/>
  <c r="Q199" i="1"/>
  <c r="P199" i="1"/>
  <c r="O199" i="1"/>
  <c r="N199" i="1"/>
  <c r="M199" i="1"/>
  <c r="AD198" i="1"/>
  <c r="X198" i="1"/>
  <c r="W198" i="1"/>
  <c r="V198" i="1"/>
  <c r="U198" i="1"/>
  <c r="T198" i="1"/>
  <c r="S198" i="1"/>
  <c r="R198" i="1"/>
  <c r="Q198" i="1"/>
  <c r="P198" i="1"/>
  <c r="O198" i="1"/>
  <c r="N198" i="1"/>
  <c r="M198" i="1"/>
  <c r="AD197" i="1"/>
  <c r="X197" i="1"/>
  <c r="W197" i="1"/>
  <c r="V197" i="1"/>
  <c r="U197" i="1"/>
  <c r="T197" i="1"/>
  <c r="S197" i="1"/>
  <c r="R197" i="1"/>
  <c r="Q197" i="1"/>
  <c r="P197" i="1"/>
  <c r="O197" i="1"/>
  <c r="N197" i="1"/>
  <c r="M197" i="1"/>
  <c r="AD196" i="1"/>
  <c r="X196" i="1"/>
  <c r="W196" i="1"/>
  <c r="V196" i="1"/>
  <c r="U196" i="1"/>
  <c r="T196" i="1"/>
  <c r="S196" i="1"/>
  <c r="R196" i="1"/>
  <c r="Q196" i="1"/>
  <c r="P196" i="1"/>
  <c r="O196" i="1"/>
  <c r="N196" i="1"/>
  <c r="M196" i="1"/>
  <c r="AD195" i="1"/>
  <c r="X195" i="1"/>
  <c r="W195" i="1"/>
  <c r="V195" i="1"/>
  <c r="U195" i="1"/>
  <c r="T195" i="1"/>
  <c r="S195" i="1"/>
  <c r="R195" i="1"/>
  <c r="Q195" i="1"/>
  <c r="P195" i="1"/>
  <c r="O195" i="1"/>
  <c r="N195" i="1"/>
  <c r="M195" i="1"/>
  <c r="AD194" i="1"/>
  <c r="X194" i="1"/>
  <c r="W194" i="1"/>
  <c r="V194" i="1"/>
  <c r="U194" i="1"/>
  <c r="T194" i="1"/>
  <c r="S194" i="1"/>
  <c r="R194" i="1"/>
  <c r="Q194" i="1"/>
  <c r="P194" i="1"/>
  <c r="O194" i="1"/>
  <c r="N194" i="1"/>
  <c r="M194" i="1"/>
  <c r="AD193" i="1"/>
  <c r="X193" i="1"/>
  <c r="W193" i="1"/>
  <c r="V193" i="1"/>
  <c r="U193" i="1"/>
  <c r="T193" i="1"/>
  <c r="S193" i="1"/>
  <c r="R193" i="1"/>
  <c r="Q193" i="1"/>
  <c r="P193" i="1"/>
  <c r="O193" i="1"/>
  <c r="N193" i="1"/>
  <c r="M193" i="1"/>
  <c r="AD192" i="1"/>
  <c r="X192" i="1"/>
  <c r="W192" i="1"/>
  <c r="V192" i="1"/>
  <c r="U192" i="1"/>
  <c r="T192" i="1"/>
  <c r="S192" i="1"/>
  <c r="R192" i="1"/>
  <c r="Q192" i="1"/>
  <c r="P192" i="1"/>
  <c r="O192" i="1"/>
  <c r="N192" i="1"/>
  <c r="M192" i="1"/>
  <c r="AD191" i="1"/>
  <c r="X191" i="1"/>
  <c r="W191" i="1"/>
  <c r="V191" i="1"/>
  <c r="U191" i="1"/>
  <c r="T191" i="1"/>
  <c r="S191" i="1"/>
  <c r="R191" i="1"/>
  <c r="Q191" i="1"/>
  <c r="P191" i="1"/>
  <c r="O191" i="1"/>
  <c r="N191" i="1"/>
  <c r="M191" i="1"/>
  <c r="AD190" i="1"/>
  <c r="X190" i="1"/>
  <c r="W190" i="1"/>
  <c r="V190" i="1"/>
  <c r="U190" i="1"/>
  <c r="T190" i="1"/>
  <c r="S190" i="1"/>
  <c r="R190" i="1"/>
  <c r="Q190" i="1"/>
  <c r="P190" i="1"/>
  <c r="O190" i="1"/>
  <c r="N190" i="1"/>
  <c r="M190" i="1"/>
  <c r="AD189" i="1"/>
  <c r="X189" i="1"/>
  <c r="W189" i="1"/>
  <c r="V189" i="1"/>
  <c r="U189" i="1"/>
  <c r="T189" i="1"/>
  <c r="S189" i="1"/>
  <c r="R189" i="1"/>
  <c r="Q189" i="1"/>
  <c r="P189" i="1"/>
  <c r="O189" i="1"/>
  <c r="N189" i="1"/>
  <c r="M189" i="1"/>
  <c r="AD188" i="1"/>
  <c r="X188" i="1"/>
  <c r="W188" i="1"/>
  <c r="V188" i="1"/>
  <c r="U188" i="1"/>
  <c r="T188" i="1"/>
  <c r="S188" i="1"/>
  <c r="R188" i="1"/>
  <c r="Q188" i="1"/>
  <c r="P188" i="1"/>
  <c r="O188" i="1"/>
  <c r="N188" i="1"/>
  <c r="M188" i="1"/>
  <c r="AD187" i="1"/>
  <c r="X187" i="1"/>
  <c r="W187" i="1"/>
  <c r="V187" i="1"/>
  <c r="U187" i="1"/>
  <c r="T187" i="1"/>
  <c r="S187" i="1"/>
  <c r="R187" i="1"/>
  <c r="Q187" i="1"/>
  <c r="P187" i="1"/>
  <c r="O187" i="1"/>
  <c r="N187" i="1"/>
  <c r="M187" i="1"/>
  <c r="AD186" i="1"/>
  <c r="X186" i="1"/>
  <c r="W186" i="1"/>
  <c r="V186" i="1"/>
  <c r="U186" i="1"/>
  <c r="T186" i="1"/>
  <c r="S186" i="1"/>
  <c r="R186" i="1"/>
  <c r="Q186" i="1"/>
  <c r="P186" i="1"/>
  <c r="O186" i="1"/>
  <c r="N186" i="1"/>
  <c r="M186" i="1"/>
  <c r="AD185" i="1"/>
  <c r="X185" i="1"/>
  <c r="W185" i="1"/>
  <c r="V185" i="1"/>
  <c r="U185" i="1"/>
  <c r="T185" i="1"/>
  <c r="S185" i="1"/>
  <c r="R185" i="1"/>
  <c r="Q185" i="1"/>
  <c r="P185" i="1"/>
  <c r="O185" i="1"/>
  <c r="N185" i="1"/>
  <c r="M185" i="1"/>
  <c r="AD184" i="1"/>
  <c r="X184" i="1"/>
  <c r="W184" i="1"/>
  <c r="V184" i="1"/>
  <c r="U184" i="1"/>
  <c r="T184" i="1"/>
  <c r="S184" i="1"/>
  <c r="R184" i="1"/>
  <c r="Q184" i="1"/>
  <c r="P184" i="1"/>
  <c r="O184" i="1"/>
  <c r="N184" i="1"/>
  <c r="M184" i="1"/>
  <c r="AD183" i="1"/>
  <c r="X183" i="1"/>
  <c r="W183" i="1"/>
  <c r="V183" i="1"/>
  <c r="U183" i="1"/>
  <c r="T183" i="1"/>
  <c r="S183" i="1"/>
  <c r="R183" i="1"/>
  <c r="Q183" i="1"/>
  <c r="P183" i="1"/>
  <c r="O183" i="1"/>
  <c r="N183" i="1"/>
  <c r="M183" i="1"/>
  <c r="AD182" i="1"/>
  <c r="X182" i="1"/>
  <c r="W182" i="1"/>
  <c r="V182" i="1"/>
  <c r="U182" i="1"/>
  <c r="T182" i="1"/>
  <c r="S182" i="1"/>
  <c r="R182" i="1"/>
  <c r="Q182" i="1"/>
  <c r="P182" i="1"/>
  <c r="O182" i="1"/>
  <c r="N182" i="1"/>
  <c r="M182" i="1"/>
  <c r="AD181" i="1"/>
  <c r="X181" i="1"/>
  <c r="W181" i="1"/>
  <c r="V181" i="1"/>
  <c r="U181" i="1"/>
  <c r="T181" i="1"/>
  <c r="S181" i="1"/>
  <c r="R181" i="1"/>
  <c r="Q181" i="1"/>
  <c r="P181" i="1"/>
  <c r="O181" i="1"/>
  <c r="N181" i="1"/>
  <c r="M181" i="1"/>
  <c r="AD180" i="1"/>
  <c r="X180" i="1"/>
  <c r="W180" i="1"/>
  <c r="V180" i="1"/>
  <c r="U180" i="1"/>
  <c r="T180" i="1"/>
  <c r="S180" i="1"/>
  <c r="R180" i="1"/>
  <c r="Q180" i="1"/>
  <c r="P180" i="1"/>
  <c r="O180" i="1"/>
  <c r="N180" i="1"/>
  <c r="M180" i="1"/>
  <c r="AD179" i="1"/>
  <c r="X179" i="1"/>
  <c r="W179" i="1"/>
  <c r="V179" i="1"/>
  <c r="U179" i="1"/>
  <c r="T179" i="1"/>
  <c r="S179" i="1"/>
  <c r="R179" i="1"/>
  <c r="Q179" i="1"/>
  <c r="P179" i="1"/>
  <c r="O179" i="1"/>
  <c r="N179" i="1"/>
  <c r="M179" i="1"/>
  <c r="AD178" i="1"/>
  <c r="X178" i="1"/>
  <c r="W178" i="1"/>
  <c r="V178" i="1"/>
  <c r="U178" i="1"/>
  <c r="T178" i="1"/>
  <c r="S178" i="1"/>
  <c r="R178" i="1"/>
  <c r="Q178" i="1"/>
  <c r="P178" i="1"/>
  <c r="O178" i="1"/>
  <c r="N178" i="1"/>
  <c r="M178" i="1"/>
  <c r="AD177" i="1"/>
  <c r="X177" i="1"/>
  <c r="W177" i="1"/>
  <c r="V177" i="1"/>
  <c r="U177" i="1"/>
  <c r="T177" i="1"/>
  <c r="S177" i="1"/>
  <c r="R177" i="1"/>
  <c r="Q177" i="1"/>
  <c r="P177" i="1"/>
  <c r="O177" i="1"/>
  <c r="N177" i="1"/>
  <c r="M177" i="1"/>
  <c r="AD176" i="1"/>
  <c r="X176" i="1"/>
  <c r="W176" i="1"/>
  <c r="V176" i="1"/>
  <c r="U176" i="1"/>
  <c r="T176" i="1"/>
  <c r="S176" i="1"/>
  <c r="R176" i="1"/>
  <c r="Q176" i="1"/>
  <c r="P176" i="1"/>
  <c r="O176" i="1"/>
  <c r="N176" i="1"/>
  <c r="M176" i="1"/>
  <c r="AD175" i="1"/>
  <c r="X175" i="1"/>
  <c r="W175" i="1"/>
  <c r="V175" i="1"/>
  <c r="U175" i="1"/>
  <c r="T175" i="1"/>
  <c r="S175" i="1"/>
  <c r="R175" i="1"/>
  <c r="Q175" i="1"/>
  <c r="P175" i="1"/>
  <c r="O175" i="1"/>
  <c r="N175" i="1"/>
  <c r="M175" i="1"/>
  <c r="AD174" i="1"/>
  <c r="X174" i="1"/>
  <c r="W174" i="1"/>
  <c r="V174" i="1"/>
  <c r="U174" i="1"/>
  <c r="T174" i="1"/>
  <c r="S174" i="1"/>
  <c r="R174" i="1"/>
  <c r="Q174" i="1"/>
  <c r="P174" i="1"/>
  <c r="O174" i="1"/>
  <c r="N174" i="1"/>
  <c r="M174" i="1"/>
  <c r="AD173" i="1"/>
  <c r="X173" i="1"/>
  <c r="W173" i="1"/>
  <c r="V173" i="1"/>
  <c r="U173" i="1"/>
  <c r="T173" i="1"/>
  <c r="S173" i="1"/>
  <c r="R173" i="1"/>
  <c r="Q173" i="1"/>
  <c r="P173" i="1"/>
  <c r="O173" i="1"/>
  <c r="N173" i="1"/>
  <c r="M173" i="1"/>
  <c r="AD172" i="1"/>
  <c r="X172" i="1"/>
  <c r="W172" i="1"/>
  <c r="V172" i="1"/>
  <c r="U172" i="1"/>
  <c r="T172" i="1"/>
  <c r="S172" i="1"/>
  <c r="R172" i="1"/>
  <c r="Q172" i="1"/>
  <c r="P172" i="1"/>
  <c r="O172" i="1"/>
  <c r="N172" i="1"/>
  <c r="M172" i="1"/>
  <c r="AD171" i="1"/>
  <c r="X171" i="1"/>
  <c r="W171" i="1"/>
  <c r="V171" i="1"/>
  <c r="U171" i="1"/>
  <c r="T171" i="1"/>
  <c r="S171" i="1"/>
  <c r="R171" i="1"/>
  <c r="Q171" i="1"/>
  <c r="P171" i="1"/>
  <c r="O171" i="1"/>
  <c r="N171" i="1"/>
  <c r="M171" i="1"/>
  <c r="AD170" i="1"/>
  <c r="X170" i="1"/>
  <c r="W170" i="1"/>
  <c r="V170" i="1"/>
  <c r="U170" i="1"/>
  <c r="T170" i="1"/>
  <c r="S170" i="1"/>
  <c r="R170" i="1"/>
  <c r="Q170" i="1"/>
  <c r="P170" i="1"/>
  <c r="O170" i="1"/>
  <c r="N170" i="1"/>
  <c r="M170" i="1"/>
  <c r="AD169" i="1"/>
  <c r="X169" i="1"/>
  <c r="W169" i="1"/>
  <c r="V169" i="1"/>
  <c r="U169" i="1"/>
  <c r="T169" i="1"/>
  <c r="S169" i="1"/>
  <c r="R169" i="1"/>
  <c r="Q169" i="1"/>
  <c r="P169" i="1"/>
  <c r="O169" i="1"/>
  <c r="N169" i="1"/>
  <c r="M169" i="1"/>
  <c r="AD168" i="1"/>
  <c r="X168" i="1"/>
  <c r="W168" i="1"/>
  <c r="V168" i="1"/>
  <c r="U168" i="1"/>
  <c r="T168" i="1"/>
  <c r="S168" i="1"/>
  <c r="R168" i="1"/>
  <c r="Q168" i="1"/>
  <c r="P168" i="1"/>
  <c r="O168" i="1"/>
  <c r="N168" i="1"/>
  <c r="M168" i="1"/>
  <c r="AD167" i="1"/>
  <c r="X167" i="1"/>
  <c r="W167" i="1"/>
  <c r="V167" i="1"/>
  <c r="U167" i="1"/>
  <c r="T167" i="1"/>
  <c r="S167" i="1"/>
  <c r="R167" i="1"/>
  <c r="Q167" i="1"/>
  <c r="P167" i="1"/>
  <c r="O167" i="1"/>
  <c r="N167" i="1"/>
  <c r="M167" i="1"/>
  <c r="AD166" i="1"/>
  <c r="X166" i="1"/>
  <c r="W166" i="1"/>
  <c r="V166" i="1"/>
  <c r="U166" i="1"/>
  <c r="T166" i="1"/>
  <c r="S166" i="1"/>
  <c r="R166" i="1"/>
  <c r="Q166" i="1"/>
  <c r="P166" i="1"/>
  <c r="O166" i="1"/>
  <c r="N166" i="1"/>
  <c r="M166" i="1"/>
  <c r="AD165" i="1"/>
  <c r="X165" i="1"/>
  <c r="W165" i="1"/>
  <c r="V165" i="1"/>
  <c r="U165" i="1"/>
  <c r="T165" i="1"/>
  <c r="S165" i="1"/>
  <c r="R165" i="1"/>
  <c r="Q165" i="1"/>
  <c r="P165" i="1"/>
  <c r="O165" i="1"/>
  <c r="N165" i="1"/>
  <c r="M165" i="1"/>
  <c r="AD164" i="1"/>
  <c r="X164" i="1"/>
  <c r="W164" i="1"/>
  <c r="V164" i="1"/>
  <c r="U164" i="1"/>
  <c r="T164" i="1"/>
  <c r="S164" i="1"/>
  <c r="R164" i="1"/>
  <c r="Q164" i="1"/>
  <c r="P164" i="1"/>
  <c r="O164" i="1"/>
  <c r="N164" i="1"/>
  <c r="M164" i="1"/>
  <c r="AD163" i="1"/>
  <c r="X163" i="1"/>
  <c r="W163" i="1"/>
  <c r="V163" i="1"/>
  <c r="U163" i="1"/>
  <c r="T163" i="1"/>
  <c r="S163" i="1"/>
  <c r="R163" i="1"/>
  <c r="Q163" i="1"/>
  <c r="P163" i="1"/>
  <c r="O163" i="1"/>
  <c r="N163" i="1"/>
  <c r="M163" i="1"/>
  <c r="AD162" i="1"/>
  <c r="X162" i="1"/>
  <c r="W162" i="1"/>
  <c r="V162" i="1"/>
  <c r="U162" i="1"/>
  <c r="T162" i="1"/>
  <c r="S162" i="1"/>
  <c r="R162" i="1"/>
  <c r="Q162" i="1"/>
  <c r="P162" i="1"/>
  <c r="O162" i="1"/>
  <c r="N162" i="1"/>
  <c r="M162" i="1"/>
  <c r="AD161" i="1"/>
  <c r="X161" i="1"/>
  <c r="W161" i="1"/>
  <c r="V161" i="1"/>
  <c r="U161" i="1"/>
  <c r="T161" i="1"/>
  <c r="S161" i="1"/>
  <c r="R161" i="1"/>
  <c r="Q161" i="1"/>
  <c r="P161" i="1"/>
  <c r="O161" i="1"/>
  <c r="N161" i="1"/>
  <c r="M161" i="1"/>
  <c r="AD160" i="1"/>
  <c r="X160" i="1"/>
  <c r="W160" i="1"/>
  <c r="V160" i="1"/>
  <c r="U160" i="1"/>
  <c r="T160" i="1"/>
  <c r="S160" i="1"/>
  <c r="R160" i="1"/>
  <c r="Q160" i="1"/>
  <c r="P160" i="1"/>
  <c r="O160" i="1"/>
  <c r="N160" i="1"/>
  <c r="M160" i="1"/>
  <c r="AD159" i="1"/>
  <c r="X159" i="1"/>
  <c r="W159" i="1"/>
  <c r="V159" i="1"/>
  <c r="U159" i="1"/>
  <c r="T159" i="1"/>
  <c r="S159" i="1"/>
  <c r="R159" i="1"/>
  <c r="Q159" i="1"/>
  <c r="P159" i="1"/>
  <c r="O159" i="1"/>
  <c r="N159" i="1"/>
  <c r="M159" i="1"/>
  <c r="AD158" i="1"/>
  <c r="X158" i="1"/>
  <c r="W158" i="1"/>
  <c r="V158" i="1"/>
  <c r="U158" i="1"/>
  <c r="T158" i="1"/>
  <c r="S158" i="1"/>
  <c r="R158" i="1"/>
  <c r="Q158" i="1"/>
  <c r="P158" i="1"/>
  <c r="O158" i="1"/>
  <c r="N158" i="1"/>
  <c r="M158" i="1"/>
  <c r="AD157" i="1"/>
  <c r="X157" i="1"/>
  <c r="W157" i="1"/>
  <c r="V157" i="1"/>
  <c r="U157" i="1"/>
  <c r="T157" i="1"/>
  <c r="S157" i="1"/>
  <c r="R157" i="1"/>
  <c r="Q157" i="1"/>
  <c r="P157" i="1"/>
  <c r="O157" i="1"/>
  <c r="N157" i="1"/>
  <c r="M157" i="1"/>
  <c r="AD156" i="1"/>
  <c r="X156" i="1"/>
  <c r="W156" i="1"/>
  <c r="V156" i="1"/>
  <c r="U156" i="1"/>
  <c r="T156" i="1"/>
  <c r="S156" i="1"/>
  <c r="R156" i="1"/>
  <c r="Q156" i="1"/>
  <c r="P156" i="1"/>
  <c r="O156" i="1"/>
  <c r="N156" i="1"/>
  <c r="M156" i="1"/>
  <c r="AD155" i="1"/>
  <c r="X155" i="1"/>
  <c r="W155" i="1"/>
  <c r="V155" i="1"/>
  <c r="U155" i="1"/>
  <c r="T155" i="1"/>
  <c r="S155" i="1"/>
  <c r="R155" i="1"/>
  <c r="Q155" i="1"/>
  <c r="P155" i="1"/>
  <c r="O155" i="1"/>
  <c r="N155" i="1"/>
  <c r="M155" i="1"/>
  <c r="AD154" i="1"/>
  <c r="X154" i="1"/>
  <c r="W154" i="1"/>
  <c r="V154" i="1"/>
  <c r="U154" i="1"/>
  <c r="T154" i="1"/>
  <c r="S154" i="1"/>
  <c r="R154" i="1"/>
  <c r="Q154" i="1"/>
  <c r="P154" i="1"/>
  <c r="O154" i="1"/>
  <c r="N154" i="1"/>
  <c r="M154" i="1"/>
  <c r="AD153" i="1"/>
  <c r="X153" i="1"/>
  <c r="W153" i="1"/>
  <c r="V153" i="1"/>
  <c r="U153" i="1"/>
  <c r="T153" i="1"/>
  <c r="S153" i="1"/>
  <c r="R153" i="1"/>
  <c r="Q153" i="1"/>
  <c r="P153" i="1"/>
  <c r="O153" i="1"/>
  <c r="N153" i="1"/>
  <c r="M153" i="1"/>
  <c r="AD152" i="1"/>
  <c r="X152" i="1"/>
  <c r="W152" i="1"/>
  <c r="V152" i="1"/>
  <c r="U152" i="1"/>
  <c r="T152" i="1"/>
  <c r="S152" i="1"/>
  <c r="R152" i="1"/>
  <c r="Q152" i="1"/>
  <c r="P152" i="1"/>
  <c r="O152" i="1"/>
  <c r="N152" i="1"/>
  <c r="M152" i="1"/>
  <c r="AD151" i="1"/>
  <c r="X151" i="1"/>
  <c r="W151" i="1"/>
  <c r="V151" i="1"/>
  <c r="U151" i="1"/>
  <c r="T151" i="1"/>
  <c r="S151" i="1"/>
  <c r="R151" i="1"/>
  <c r="Q151" i="1"/>
  <c r="P151" i="1"/>
  <c r="O151" i="1"/>
  <c r="N151" i="1"/>
  <c r="M151" i="1"/>
  <c r="AD150" i="1"/>
  <c r="X150" i="1"/>
  <c r="W150" i="1"/>
  <c r="V150" i="1"/>
  <c r="U150" i="1"/>
  <c r="T150" i="1"/>
  <c r="S150" i="1"/>
  <c r="R150" i="1"/>
  <c r="Q150" i="1"/>
  <c r="P150" i="1"/>
  <c r="O150" i="1"/>
  <c r="N150" i="1"/>
  <c r="M150" i="1"/>
  <c r="AD149" i="1"/>
  <c r="X149" i="1"/>
  <c r="W149" i="1"/>
  <c r="V149" i="1"/>
  <c r="U149" i="1"/>
  <c r="T149" i="1"/>
  <c r="S149" i="1"/>
  <c r="R149" i="1"/>
  <c r="Q149" i="1"/>
  <c r="P149" i="1"/>
  <c r="O149" i="1"/>
  <c r="N149" i="1"/>
  <c r="M149" i="1"/>
  <c r="AD148" i="1"/>
  <c r="X148" i="1"/>
  <c r="W148" i="1"/>
  <c r="V148" i="1"/>
  <c r="U148" i="1"/>
  <c r="T148" i="1"/>
  <c r="S148" i="1"/>
  <c r="R148" i="1"/>
  <c r="Q148" i="1"/>
  <c r="P148" i="1"/>
  <c r="O148" i="1"/>
  <c r="N148" i="1"/>
  <c r="M148" i="1"/>
  <c r="AD147" i="1"/>
  <c r="X147" i="1"/>
  <c r="W147" i="1"/>
  <c r="V147" i="1"/>
  <c r="U147" i="1"/>
  <c r="T147" i="1"/>
  <c r="S147" i="1"/>
  <c r="R147" i="1"/>
  <c r="Q147" i="1"/>
  <c r="P147" i="1"/>
  <c r="O147" i="1"/>
  <c r="N147" i="1"/>
  <c r="M147" i="1"/>
  <c r="AD146" i="1"/>
  <c r="X146" i="1"/>
  <c r="W146" i="1"/>
  <c r="V146" i="1"/>
  <c r="U146" i="1"/>
  <c r="T146" i="1"/>
  <c r="S146" i="1"/>
  <c r="R146" i="1"/>
  <c r="Q146" i="1"/>
  <c r="P146" i="1"/>
  <c r="O146" i="1"/>
  <c r="N146" i="1"/>
  <c r="M146" i="1"/>
  <c r="AD145" i="1"/>
  <c r="X145" i="1"/>
  <c r="W145" i="1"/>
  <c r="V145" i="1"/>
  <c r="U145" i="1"/>
  <c r="T145" i="1"/>
  <c r="S145" i="1"/>
  <c r="R145" i="1"/>
  <c r="Q145" i="1"/>
  <c r="P145" i="1"/>
  <c r="O145" i="1"/>
  <c r="N145" i="1"/>
  <c r="M145" i="1"/>
  <c r="AD144" i="1"/>
  <c r="X144" i="1"/>
  <c r="W144" i="1"/>
  <c r="V144" i="1"/>
  <c r="U144" i="1"/>
  <c r="T144" i="1"/>
  <c r="S144" i="1"/>
  <c r="R144" i="1"/>
  <c r="Q144" i="1"/>
  <c r="P144" i="1"/>
  <c r="O144" i="1"/>
  <c r="N144" i="1"/>
  <c r="M144" i="1"/>
  <c r="AD143" i="1"/>
  <c r="X143" i="1"/>
  <c r="W143" i="1"/>
  <c r="V143" i="1"/>
  <c r="U143" i="1"/>
  <c r="T143" i="1"/>
  <c r="S143" i="1"/>
  <c r="R143" i="1"/>
  <c r="Q143" i="1"/>
  <c r="P143" i="1"/>
  <c r="O143" i="1"/>
  <c r="N143" i="1"/>
  <c r="M143" i="1"/>
  <c r="AD142" i="1"/>
  <c r="X142" i="1"/>
  <c r="W142" i="1"/>
  <c r="V142" i="1"/>
  <c r="U142" i="1"/>
  <c r="T142" i="1"/>
  <c r="S142" i="1"/>
  <c r="R142" i="1"/>
  <c r="Q142" i="1"/>
  <c r="P142" i="1"/>
  <c r="O142" i="1"/>
  <c r="N142" i="1"/>
  <c r="M142" i="1"/>
  <c r="AD141" i="1"/>
  <c r="X141" i="1"/>
  <c r="W141" i="1"/>
  <c r="V141" i="1"/>
  <c r="U141" i="1"/>
  <c r="T141" i="1"/>
  <c r="S141" i="1"/>
  <c r="R141" i="1"/>
  <c r="Q141" i="1"/>
  <c r="P141" i="1"/>
  <c r="O141" i="1"/>
  <c r="N141" i="1"/>
  <c r="M141" i="1"/>
  <c r="AD140" i="1"/>
  <c r="X140" i="1"/>
  <c r="W140" i="1"/>
  <c r="V140" i="1"/>
  <c r="U140" i="1"/>
  <c r="T140" i="1"/>
  <c r="S140" i="1"/>
  <c r="R140" i="1"/>
  <c r="Q140" i="1"/>
  <c r="P140" i="1"/>
  <c r="O140" i="1"/>
  <c r="N140" i="1"/>
  <c r="M140" i="1"/>
  <c r="AD139" i="1"/>
  <c r="X139" i="1"/>
  <c r="W139" i="1"/>
  <c r="V139" i="1"/>
  <c r="U139" i="1"/>
  <c r="T139" i="1"/>
  <c r="S139" i="1"/>
  <c r="R139" i="1"/>
  <c r="Q139" i="1"/>
  <c r="P139" i="1"/>
  <c r="O139" i="1"/>
  <c r="N139" i="1"/>
  <c r="M139" i="1"/>
  <c r="AD138" i="1"/>
  <c r="X138" i="1"/>
  <c r="W138" i="1"/>
  <c r="V138" i="1"/>
  <c r="U138" i="1"/>
  <c r="T138" i="1"/>
  <c r="S138" i="1"/>
  <c r="R138" i="1"/>
  <c r="Q138" i="1"/>
  <c r="P138" i="1"/>
  <c r="O138" i="1"/>
  <c r="N138" i="1"/>
  <c r="M138" i="1"/>
  <c r="AD137" i="1"/>
  <c r="X137" i="1"/>
  <c r="W137" i="1"/>
  <c r="V137" i="1"/>
  <c r="U137" i="1"/>
  <c r="T137" i="1"/>
  <c r="S137" i="1"/>
  <c r="R137" i="1"/>
  <c r="Q137" i="1"/>
  <c r="P137" i="1"/>
  <c r="O137" i="1"/>
  <c r="N137" i="1"/>
  <c r="M137" i="1"/>
  <c r="AD136" i="1"/>
  <c r="X136" i="1"/>
  <c r="W136" i="1"/>
  <c r="V136" i="1"/>
  <c r="U136" i="1"/>
  <c r="T136" i="1"/>
  <c r="S136" i="1"/>
  <c r="R136" i="1"/>
  <c r="Q136" i="1"/>
  <c r="P136" i="1"/>
  <c r="O136" i="1"/>
  <c r="N136" i="1"/>
  <c r="M136" i="1"/>
  <c r="AD135" i="1"/>
  <c r="X135" i="1"/>
  <c r="W135" i="1"/>
  <c r="V135" i="1"/>
  <c r="U135" i="1"/>
  <c r="T135" i="1"/>
  <c r="S135" i="1"/>
  <c r="R135" i="1"/>
  <c r="Q135" i="1"/>
  <c r="P135" i="1"/>
  <c r="O135" i="1"/>
  <c r="N135" i="1"/>
  <c r="M135" i="1"/>
  <c r="AD134" i="1"/>
  <c r="X134" i="1"/>
  <c r="W134" i="1"/>
  <c r="V134" i="1"/>
  <c r="U134" i="1"/>
  <c r="T134" i="1"/>
  <c r="S134" i="1"/>
  <c r="R134" i="1"/>
  <c r="Q134" i="1"/>
  <c r="P134" i="1"/>
  <c r="O134" i="1"/>
  <c r="N134" i="1"/>
  <c r="M134" i="1"/>
  <c r="AD133" i="1"/>
  <c r="X133" i="1"/>
  <c r="W133" i="1"/>
  <c r="V133" i="1"/>
  <c r="U133" i="1"/>
  <c r="T133" i="1"/>
  <c r="S133" i="1"/>
  <c r="R133" i="1"/>
  <c r="Q133" i="1"/>
  <c r="P133" i="1"/>
  <c r="O133" i="1"/>
  <c r="N133" i="1"/>
  <c r="M133" i="1"/>
  <c r="AD132" i="1"/>
  <c r="X132" i="1"/>
  <c r="W132" i="1"/>
  <c r="V132" i="1"/>
  <c r="U132" i="1"/>
  <c r="T132" i="1"/>
  <c r="S132" i="1"/>
  <c r="R132" i="1"/>
  <c r="Q132" i="1"/>
  <c r="P132" i="1"/>
  <c r="O132" i="1"/>
  <c r="N132" i="1"/>
  <c r="M132" i="1"/>
  <c r="AD131" i="1"/>
  <c r="X131" i="1"/>
  <c r="W131" i="1"/>
  <c r="V131" i="1"/>
  <c r="U131" i="1"/>
  <c r="T131" i="1"/>
  <c r="S131" i="1"/>
  <c r="R131" i="1"/>
  <c r="Q131" i="1"/>
  <c r="P131" i="1"/>
  <c r="O131" i="1"/>
  <c r="N131" i="1"/>
  <c r="M131" i="1"/>
  <c r="AD130" i="1"/>
  <c r="X130" i="1"/>
  <c r="W130" i="1"/>
  <c r="V130" i="1"/>
  <c r="U130" i="1"/>
  <c r="T130" i="1"/>
  <c r="S130" i="1"/>
  <c r="R130" i="1"/>
  <c r="Q130" i="1"/>
  <c r="P130" i="1"/>
  <c r="O130" i="1"/>
  <c r="N130" i="1"/>
  <c r="M130" i="1"/>
  <c r="AD129" i="1"/>
  <c r="X129" i="1"/>
  <c r="W129" i="1"/>
  <c r="V129" i="1"/>
  <c r="U129" i="1"/>
  <c r="T129" i="1"/>
  <c r="S129" i="1"/>
  <c r="R129" i="1"/>
  <c r="Q129" i="1"/>
  <c r="P129" i="1"/>
  <c r="O129" i="1"/>
  <c r="N129" i="1"/>
  <c r="M129" i="1"/>
  <c r="AD128" i="1"/>
  <c r="X128" i="1"/>
  <c r="W128" i="1"/>
  <c r="V128" i="1"/>
  <c r="U128" i="1"/>
  <c r="T128" i="1"/>
  <c r="S128" i="1"/>
  <c r="R128" i="1"/>
  <c r="Q128" i="1"/>
  <c r="P128" i="1"/>
  <c r="O128" i="1"/>
  <c r="N128" i="1"/>
  <c r="M128" i="1"/>
  <c r="AD127" i="1"/>
  <c r="X127" i="1"/>
  <c r="W127" i="1"/>
  <c r="V127" i="1"/>
  <c r="U127" i="1"/>
  <c r="T127" i="1"/>
  <c r="S127" i="1"/>
  <c r="R127" i="1"/>
  <c r="Q127" i="1"/>
  <c r="P127" i="1"/>
  <c r="O127" i="1"/>
  <c r="N127" i="1"/>
  <c r="M127" i="1"/>
  <c r="AD126" i="1"/>
  <c r="X126" i="1"/>
  <c r="W126" i="1"/>
  <c r="V126" i="1"/>
  <c r="U126" i="1"/>
  <c r="T126" i="1"/>
  <c r="S126" i="1"/>
  <c r="R126" i="1"/>
  <c r="Q126" i="1"/>
  <c r="P126" i="1"/>
  <c r="O126" i="1"/>
  <c r="N126" i="1"/>
  <c r="M126" i="1"/>
  <c r="AD125" i="1"/>
  <c r="X125" i="1"/>
  <c r="W125" i="1"/>
  <c r="V125" i="1"/>
  <c r="U125" i="1"/>
  <c r="T125" i="1"/>
  <c r="S125" i="1"/>
  <c r="R125" i="1"/>
  <c r="Q125" i="1"/>
  <c r="P125" i="1"/>
  <c r="O125" i="1"/>
  <c r="N125" i="1"/>
  <c r="M125" i="1"/>
  <c r="AD124" i="1"/>
  <c r="X124" i="1"/>
  <c r="W124" i="1"/>
  <c r="V124" i="1"/>
  <c r="U124" i="1"/>
  <c r="T124" i="1"/>
  <c r="S124" i="1"/>
  <c r="R124" i="1"/>
  <c r="Q124" i="1"/>
  <c r="P124" i="1"/>
  <c r="O124" i="1"/>
  <c r="N124" i="1"/>
  <c r="M124" i="1"/>
  <c r="AD123" i="1"/>
  <c r="X123" i="1"/>
  <c r="W123" i="1"/>
  <c r="V123" i="1"/>
  <c r="U123" i="1"/>
  <c r="T123" i="1"/>
  <c r="S123" i="1"/>
  <c r="R123" i="1"/>
  <c r="Q123" i="1"/>
  <c r="P123" i="1"/>
  <c r="O123" i="1"/>
  <c r="N123" i="1"/>
  <c r="M123" i="1"/>
  <c r="AD122" i="1"/>
  <c r="X122" i="1"/>
  <c r="W122" i="1"/>
  <c r="V122" i="1"/>
  <c r="U122" i="1"/>
  <c r="T122" i="1"/>
  <c r="S122" i="1"/>
  <c r="R122" i="1"/>
  <c r="Q122" i="1"/>
  <c r="P122" i="1"/>
  <c r="O122" i="1"/>
  <c r="N122" i="1"/>
  <c r="M122" i="1"/>
  <c r="AD121" i="1"/>
  <c r="X121" i="1"/>
  <c r="W121" i="1"/>
  <c r="V121" i="1"/>
  <c r="U121" i="1"/>
  <c r="T121" i="1"/>
  <c r="S121" i="1"/>
  <c r="R121" i="1"/>
  <c r="Q121" i="1"/>
  <c r="P121" i="1"/>
  <c r="O121" i="1"/>
  <c r="N121" i="1"/>
  <c r="M121" i="1"/>
  <c r="AD120" i="1"/>
  <c r="X120" i="1"/>
  <c r="W120" i="1"/>
  <c r="V120" i="1"/>
  <c r="U120" i="1"/>
  <c r="T120" i="1"/>
  <c r="S120" i="1"/>
  <c r="R120" i="1"/>
  <c r="Q120" i="1"/>
  <c r="P120" i="1"/>
  <c r="O120" i="1"/>
  <c r="N120" i="1"/>
  <c r="M120" i="1"/>
  <c r="AD119" i="1"/>
  <c r="X119" i="1"/>
  <c r="W119" i="1"/>
  <c r="V119" i="1"/>
  <c r="U119" i="1"/>
  <c r="T119" i="1"/>
  <c r="S119" i="1"/>
  <c r="R119" i="1"/>
  <c r="Q119" i="1"/>
  <c r="P119" i="1"/>
  <c r="O119" i="1"/>
  <c r="N119" i="1"/>
  <c r="M119" i="1"/>
  <c r="AD118" i="1"/>
  <c r="X118" i="1"/>
  <c r="W118" i="1"/>
  <c r="V118" i="1"/>
  <c r="U118" i="1"/>
  <c r="T118" i="1"/>
  <c r="S118" i="1"/>
  <c r="R118" i="1"/>
  <c r="Q118" i="1"/>
  <c r="P118" i="1"/>
  <c r="O118" i="1"/>
  <c r="N118" i="1"/>
  <c r="M118" i="1"/>
  <c r="AD117" i="1"/>
  <c r="X117" i="1"/>
  <c r="W117" i="1"/>
  <c r="V117" i="1"/>
  <c r="U117" i="1"/>
  <c r="T117" i="1"/>
  <c r="S117" i="1"/>
  <c r="R117" i="1"/>
  <c r="Q117" i="1"/>
  <c r="P117" i="1"/>
  <c r="O117" i="1"/>
  <c r="N117" i="1"/>
  <c r="M117" i="1"/>
  <c r="AD116" i="1"/>
  <c r="X116" i="1"/>
  <c r="W116" i="1"/>
  <c r="V116" i="1"/>
  <c r="U116" i="1"/>
  <c r="T116" i="1"/>
  <c r="S116" i="1"/>
  <c r="R116" i="1"/>
  <c r="Q116" i="1"/>
  <c r="P116" i="1"/>
  <c r="O116" i="1"/>
  <c r="N116" i="1"/>
  <c r="M116" i="1"/>
  <c r="AD115" i="1"/>
  <c r="X115" i="1"/>
  <c r="W115" i="1"/>
  <c r="V115" i="1"/>
  <c r="U115" i="1"/>
  <c r="T115" i="1"/>
  <c r="S115" i="1"/>
  <c r="R115" i="1"/>
  <c r="Q115" i="1"/>
  <c r="P115" i="1"/>
  <c r="O115" i="1"/>
  <c r="N115" i="1"/>
  <c r="M115" i="1"/>
  <c r="AD114" i="1"/>
  <c r="X114" i="1"/>
  <c r="W114" i="1"/>
  <c r="V114" i="1"/>
  <c r="U114" i="1"/>
  <c r="T114" i="1"/>
  <c r="S114" i="1"/>
  <c r="R114" i="1"/>
  <c r="Q114" i="1"/>
  <c r="P114" i="1"/>
  <c r="O114" i="1"/>
  <c r="N114" i="1"/>
  <c r="M114" i="1"/>
  <c r="AD113" i="1"/>
  <c r="X113" i="1"/>
  <c r="W113" i="1"/>
  <c r="V113" i="1"/>
  <c r="U113" i="1"/>
  <c r="T113" i="1"/>
  <c r="S113" i="1"/>
  <c r="R113" i="1"/>
  <c r="Q113" i="1"/>
  <c r="P113" i="1"/>
  <c r="O113" i="1"/>
  <c r="N113" i="1"/>
  <c r="M113" i="1"/>
  <c r="AD112" i="1"/>
  <c r="X112" i="1"/>
  <c r="W112" i="1"/>
  <c r="V112" i="1"/>
  <c r="U112" i="1"/>
  <c r="T112" i="1"/>
  <c r="S112" i="1"/>
  <c r="R112" i="1"/>
  <c r="Q112" i="1"/>
  <c r="P112" i="1"/>
  <c r="O112" i="1"/>
  <c r="N112" i="1"/>
  <c r="M112" i="1"/>
  <c r="AD111" i="1"/>
  <c r="X111" i="1"/>
  <c r="W111" i="1"/>
  <c r="V111" i="1"/>
  <c r="U111" i="1"/>
  <c r="T111" i="1"/>
  <c r="S111" i="1"/>
  <c r="R111" i="1"/>
  <c r="Q111" i="1"/>
  <c r="P111" i="1"/>
  <c r="O111" i="1"/>
  <c r="N111" i="1"/>
  <c r="M111" i="1"/>
  <c r="AD110" i="1"/>
  <c r="X110" i="1"/>
  <c r="W110" i="1"/>
  <c r="V110" i="1"/>
  <c r="U110" i="1"/>
  <c r="T110" i="1"/>
  <c r="S110" i="1"/>
  <c r="R110" i="1"/>
  <c r="Q110" i="1"/>
  <c r="P110" i="1"/>
  <c r="O110" i="1"/>
  <c r="N110" i="1"/>
  <c r="M110" i="1"/>
  <c r="AD109" i="1"/>
  <c r="X109" i="1"/>
  <c r="W109" i="1"/>
  <c r="V109" i="1"/>
  <c r="U109" i="1"/>
  <c r="T109" i="1"/>
  <c r="S109" i="1"/>
  <c r="R109" i="1"/>
  <c r="Q109" i="1"/>
  <c r="P109" i="1"/>
  <c r="O109" i="1"/>
  <c r="N109" i="1"/>
  <c r="M109" i="1"/>
  <c r="AD108" i="1"/>
  <c r="X108" i="1"/>
  <c r="W108" i="1"/>
  <c r="V108" i="1"/>
  <c r="U108" i="1"/>
  <c r="T108" i="1"/>
  <c r="S108" i="1"/>
  <c r="R108" i="1"/>
  <c r="Q108" i="1"/>
  <c r="P108" i="1"/>
  <c r="O108" i="1"/>
  <c r="N108" i="1"/>
  <c r="M108" i="1"/>
  <c r="AD107" i="1"/>
  <c r="X107" i="1"/>
  <c r="W107" i="1"/>
  <c r="V107" i="1"/>
  <c r="U107" i="1"/>
  <c r="T107" i="1"/>
  <c r="S107" i="1"/>
  <c r="R107" i="1"/>
  <c r="Q107" i="1"/>
  <c r="P107" i="1"/>
  <c r="O107" i="1"/>
  <c r="N107" i="1"/>
  <c r="M107" i="1"/>
  <c r="AD106" i="1"/>
  <c r="X106" i="1"/>
  <c r="W106" i="1"/>
  <c r="V106" i="1"/>
  <c r="U106" i="1"/>
  <c r="T106" i="1"/>
  <c r="S106" i="1"/>
  <c r="R106" i="1"/>
  <c r="Q106" i="1"/>
  <c r="P106" i="1"/>
  <c r="O106" i="1"/>
  <c r="N106" i="1"/>
  <c r="M106" i="1"/>
  <c r="AD105" i="1"/>
  <c r="X105" i="1"/>
  <c r="W105" i="1"/>
  <c r="V105" i="1"/>
  <c r="U105" i="1"/>
  <c r="T105" i="1"/>
  <c r="S105" i="1"/>
  <c r="R105" i="1"/>
  <c r="Q105" i="1"/>
  <c r="P105" i="1"/>
  <c r="O105" i="1"/>
  <c r="N105" i="1"/>
  <c r="M105" i="1"/>
  <c r="AD104" i="1"/>
  <c r="X104" i="1"/>
  <c r="W104" i="1"/>
  <c r="V104" i="1"/>
  <c r="U104" i="1"/>
  <c r="T104" i="1"/>
  <c r="S104" i="1"/>
  <c r="R104" i="1"/>
  <c r="Q104" i="1"/>
  <c r="P104" i="1"/>
  <c r="O104" i="1"/>
  <c r="N104" i="1"/>
  <c r="M104" i="1"/>
  <c r="AD103" i="1"/>
  <c r="X103" i="1"/>
  <c r="W103" i="1"/>
  <c r="V103" i="1"/>
  <c r="U103" i="1"/>
  <c r="T103" i="1"/>
  <c r="S103" i="1"/>
  <c r="R103" i="1"/>
  <c r="Q103" i="1"/>
  <c r="P103" i="1"/>
  <c r="O103" i="1"/>
  <c r="N103" i="1"/>
  <c r="M103" i="1"/>
  <c r="AD102" i="1"/>
  <c r="X102" i="1"/>
  <c r="W102" i="1"/>
  <c r="V102" i="1"/>
  <c r="U102" i="1"/>
  <c r="T102" i="1"/>
  <c r="S102" i="1"/>
  <c r="R102" i="1"/>
  <c r="Q102" i="1"/>
  <c r="P102" i="1"/>
  <c r="O102" i="1"/>
  <c r="N102" i="1"/>
  <c r="M102" i="1"/>
  <c r="AD101" i="1"/>
  <c r="X101" i="1"/>
  <c r="W101" i="1"/>
  <c r="V101" i="1"/>
  <c r="U101" i="1"/>
  <c r="T101" i="1"/>
  <c r="S101" i="1"/>
  <c r="R101" i="1"/>
  <c r="Q101" i="1"/>
  <c r="P101" i="1"/>
  <c r="O101" i="1"/>
  <c r="N101" i="1"/>
  <c r="M101" i="1"/>
  <c r="AD100" i="1"/>
  <c r="X100" i="1"/>
  <c r="W100" i="1"/>
  <c r="V100" i="1"/>
  <c r="U100" i="1"/>
  <c r="T100" i="1"/>
  <c r="S100" i="1"/>
  <c r="R100" i="1"/>
  <c r="Q100" i="1"/>
  <c r="P100" i="1"/>
  <c r="O100" i="1"/>
  <c r="N100" i="1"/>
  <c r="M100" i="1"/>
  <c r="AD99" i="1"/>
  <c r="X99" i="1"/>
  <c r="W99" i="1"/>
  <c r="V99" i="1"/>
  <c r="U99" i="1"/>
  <c r="T99" i="1"/>
  <c r="S99" i="1"/>
  <c r="R99" i="1"/>
  <c r="Q99" i="1"/>
  <c r="P99" i="1"/>
  <c r="O99" i="1"/>
  <c r="N99" i="1"/>
  <c r="M99" i="1"/>
  <c r="AD98" i="1"/>
  <c r="X98" i="1"/>
  <c r="W98" i="1"/>
  <c r="V98" i="1"/>
  <c r="U98" i="1"/>
  <c r="T98" i="1"/>
  <c r="S98" i="1"/>
  <c r="R98" i="1"/>
  <c r="Q98" i="1"/>
  <c r="P98" i="1"/>
  <c r="O98" i="1"/>
  <c r="N98" i="1"/>
  <c r="M98" i="1"/>
  <c r="AD97" i="1"/>
  <c r="X97" i="1"/>
  <c r="W97" i="1"/>
  <c r="V97" i="1"/>
  <c r="U97" i="1"/>
  <c r="T97" i="1"/>
  <c r="S97" i="1"/>
  <c r="R97" i="1"/>
  <c r="Q97" i="1"/>
  <c r="P97" i="1"/>
  <c r="O97" i="1"/>
  <c r="N97" i="1"/>
  <c r="M97" i="1"/>
  <c r="AD96" i="1"/>
  <c r="X96" i="1"/>
  <c r="W96" i="1"/>
  <c r="V96" i="1"/>
  <c r="U96" i="1"/>
  <c r="T96" i="1"/>
  <c r="S96" i="1"/>
  <c r="R96" i="1"/>
  <c r="Q96" i="1"/>
  <c r="P96" i="1"/>
  <c r="O96" i="1"/>
  <c r="N96" i="1"/>
  <c r="M96" i="1"/>
  <c r="AD95" i="1"/>
  <c r="X95" i="1"/>
  <c r="W95" i="1"/>
  <c r="V95" i="1"/>
  <c r="U95" i="1"/>
  <c r="T95" i="1"/>
  <c r="S95" i="1"/>
  <c r="R95" i="1"/>
  <c r="Q95" i="1"/>
  <c r="P95" i="1"/>
  <c r="O95" i="1"/>
  <c r="N95" i="1"/>
  <c r="M95" i="1"/>
  <c r="AD94" i="1"/>
  <c r="X94" i="1"/>
  <c r="W94" i="1"/>
  <c r="V94" i="1"/>
  <c r="U94" i="1"/>
  <c r="T94" i="1"/>
  <c r="S94" i="1"/>
  <c r="R94" i="1"/>
  <c r="Q94" i="1"/>
  <c r="P94" i="1"/>
  <c r="O94" i="1"/>
  <c r="N94" i="1"/>
  <c r="M94" i="1"/>
  <c r="AD93" i="1"/>
  <c r="X93" i="1"/>
  <c r="W93" i="1"/>
  <c r="V93" i="1"/>
  <c r="U93" i="1"/>
  <c r="T93" i="1"/>
  <c r="S93" i="1"/>
  <c r="R93" i="1"/>
  <c r="Q93" i="1"/>
  <c r="P93" i="1"/>
  <c r="O93" i="1"/>
  <c r="N93" i="1"/>
  <c r="M93" i="1"/>
  <c r="AD92" i="1"/>
  <c r="X92" i="1"/>
  <c r="W92" i="1"/>
  <c r="V92" i="1"/>
  <c r="U92" i="1"/>
  <c r="T92" i="1"/>
  <c r="S92" i="1"/>
  <c r="R92" i="1"/>
  <c r="Q92" i="1"/>
  <c r="P92" i="1"/>
  <c r="O92" i="1"/>
  <c r="N92" i="1"/>
  <c r="M92" i="1"/>
  <c r="AD91" i="1"/>
  <c r="X91" i="1"/>
  <c r="W91" i="1"/>
  <c r="V91" i="1"/>
  <c r="U91" i="1"/>
  <c r="T91" i="1"/>
  <c r="S91" i="1"/>
  <c r="R91" i="1"/>
  <c r="Q91" i="1"/>
  <c r="P91" i="1"/>
  <c r="O91" i="1"/>
  <c r="N91" i="1"/>
  <c r="M91" i="1"/>
  <c r="AD90" i="1"/>
  <c r="X90" i="1"/>
  <c r="W90" i="1"/>
  <c r="V90" i="1"/>
  <c r="U90" i="1"/>
  <c r="T90" i="1"/>
  <c r="S90" i="1"/>
  <c r="R90" i="1"/>
  <c r="Q90" i="1"/>
  <c r="P90" i="1"/>
  <c r="O90" i="1"/>
  <c r="N90" i="1"/>
  <c r="M90" i="1"/>
  <c r="AD89" i="1"/>
  <c r="X89" i="1"/>
  <c r="W89" i="1"/>
  <c r="V89" i="1"/>
  <c r="U89" i="1"/>
  <c r="T89" i="1"/>
  <c r="S89" i="1"/>
  <c r="R89" i="1"/>
  <c r="Q89" i="1"/>
  <c r="P89" i="1"/>
  <c r="O89" i="1"/>
  <c r="N89" i="1"/>
  <c r="M89" i="1"/>
  <c r="AD88" i="1"/>
  <c r="X88" i="1"/>
  <c r="W88" i="1"/>
  <c r="V88" i="1"/>
  <c r="U88" i="1"/>
  <c r="T88" i="1"/>
  <c r="S88" i="1"/>
  <c r="R88" i="1"/>
  <c r="Q88" i="1"/>
  <c r="P88" i="1"/>
  <c r="O88" i="1"/>
  <c r="N88" i="1"/>
  <c r="M88" i="1"/>
  <c r="AD87" i="1"/>
  <c r="X87" i="1"/>
  <c r="W87" i="1"/>
  <c r="V87" i="1"/>
  <c r="U87" i="1"/>
  <c r="T87" i="1"/>
  <c r="S87" i="1"/>
  <c r="R87" i="1"/>
  <c r="Q87" i="1"/>
  <c r="P87" i="1"/>
  <c r="O87" i="1"/>
  <c r="N87" i="1"/>
  <c r="M87" i="1"/>
  <c r="AD86" i="1"/>
  <c r="X86" i="1"/>
  <c r="W86" i="1"/>
  <c r="V86" i="1"/>
  <c r="U86" i="1"/>
  <c r="T86" i="1"/>
  <c r="S86" i="1"/>
  <c r="R86" i="1"/>
  <c r="Q86" i="1"/>
  <c r="P86" i="1"/>
  <c r="O86" i="1"/>
  <c r="N86" i="1"/>
  <c r="M86" i="1"/>
  <c r="AD85" i="1"/>
  <c r="X85" i="1"/>
  <c r="W85" i="1"/>
  <c r="V85" i="1"/>
  <c r="U85" i="1"/>
  <c r="T85" i="1"/>
  <c r="S85" i="1"/>
  <c r="R85" i="1"/>
  <c r="Q85" i="1"/>
  <c r="P85" i="1"/>
  <c r="O85" i="1"/>
  <c r="N85" i="1"/>
  <c r="M85" i="1"/>
  <c r="AD84" i="1"/>
  <c r="X84" i="1"/>
  <c r="W84" i="1"/>
  <c r="V84" i="1"/>
  <c r="U84" i="1"/>
  <c r="T84" i="1"/>
  <c r="S84" i="1"/>
  <c r="R84" i="1"/>
  <c r="Q84" i="1"/>
  <c r="P84" i="1"/>
  <c r="O84" i="1"/>
  <c r="N84" i="1"/>
  <c r="M84" i="1"/>
  <c r="AD83" i="1"/>
  <c r="X83" i="1"/>
  <c r="W83" i="1"/>
  <c r="V83" i="1"/>
  <c r="U83" i="1"/>
  <c r="T83" i="1"/>
  <c r="S83" i="1"/>
  <c r="R83" i="1"/>
  <c r="Q83" i="1"/>
  <c r="P83" i="1"/>
  <c r="O83" i="1"/>
  <c r="N83" i="1"/>
  <c r="M83" i="1"/>
  <c r="AD82" i="1"/>
  <c r="X82" i="1"/>
  <c r="W82" i="1"/>
  <c r="V82" i="1"/>
  <c r="U82" i="1"/>
  <c r="T82" i="1"/>
  <c r="S82" i="1"/>
  <c r="R82" i="1"/>
  <c r="Q82" i="1"/>
  <c r="P82" i="1"/>
  <c r="O82" i="1"/>
  <c r="N82" i="1"/>
  <c r="M82" i="1"/>
  <c r="AD81" i="1"/>
  <c r="X81" i="1"/>
  <c r="W81" i="1"/>
  <c r="V81" i="1"/>
  <c r="U81" i="1"/>
  <c r="T81" i="1"/>
  <c r="S81" i="1"/>
  <c r="R81" i="1"/>
  <c r="Q81" i="1"/>
  <c r="P81" i="1"/>
  <c r="O81" i="1"/>
  <c r="N81" i="1"/>
  <c r="M81" i="1"/>
  <c r="AD80" i="1"/>
  <c r="X80" i="1"/>
  <c r="W80" i="1"/>
  <c r="V80" i="1"/>
  <c r="U80" i="1"/>
  <c r="T80" i="1"/>
  <c r="S80" i="1"/>
  <c r="R80" i="1"/>
  <c r="Q80" i="1"/>
  <c r="P80" i="1"/>
  <c r="O80" i="1"/>
  <c r="N80" i="1"/>
  <c r="M80" i="1"/>
  <c r="AD79" i="1"/>
  <c r="X79" i="1"/>
  <c r="W79" i="1"/>
  <c r="V79" i="1"/>
  <c r="U79" i="1"/>
  <c r="T79" i="1"/>
  <c r="S79" i="1"/>
  <c r="R79" i="1"/>
  <c r="Q79" i="1"/>
  <c r="P79" i="1"/>
  <c r="O79" i="1"/>
  <c r="N79" i="1"/>
  <c r="M79" i="1"/>
  <c r="AD78" i="1"/>
  <c r="X78" i="1"/>
  <c r="W78" i="1"/>
  <c r="V78" i="1"/>
  <c r="U78" i="1"/>
  <c r="T78" i="1"/>
  <c r="S78" i="1"/>
  <c r="R78" i="1"/>
  <c r="Q78" i="1"/>
  <c r="P78" i="1"/>
  <c r="O78" i="1"/>
  <c r="N78" i="1"/>
  <c r="M78" i="1"/>
  <c r="AD77" i="1"/>
  <c r="X77" i="1"/>
  <c r="W77" i="1"/>
  <c r="V77" i="1"/>
  <c r="U77" i="1"/>
  <c r="T77" i="1"/>
  <c r="S77" i="1"/>
  <c r="R77" i="1"/>
  <c r="Q77" i="1"/>
  <c r="P77" i="1"/>
  <c r="O77" i="1"/>
  <c r="N77" i="1"/>
  <c r="M77" i="1"/>
  <c r="AD76" i="1"/>
  <c r="X76" i="1"/>
  <c r="W76" i="1"/>
  <c r="V76" i="1"/>
  <c r="U76" i="1"/>
  <c r="T76" i="1"/>
  <c r="S76" i="1"/>
  <c r="R76" i="1"/>
  <c r="Q76" i="1"/>
  <c r="P76" i="1"/>
  <c r="O76" i="1"/>
  <c r="N76" i="1"/>
  <c r="M76" i="1"/>
  <c r="AD75" i="1"/>
  <c r="X75" i="1"/>
  <c r="W75" i="1"/>
  <c r="V75" i="1"/>
  <c r="U75" i="1"/>
  <c r="T75" i="1"/>
  <c r="S75" i="1"/>
  <c r="R75" i="1"/>
  <c r="Q75" i="1"/>
  <c r="P75" i="1"/>
  <c r="O75" i="1"/>
  <c r="N75" i="1"/>
  <c r="M75" i="1"/>
  <c r="AD74" i="1"/>
  <c r="X74" i="1"/>
  <c r="W74" i="1"/>
  <c r="V74" i="1"/>
  <c r="U74" i="1"/>
  <c r="T74" i="1"/>
  <c r="S74" i="1"/>
  <c r="R74" i="1"/>
  <c r="Q74" i="1"/>
  <c r="P74" i="1"/>
  <c r="O74" i="1"/>
  <c r="N74" i="1"/>
  <c r="M74" i="1"/>
  <c r="AD73" i="1"/>
  <c r="X73" i="1"/>
  <c r="W73" i="1"/>
  <c r="V73" i="1"/>
  <c r="U73" i="1"/>
  <c r="T73" i="1"/>
  <c r="S73" i="1"/>
  <c r="R73" i="1"/>
  <c r="Q73" i="1"/>
  <c r="P73" i="1"/>
  <c r="O73" i="1"/>
  <c r="N73" i="1"/>
  <c r="M73" i="1"/>
  <c r="AD72" i="1"/>
  <c r="X72" i="1"/>
  <c r="W72" i="1"/>
  <c r="V72" i="1"/>
  <c r="U72" i="1"/>
  <c r="T72" i="1"/>
  <c r="S72" i="1"/>
  <c r="R72" i="1"/>
  <c r="Q72" i="1"/>
  <c r="P72" i="1"/>
  <c r="O72" i="1"/>
  <c r="N72" i="1"/>
  <c r="M72" i="1"/>
  <c r="AD71" i="1"/>
  <c r="X71" i="1"/>
  <c r="W71" i="1"/>
  <c r="V71" i="1"/>
  <c r="U71" i="1"/>
  <c r="T71" i="1"/>
  <c r="S71" i="1"/>
  <c r="R71" i="1"/>
  <c r="Q71" i="1"/>
  <c r="P71" i="1"/>
  <c r="O71" i="1"/>
  <c r="N71" i="1"/>
  <c r="M71" i="1"/>
  <c r="AD70" i="1"/>
  <c r="X70" i="1"/>
  <c r="W70" i="1"/>
  <c r="V70" i="1"/>
  <c r="U70" i="1"/>
  <c r="T70" i="1"/>
  <c r="S70" i="1"/>
  <c r="R70" i="1"/>
  <c r="Q70" i="1"/>
  <c r="P70" i="1"/>
  <c r="O70" i="1"/>
  <c r="N70" i="1"/>
  <c r="M70" i="1"/>
  <c r="AD69" i="1"/>
  <c r="X69" i="1"/>
  <c r="W69" i="1"/>
  <c r="V69" i="1"/>
  <c r="U69" i="1"/>
  <c r="T69" i="1"/>
  <c r="S69" i="1"/>
  <c r="R69" i="1"/>
  <c r="Q69" i="1"/>
  <c r="P69" i="1"/>
  <c r="O69" i="1"/>
  <c r="N69" i="1"/>
  <c r="M69" i="1"/>
  <c r="AD68" i="1"/>
  <c r="X68" i="1"/>
  <c r="W68" i="1"/>
  <c r="V68" i="1"/>
  <c r="U68" i="1"/>
  <c r="T68" i="1"/>
  <c r="S68" i="1"/>
  <c r="R68" i="1"/>
  <c r="Q68" i="1"/>
  <c r="P68" i="1"/>
  <c r="O68" i="1"/>
  <c r="N68" i="1"/>
  <c r="M68" i="1"/>
  <c r="AD67" i="1"/>
  <c r="X67" i="1"/>
  <c r="W67" i="1"/>
  <c r="V67" i="1"/>
  <c r="U67" i="1"/>
  <c r="T67" i="1"/>
  <c r="S67" i="1"/>
  <c r="R67" i="1"/>
  <c r="Q67" i="1"/>
  <c r="P67" i="1"/>
  <c r="O67" i="1"/>
  <c r="N67" i="1"/>
  <c r="M67" i="1"/>
  <c r="AD66" i="1"/>
  <c r="X66" i="1"/>
  <c r="W66" i="1"/>
  <c r="V66" i="1"/>
  <c r="U66" i="1"/>
  <c r="T66" i="1"/>
  <c r="S66" i="1"/>
  <c r="R66" i="1"/>
  <c r="Q66" i="1"/>
  <c r="P66" i="1"/>
  <c r="O66" i="1"/>
  <c r="N66" i="1"/>
  <c r="M66" i="1"/>
  <c r="AD65" i="1"/>
  <c r="X65" i="1"/>
  <c r="W65" i="1"/>
  <c r="V65" i="1"/>
  <c r="U65" i="1"/>
  <c r="T65" i="1"/>
  <c r="S65" i="1"/>
  <c r="R65" i="1"/>
  <c r="Q65" i="1"/>
  <c r="P65" i="1"/>
  <c r="O65" i="1"/>
  <c r="N65" i="1"/>
  <c r="M65" i="1"/>
  <c r="AD64" i="1"/>
  <c r="X64" i="1"/>
  <c r="W64" i="1"/>
  <c r="V64" i="1"/>
  <c r="U64" i="1"/>
  <c r="T64" i="1"/>
  <c r="S64" i="1"/>
  <c r="R64" i="1"/>
  <c r="Q64" i="1"/>
  <c r="P64" i="1"/>
  <c r="O64" i="1"/>
  <c r="N64" i="1"/>
  <c r="M64" i="1"/>
  <c r="AD63" i="1"/>
  <c r="X63" i="1"/>
  <c r="W63" i="1"/>
  <c r="V63" i="1"/>
  <c r="U63" i="1"/>
  <c r="T63" i="1"/>
  <c r="S63" i="1"/>
  <c r="R63" i="1"/>
  <c r="Q63" i="1"/>
  <c r="P63" i="1"/>
  <c r="O63" i="1"/>
  <c r="N63" i="1"/>
  <c r="M63" i="1"/>
  <c r="AD62" i="1"/>
  <c r="X62" i="1"/>
  <c r="W62" i="1"/>
  <c r="V62" i="1"/>
  <c r="U62" i="1"/>
  <c r="T62" i="1"/>
  <c r="S62" i="1"/>
  <c r="R62" i="1"/>
  <c r="Q62" i="1"/>
  <c r="P62" i="1"/>
  <c r="O62" i="1"/>
  <c r="N62" i="1"/>
  <c r="M62" i="1"/>
  <c r="AD61" i="1"/>
  <c r="X61" i="1"/>
  <c r="W61" i="1"/>
  <c r="V61" i="1"/>
  <c r="U61" i="1"/>
  <c r="T61" i="1"/>
  <c r="S61" i="1"/>
  <c r="R61" i="1"/>
  <c r="Q61" i="1"/>
  <c r="P61" i="1"/>
  <c r="O61" i="1"/>
  <c r="N61" i="1"/>
  <c r="M61" i="1"/>
  <c r="AD60" i="1"/>
  <c r="X60" i="1"/>
  <c r="W60" i="1"/>
  <c r="V60" i="1"/>
  <c r="U60" i="1"/>
  <c r="T60" i="1"/>
  <c r="S60" i="1"/>
  <c r="R60" i="1"/>
  <c r="Q60" i="1"/>
  <c r="P60" i="1"/>
  <c r="O60" i="1"/>
  <c r="N60" i="1"/>
  <c r="M60" i="1"/>
  <c r="AD59" i="1"/>
  <c r="X59" i="1"/>
  <c r="W59" i="1"/>
  <c r="V59" i="1"/>
  <c r="U59" i="1"/>
  <c r="T59" i="1"/>
  <c r="S59" i="1"/>
  <c r="R59" i="1"/>
  <c r="Q59" i="1"/>
  <c r="P59" i="1"/>
  <c r="O59" i="1"/>
  <c r="N59" i="1"/>
  <c r="M59" i="1"/>
  <c r="AD58" i="1"/>
  <c r="X58" i="1"/>
  <c r="W58" i="1"/>
  <c r="V58" i="1"/>
  <c r="U58" i="1"/>
  <c r="T58" i="1"/>
  <c r="S58" i="1"/>
  <c r="R58" i="1"/>
  <c r="Q58" i="1"/>
  <c r="P58" i="1"/>
  <c r="O58" i="1"/>
  <c r="N58" i="1"/>
  <c r="M58" i="1"/>
  <c r="AD57" i="1"/>
  <c r="X57" i="1"/>
  <c r="W57" i="1"/>
  <c r="V57" i="1"/>
  <c r="U57" i="1"/>
  <c r="T57" i="1"/>
  <c r="S57" i="1"/>
  <c r="R57" i="1"/>
  <c r="Q57" i="1"/>
  <c r="P57" i="1"/>
  <c r="O57" i="1"/>
  <c r="N57" i="1"/>
  <c r="M57" i="1"/>
  <c r="AD56" i="1"/>
  <c r="X56" i="1"/>
  <c r="W56" i="1"/>
  <c r="V56" i="1"/>
  <c r="U56" i="1"/>
  <c r="T56" i="1"/>
  <c r="S56" i="1"/>
  <c r="R56" i="1"/>
  <c r="Q56" i="1"/>
  <c r="P56" i="1"/>
  <c r="O56" i="1"/>
  <c r="N56" i="1"/>
  <c r="M56" i="1"/>
  <c r="AD55" i="1"/>
  <c r="X55" i="1"/>
  <c r="W55" i="1"/>
  <c r="V55" i="1"/>
  <c r="U55" i="1"/>
  <c r="T55" i="1"/>
  <c r="S55" i="1"/>
  <c r="R55" i="1"/>
  <c r="Q55" i="1"/>
  <c r="P55" i="1"/>
  <c r="O55" i="1"/>
  <c r="N55" i="1"/>
  <c r="M55" i="1"/>
  <c r="AD54" i="1"/>
  <c r="X54" i="1"/>
  <c r="W54" i="1"/>
  <c r="V54" i="1"/>
  <c r="U54" i="1"/>
  <c r="T54" i="1"/>
  <c r="S54" i="1"/>
  <c r="R54" i="1"/>
  <c r="Q54" i="1"/>
  <c r="P54" i="1"/>
  <c r="O54" i="1"/>
  <c r="N54" i="1"/>
  <c r="M54" i="1"/>
  <c r="AD53" i="1"/>
  <c r="X53" i="1"/>
  <c r="W53" i="1"/>
  <c r="V53" i="1"/>
  <c r="U53" i="1"/>
  <c r="T53" i="1"/>
  <c r="S53" i="1"/>
  <c r="R53" i="1"/>
  <c r="Q53" i="1"/>
  <c r="P53" i="1"/>
  <c r="O53" i="1"/>
  <c r="N53" i="1"/>
  <c r="M53" i="1"/>
  <c r="AD52" i="1"/>
  <c r="X52" i="1"/>
  <c r="W52" i="1"/>
  <c r="V52" i="1"/>
  <c r="U52" i="1"/>
  <c r="T52" i="1"/>
  <c r="S52" i="1"/>
  <c r="R52" i="1"/>
  <c r="Q52" i="1"/>
  <c r="P52" i="1"/>
  <c r="O52" i="1"/>
  <c r="N52" i="1"/>
  <c r="M52" i="1"/>
  <c r="AD51" i="1"/>
  <c r="X51" i="1"/>
  <c r="W51" i="1"/>
  <c r="V51" i="1"/>
  <c r="U51" i="1"/>
  <c r="T51" i="1"/>
  <c r="S51" i="1"/>
  <c r="R51" i="1"/>
  <c r="Q51" i="1"/>
  <c r="P51" i="1"/>
  <c r="O51" i="1"/>
  <c r="N51" i="1"/>
  <c r="M51" i="1"/>
  <c r="AD50" i="1"/>
  <c r="X50" i="1"/>
  <c r="W50" i="1"/>
  <c r="V50" i="1"/>
  <c r="U50" i="1"/>
  <c r="T50" i="1"/>
  <c r="S50" i="1"/>
  <c r="R50" i="1"/>
  <c r="Q50" i="1"/>
  <c r="P50" i="1"/>
  <c r="O50" i="1"/>
  <c r="N50" i="1"/>
  <c r="M50" i="1"/>
  <c r="AD49" i="1"/>
  <c r="X49" i="1"/>
  <c r="W49" i="1"/>
  <c r="V49" i="1"/>
  <c r="U49" i="1"/>
  <c r="T49" i="1"/>
  <c r="S49" i="1"/>
  <c r="R49" i="1"/>
  <c r="Q49" i="1"/>
  <c r="P49" i="1"/>
  <c r="O49" i="1"/>
  <c r="N49" i="1"/>
  <c r="M49" i="1"/>
  <c r="AD48" i="1"/>
  <c r="X48" i="1"/>
  <c r="W48" i="1"/>
  <c r="V48" i="1"/>
  <c r="U48" i="1"/>
  <c r="T48" i="1"/>
  <c r="S48" i="1"/>
  <c r="R48" i="1"/>
  <c r="Q48" i="1"/>
  <c r="P48" i="1"/>
  <c r="O48" i="1"/>
  <c r="N48" i="1"/>
  <c r="M48" i="1"/>
  <c r="AD47" i="1"/>
  <c r="X47" i="1"/>
  <c r="W47" i="1"/>
  <c r="V47" i="1"/>
  <c r="U47" i="1"/>
  <c r="T47" i="1"/>
  <c r="S47" i="1"/>
  <c r="R47" i="1"/>
  <c r="Q47" i="1"/>
  <c r="P47" i="1"/>
  <c r="O47" i="1"/>
  <c r="N47" i="1"/>
  <c r="M47" i="1"/>
  <c r="AD46" i="1"/>
  <c r="X46" i="1"/>
  <c r="W46" i="1"/>
  <c r="V46" i="1"/>
  <c r="U46" i="1"/>
  <c r="T46" i="1"/>
  <c r="S46" i="1"/>
  <c r="R46" i="1"/>
  <c r="Q46" i="1"/>
  <c r="P46" i="1"/>
  <c r="O46" i="1"/>
  <c r="N46" i="1"/>
  <c r="M46" i="1"/>
  <c r="AD45" i="1"/>
  <c r="X45" i="1"/>
  <c r="W45" i="1"/>
  <c r="V45" i="1"/>
  <c r="U45" i="1"/>
  <c r="T45" i="1"/>
  <c r="S45" i="1"/>
  <c r="R45" i="1"/>
  <c r="Q45" i="1"/>
  <c r="P45" i="1"/>
  <c r="O45" i="1"/>
  <c r="N45" i="1"/>
  <c r="M45" i="1"/>
  <c r="AD44" i="1"/>
  <c r="X44" i="1"/>
  <c r="W44" i="1"/>
  <c r="V44" i="1"/>
  <c r="U44" i="1"/>
  <c r="T44" i="1"/>
  <c r="S44" i="1"/>
  <c r="R44" i="1"/>
  <c r="Q44" i="1"/>
  <c r="P44" i="1"/>
  <c r="O44" i="1"/>
  <c r="N44" i="1"/>
  <c r="M44" i="1"/>
  <c r="AD43" i="1"/>
  <c r="X43" i="1"/>
  <c r="W43" i="1"/>
  <c r="V43" i="1"/>
  <c r="U43" i="1"/>
  <c r="T43" i="1"/>
  <c r="S43" i="1"/>
  <c r="R43" i="1"/>
  <c r="Q43" i="1"/>
  <c r="P43" i="1"/>
  <c r="O43" i="1"/>
  <c r="N43" i="1"/>
  <c r="M43" i="1"/>
  <c r="AD42" i="1"/>
  <c r="X42" i="1"/>
  <c r="W42" i="1"/>
  <c r="V42" i="1"/>
  <c r="U42" i="1"/>
  <c r="T42" i="1"/>
  <c r="S42" i="1"/>
  <c r="R42" i="1"/>
  <c r="Q42" i="1"/>
  <c r="P42" i="1"/>
  <c r="O42" i="1"/>
  <c r="N42" i="1"/>
  <c r="M42" i="1"/>
  <c r="AD41" i="1"/>
  <c r="X41" i="1"/>
  <c r="W41" i="1"/>
  <c r="V41" i="1"/>
  <c r="U41" i="1"/>
  <c r="T41" i="1"/>
  <c r="S41" i="1"/>
  <c r="R41" i="1"/>
  <c r="Q41" i="1"/>
  <c r="P41" i="1"/>
  <c r="O41" i="1"/>
  <c r="N41" i="1"/>
  <c r="M41" i="1"/>
  <c r="AD40" i="1"/>
  <c r="X40" i="1"/>
  <c r="W40" i="1"/>
  <c r="V40" i="1"/>
  <c r="U40" i="1"/>
  <c r="T40" i="1"/>
  <c r="S40" i="1"/>
  <c r="R40" i="1"/>
  <c r="Q40" i="1"/>
  <c r="P40" i="1"/>
  <c r="O40" i="1"/>
  <c r="N40" i="1"/>
  <c r="M40" i="1"/>
  <c r="AD39" i="1"/>
  <c r="X39" i="1"/>
  <c r="W39" i="1"/>
  <c r="V39" i="1"/>
  <c r="U39" i="1"/>
  <c r="T39" i="1"/>
  <c r="S39" i="1"/>
  <c r="R39" i="1"/>
  <c r="Q39" i="1"/>
  <c r="P39" i="1"/>
  <c r="O39" i="1"/>
  <c r="N39" i="1"/>
  <c r="M39" i="1"/>
  <c r="AD38" i="1"/>
  <c r="X38" i="1"/>
  <c r="W38" i="1"/>
  <c r="V38" i="1"/>
  <c r="U38" i="1"/>
  <c r="T38" i="1"/>
  <c r="S38" i="1"/>
  <c r="R38" i="1"/>
  <c r="Q38" i="1"/>
  <c r="P38" i="1"/>
  <c r="O38" i="1"/>
  <c r="N38" i="1"/>
  <c r="M38" i="1"/>
  <c r="AD37" i="1"/>
  <c r="X37" i="1"/>
  <c r="W37" i="1"/>
  <c r="V37" i="1"/>
  <c r="U37" i="1"/>
  <c r="T37" i="1"/>
  <c r="S37" i="1"/>
  <c r="R37" i="1"/>
  <c r="Q37" i="1"/>
  <c r="P37" i="1"/>
  <c r="O37" i="1"/>
  <c r="N37" i="1"/>
  <c r="M37" i="1"/>
  <c r="AD36" i="1"/>
  <c r="X36" i="1"/>
  <c r="W36" i="1"/>
  <c r="V36" i="1"/>
  <c r="U36" i="1"/>
  <c r="T36" i="1"/>
  <c r="S36" i="1"/>
  <c r="R36" i="1"/>
  <c r="Q36" i="1"/>
  <c r="P36" i="1"/>
  <c r="O36" i="1"/>
  <c r="N36" i="1"/>
  <c r="M36" i="1"/>
  <c r="AD35" i="1"/>
  <c r="X35" i="1"/>
  <c r="W35" i="1"/>
  <c r="V35" i="1"/>
  <c r="U35" i="1"/>
  <c r="T35" i="1"/>
  <c r="S35" i="1"/>
  <c r="R35" i="1"/>
  <c r="Q35" i="1"/>
  <c r="P35" i="1"/>
  <c r="O35" i="1"/>
  <c r="N35" i="1"/>
  <c r="M35" i="1"/>
  <c r="AD34" i="1"/>
  <c r="X34" i="1"/>
  <c r="W34" i="1"/>
  <c r="V34" i="1"/>
  <c r="U34" i="1"/>
  <c r="T34" i="1"/>
  <c r="S34" i="1"/>
  <c r="R34" i="1"/>
  <c r="Q34" i="1"/>
  <c r="P34" i="1"/>
  <c r="O34" i="1"/>
  <c r="N34" i="1"/>
  <c r="M34" i="1"/>
  <c r="AD33" i="1"/>
  <c r="X33" i="1"/>
  <c r="W33" i="1"/>
  <c r="V33" i="1"/>
  <c r="U33" i="1"/>
  <c r="T33" i="1"/>
  <c r="S33" i="1"/>
  <c r="R33" i="1"/>
  <c r="Q33" i="1"/>
  <c r="P33" i="1"/>
  <c r="O33" i="1"/>
  <c r="N33" i="1"/>
  <c r="M33" i="1"/>
  <c r="AD32" i="1"/>
  <c r="X32" i="1"/>
  <c r="W32" i="1"/>
  <c r="V32" i="1"/>
  <c r="U32" i="1"/>
  <c r="T32" i="1"/>
  <c r="S32" i="1"/>
  <c r="R32" i="1"/>
  <c r="Q32" i="1"/>
  <c r="P32" i="1"/>
  <c r="O32" i="1"/>
  <c r="N32" i="1"/>
  <c r="M32" i="1"/>
  <c r="AD31" i="1"/>
  <c r="X31" i="1"/>
  <c r="W31" i="1"/>
  <c r="V31" i="1"/>
  <c r="U31" i="1"/>
  <c r="T31" i="1"/>
  <c r="S31" i="1"/>
  <c r="R31" i="1"/>
  <c r="Q31" i="1"/>
  <c r="P31" i="1"/>
  <c r="O31" i="1"/>
  <c r="N31" i="1"/>
  <c r="M31" i="1"/>
  <c r="AD30" i="1"/>
  <c r="X30" i="1"/>
  <c r="W30" i="1"/>
  <c r="V30" i="1"/>
  <c r="U30" i="1"/>
  <c r="T30" i="1"/>
  <c r="S30" i="1"/>
  <c r="R30" i="1"/>
  <c r="Q30" i="1"/>
  <c r="P30" i="1"/>
  <c r="O30" i="1"/>
  <c r="N30" i="1"/>
  <c r="M30" i="1"/>
  <c r="AD29" i="1"/>
  <c r="X29" i="1"/>
  <c r="W29" i="1"/>
  <c r="V29" i="1"/>
  <c r="U29" i="1"/>
  <c r="T29" i="1"/>
  <c r="S29" i="1"/>
  <c r="R29" i="1"/>
  <c r="Q29" i="1"/>
  <c r="P29" i="1"/>
  <c r="O29" i="1"/>
  <c r="N29" i="1"/>
  <c r="M29" i="1"/>
  <c r="AD28" i="1"/>
  <c r="X28" i="1"/>
  <c r="W28" i="1"/>
  <c r="V28" i="1"/>
  <c r="U28" i="1"/>
  <c r="T28" i="1"/>
  <c r="S28" i="1"/>
  <c r="R28" i="1"/>
  <c r="Q28" i="1"/>
  <c r="P28" i="1"/>
  <c r="O28" i="1"/>
  <c r="N28" i="1"/>
  <c r="M28" i="1"/>
  <c r="AD27" i="1"/>
  <c r="X27" i="1"/>
  <c r="W27" i="1"/>
  <c r="V27" i="1"/>
  <c r="U27" i="1"/>
  <c r="T27" i="1"/>
  <c r="S27" i="1"/>
  <c r="R27" i="1"/>
  <c r="Q27" i="1"/>
  <c r="P27" i="1"/>
  <c r="O27" i="1"/>
  <c r="N27" i="1"/>
  <c r="M27" i="1"/>
  <c r="AD26" i="1"/>
  <c r="X26" i="1"/>
  <c r="W26" i="1"/>
  <c r="V26" i="1"/>
  <c r="U26" i="1"/>
  <c r="T26" i="1"/>
  <c r="S26" i="1"/>
  <c r="R26" i="1"/>
  <c r="Q26" i="1"/>
  <c r="P26" i="1"/>
  <c r="O26" i="1"/>
  <c r="N26" i="1"/>
  <c r="M26" i="1"/>
  <c r="AD25" i="1"/>
  <c r="X25" i="1"/>
  <c r="W25" i="1"/>
  <c r="V25" i="1"/>
  <c r="U25" i="1"/>
  <c r="T25" i="1"/>
  <c r="S25" i="1"/>
  <c r="R25" i="1"/>
  <c r="Q25" i="1"/>
  <c r="P25" i="1"/>
  <c r="O25" i="1"/>
  <c r="N25" i="1"/>
  <c r="M25" i="1"/>
  <c r="AD24" i="1"/>
  <c r="X24" i="1"/>
  <c r="W24" i="1"/>
  <c r="V24" i="1"/>
  <c r="U24" i="1"/>
  <c r="T24" i="1"/>
  <c r="S24" i="1"/>
  <c r="R24" i="1"/>
  <c r="Q24" i="1"/>
  <c r="P24" i="1"/>
  <c r="O24" i="1"/>
  <c r="N24" i="1"/>
  <c r="M24" i="1"/>
  <c r="AD23" i="1"/>
  <c r="X23" i="1"/>
  <c r="W23" i="1"/>
  <c r="V23" i="1"/>
  <c r="U23" i="1"/>
  <c r="T23" i="1"/>
  <c r="S23" i="1"/>
  <c r="R23" i="1"/>
  <c r="Q23" i="1"/>
  <c r="P23" i="1"/>
  <c r="O23" i="1"/>
  <c r="N23" i="1"/>
  <c r="M23" i="1"/>
  <c r="AD22" i="1"/>
  <c r="X22" i="1"/>
  <c r="W22" i="1"/>
  <c r="V22" i="1"/>
  <c r="U22" i="1"/>
  <c r="T22" i="1"/>
  <c r="S22" i="1"/>
  <c r="R22" i="1"/>
  <c r="Q22" i="1"/>
  <c r="P22" i="1"/>
  <c r="O22" i="1"/>
  <c r="N22" i="1"/>
  <c r="M22" i="1"/>
  <c r="AD21" i="1"/>
  <c r="X21" i="1"/>
  <c r="W21" i="1"/>
  <c r="V21" i="1"/>
  <c r="U21" i="1"/>
  <c r="T21" i="1"/>
  <c r="S21" i="1"/>
  <c r="R21" i="1"/>
  <c r="Q21" i="1"/>
  <c r="P21" i="1"/>
  <c r="O21" i="1"/>
  <c r="N21" i="1"/>
  <c r="M21" i="1"/>
  <c r="AD20" i="1"/>
  <c r="X20" i="1"/>
  <c r="W20" i="1"/>
  <c r="V20" i="1"/>
  <c r="U20" i="1"/>
  <c r="T20" i="1"/>
  <c r="S20" i="1"/>
  <c r="R20" i="1"/>
  <c r="Q20" i="1"/>
  <c r="P20" i="1"/>
  <c r="O20" i="1"/>
  <c r="N20" i="1"/>
  <c r="M20" i="1"/>
  <c r="C260" i="1"/>
  <c r="C259" i="1"/>
  <c r="C258" i="1"/>
  <c r="C264" i="1"/>
  <c r="C261" i="1"/>
  <c r="C30" i="6" l="1"/>
  <c r="C257" i="1"/>
  <c r="C254" i="1"/>
  <c r="C253" i="1"/>
  <c r="C251" i="1"/>
  <c r="C250" i="1"/>
  <c r="B19" i="6" l="1"/>
  <c r="B18" i="6"/>
  <c r="B17" i="6"/>
  <c r="B16" i="6"/>
  <c r="B15" i="6"/>
  <c r="B14" i="6"/>
  <c r="B13" i="6"/>
  <c r="B12" i="6"/>
  <c r="B11" i="6"/>
  <c r="B10" i="6"/>
  <c r="F210" i="3"/>
  <c r="F222" i="3"/>
  <c r="B29" i="6" l="1"/>
  <c r="F255" i="3"/>
  <c r="F254" i="3"/>
  <c r="F253" i="3"/>
  <c r="F252" i="3"/>
  <c r="F251" i="3"/>
  <c r="F250" i="3"/>
  <c r="F249" i="3"/>
  <c r="F248" i="3"/>
  <c r="F247" i="3"/>
  <c r="F246" i="3"/>
  <c r="F245" i="3"/>
  <c r="F244" i="3"/>
  <c r="F243" i="3"/>
  <c r="C224" i="1" l="1"/>
  <c r="C214" i="1" l="1"/>
  <c r="AD19" i="1" l="1"/>
  <c r="AD18" i="1"/>
  <c r="AD17" i="1"/>
  <c r="AD16" i="1"/>
  <c r="AD15" i="1"/>
  <c r="AD14" i="1"/>
  <c r="AD13" i="1"/>
  <c r="AD12" i="1"/>
  <c r="AD11" i="1"/>
  <c r="AD10" i="1"/>
  <c r="AD9" i="1"/>
  <c r="AD8" i="1"/>
  <c r="AD7" i="1"/>
  <c r="AD6" i="1"/>
  <c r="AD5" i="1"/>
  <c r="AD4" i="1"/>
  <c r="F242" i="3"/>
  <c r="F241" i="3"/>
  <c r="F240" i="3"/>
  <c r="F239" i="3"/>
  <c r="F238" i="3"/>
  <c r="F237" i="3"/>
  <c r="F236" i="3"/>
  <c r="F235" i="3"/>
  <c r="F234" i="3"/>
  <c r="F233" i="3"/>
  <c r="F232" i="3"/>
  <c r="F231" i="3"/>
  <c r="F230" i="3"/>
  <c r="F229" i="3"/>
  <c r="F228" i="3"/>
  <c r="F227" i="3"/>
  <c r="F226" i="3"/>
  <c r="F225" i="3"/>
  <c r="F224" i="3"/>
  <c r="F223" i="3"/>
  <c r="F221" i="3"/>
  <c r="F220" i="3"/>
  <c r="F219" i="3"/>
  <c r="F218" i="3"/>
  <c r="F217" i="3"/>
  <c r="F216" i="3"/>
  <c r="F215" i="3"/>
  <c r="F214" i="3"/>
  <c r="F213" i="3"/>
  <c r="F212" i="3"/>
  <c r="F211"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AC3" i="1"/>
  <c r="AB3" i="1"/>
  <c r="AA3" i="1"/>
  <c r="Z3" i="1"/>
  <c r="Z393" i="1" l="1"/>
  <c r="Z394" i="1"/>
  <c r="Z385" i="1"/>
  <c r="Z382" i="1"/>
  <c r="Z386" i="1"/>
  <c r="Z395" i="1"/>
  <c r="AA393" i="1"/>
  <c r="AA394" i="1"/>
  <c r="AA385" i="1"/>
  <c r="AA382" i="1"/>
  <c r="AA386" i="1"/>
  <c r="AA395" i="1"/>
  <c r="AB393" i="1"/>
  <c r="AB394" i="1"/>
  <c r="AB385" i="1"/>
  <c r="AB382" i="1"/>
  <c r="AB386" i="1"/>
  <c r="AB395" i="1"/>
  <c r="AC393" i="1"/>
  <c r="AC394" i="1"/>
  <c r="AC385" i="1"/>
  <c r="AC382" i="1"/>
  <c r="AC386" i="1"/>
  <c r="AC395" i="1"/>
  <c r="AC506" i="1"/>
  <c r="AC502" i="1"/>
  <c r="AC500" i="1"/>
  <c r="AC496" i="1"/>
  <c r="AC505" i="1"/>
  <c r="AC494" i="1"/>
  <c r="AC495" i="1"/>
  <c r="AC493" i="1"/>
  <c r="AC504" i="1"/>
  <c r="AC498" i="1"/>
  <c r="AC492" i="1"/>
  <c r="AC501" i="1"/>
  <c r="AC503" i="1"/>
  <c r="AC491" i="1"/>
  <c r="AC499" i="1"/>
  <c r="AC497" i="1"/>
  <c r="AB506" i="1"/>
  <c r="AB494" i="1"/>
  <c r="AB493" i="1"/>
  <c r="AB505" i="1"/>
  <c r="AB501" i="1"/>
  <c r="AB492" i="1"/>
  <c r="AB504" i="1"/>
  <c r="AB498" i="1"/>
  <c r="AB495" i="1"/>
  <c r="AB503" i="1"/>
  <c r="AB491" i="1"/>
  <c r="AB496" i="1"/>
  <c r="AB502" i="1"/>
  <c r="AB500" i="1"/>
  <c r="AB499" i="1"/>
  <c r="AB497" i="1"/>
  <c r="AA506" i="1"/>
  <c r="AA491" i="1"/>
  <c r="AA505" i="1"/>
  <c r="AA504" i="1"/>
  <c r="AA503" i="1"/>
  <c r="AA502" i="1"/>
  <c r="AA501" i="1"/>
  <c r="AA500" i="1"/>
  <c r="AA495" i="1"/>
  <c r="AA498" i="1"/>
  <c r="AA494" i="1"/>
  <c r="AA493" i="1"/>
  <c r="AA492" i="1"/>
  <c r="AA497" i="1"/>
  <c r="AA499" i="1"/>
  <c r="AA496" i="1"/>
  <c r="Z506" i="1"/>
  <c r="Z495" i="1"/>
  <c r="Z498" i="1"/>
  <c r="Z500" i="1"/>
  <c r="Z502" i="1"/>
  <c r="Z503" i="1"/>
  <c r="Z501" i="1"/>
  <c r="Z491" i="1"/>
  <c r="Z504" i="1"/>
  <c r="Z497" i="1"/>
  <c r="Z494" i="1"/>
  <c r="Z499" i="1"/>
  <c r="Z493" i="1"/>
  <c r="Z505" i="1"/>
  <c r="Z492" i="1"/>
  <c r="Z496" i="1"/>
  <c r="AC365" i="1"/>
  <c r="AC508" i="1"/>
  <c r="AC481" i="1"/>
  <c r="AC489" i="1"/>
  <c r="AC486" i="1"/>
  <c r="AC507" i="1"/>
  <c r="AC479" i="1"/>
  <c r="AC480" i="1"/>
  <c r="AC483" i="1"/>
  <c r="AC487" i="1"/>
  <c r="AC478" i="1"/>
  <c r="AC484" i="1"/>
  <c r="AC482" i="1"/>
  <c r="AC490" i="1"/>
  <c r="AC488" i="1"/>
  <c r="AC485" i="1"/>
  <c r="AB365" i="1"/>
  <c r="AB508" i="1"/>
  <c r="AB478" i="1"/>
  <c r="AB507" i="1"/>
  <c r="AB487" i="1"/>
  <c r="AB486" i="1"/>
  <c r="AB490" i="1"/>
  <c r="AB488" i="1"/>
  <c r="AB489" i="1"/>
  <c r="AB480" i="1"/>
  <c r="AB479" i="1"/>
  <c r="AB485" i="1"/>
  <c r="AB484" i="1"/>
  <c r="AB481" i="1"/>
  <c r="AB483" i="1"/>
  <c r="AB482" i="1"/>
  <c r="AA365" i="1"/>
  <c r="AA508" i="1"/>
  <c r="AA485" i="1"/>
  <c r="AA487" i="1"/>
  <c r="AA489" i="1"/>
  <c r="AA488" i="1"/>
  <c r="AA490" i="1"/>
  <c r="AA482" i="1"/>
  <c r="AA483" i="1"/>
  <c r="AA486" i="1"/>
  <c r="AA484" i="1"/>
  <c r="AA479" i="1"/>
  <c r="AA507" i="1"/>
  <c r="AA480" i="1"/>
  <c r="AA481" i="1"/>
  <c r="AA478" i="1"/>
  <c r="Z365" i="1"/>
  <c r="Z484" i="1"/>
  <c r="Z489" i="1"/>
  <c r="Z479" i="1"/>
  <c r="Z482" i="1"/>
  <c r="Z483" i="1"/>
  <c r="Z486" i="1"/>
  <c r="Z488" i="1"/>
  <c r="Z481" i="1"/>
  <c r="Z508" i="1"/>
  <c r="Z485" i="1"/>
  <c r="Z487" i="1"/>
  <c r="Z480" i="1"/>
  <c r="Z507" i="1"/>
  <c r="Z490" i="1"/>
  <c r="Z478" i="1"/>
  <c r="Z341" i="1"/>
  <c r="Z343" i="1"/>
  <c r="Z333" i="1"/>
  <c r="Z342" i="1"/>
  <c r="AB333" i="1"/>
  <c r="AB342" i="1"/>
  <c r="AB343" i="1"/>
  <c r="AB341" i="1"/>
  <c r="AC333" i="1"/>
  <c r="AC343" i="1"/>
  <c r="AC342" i="1"/>
  <c r="AC341" i="1"/>
  <c r="AA341" i="1"/>
  <c r="AA333" i="1"/>
  <c r="AA343" i="1"/>
  <c r="AA342" i="1"/>
  <c r="AC307" i="1"/>
  <c r="AC308" i="1"/>
  <c r="Z308" i="1"/>
  <c r="Z307" i="1"/>
  <c r="AA308" i="1"/>
  <c r="AA307" i="1"/>
  <c r="AB307" i="1"/>
  <c r="AB308" i="1"/>
  <c r="Z328" i="1"/>
  <c r="Z329" i="1"/>
  <c r="AA328" i="1"/>
  <c r="AA329" i="1"/>
  <c r="AB328" i="1"/>
  <c r="AB329" i="1"/>
  <c r="AC328" i="1"/>
  <c r="AC329" i="1"/>
  <c r="Z319" i="1"/>
  <c r="Z318" i="1"/>
  <c r="AA319" i="1"/>
  <c r="AA318" i="1"/>
  <c r="AB319" i="1"/>
  <c r="AB318" i="1"/>
  <c r="AC319" i="1"/>
  <c r="AC318" i="1"/>
  <c r="AB518" i="1"/>
  <c r="AB510" i="1"/>
  <c r="AB471" i="1"/>
  <c r="AB463" i="1"/>
  <c r="AB455" i="1"/>
  <c r="AB447" i="1"/>
  <c r="AB439" i="1"/>
  <c r="AB431" i="1"/>
  <c r="AB423" i="1"/>
  <c r="AB415" i="1"/>
  <c r="AB407" i="1"/>
  <c r="AB399" i="1"/>
  <c r="AB380" i="1"/>
  <c r="AB374" i="1"/>
  <c r="AB367" i="1"/>
  <c r="AB358" i="1"/>
  <c r="AB349" i="1"/>
  <c r="AB338" i="1"/>
  <c r="AB330" i="1"/>
  <c r="AB324" i="1"/>
  <c r="AB517" i="1"/>
  <c r="AB509" i="1"/>
  <c r="AB470" i="1"/>
  <c r="AB462" i="1"/>
  <c r="AB454" i="1"/>
  <c r="AB446" i="1"/>
  <c r="AB438" i="1"/>
  <c r="AB430" i="1"/>
  <c r="AB422" i="1"/>
  <c r="AB414" i="1"/>
  <c r="AB406" i="1"/>
  <c r="AB398" i="1"/>
  <c r="AB379" i="1"/>
  <c r="AB366" i="1"/>
  <c r="AB357" i="1"/>
  <c r="AB348" i="1"/>
  <c r="AB337" i="1"/>
  <c r="AB524" i="1"/>
  <c r="AB516" i="1"/>
  <c r="AB477" i="1"/>
  <c r="AB469" i="1"/>
  <c r="AB461" i="1"/>
  <c r="AB453" i="1"/>
  <c r="AB445" i="1"/>
  <c r="AB437" i="1"/>
  <c r="AB429" i="1"/>
  <c r="AB421" i="1"/>
  <c r="AB413" i="1"/>
  <c r="AB405" i="1"/>
  <c r="AB397" i="1"/>
  <c r="AB378" i="1"/>
  <c r="AB373" i="1"/>
  <c r="AB356" i="1"/>
  <c r="AB347" i="1"/>
  <c r="AB336" i="1"/>
  <c r="AB523" i="1"/>
  <c r="AB515" i="1"/>
  <c r="AB476" i="1"/>
  <c r="AB468" i="1"/>
  <c r="AB460" i="1"/>
  <c r="AB452" i="1"/>
  <c r="AB444" i="1"/>
  <c r="AB436" i="1"/>
  <c r="AB428" i="1"/>
  <c r="AB420" i="1"/>
  <c r="AB412" i="1"/>
  <c r="AB404" i="1"/>
  <c r="AB396" i="1"/>
  <c r="AB372" i="1"/>
  <c r="AB364" i="1"/>
  <c r="AB355" i="1"/>
  <c r="AB346" i="1"/>
  <c r="AB335" i="1"/>
  <c r="AB522" i="1"/>
  <c r="AB514" i="1"/>
  <c r="AB475" i="1"/>
  <c r="AB467" i="1"/>
  <c r="AB459" i="1"/>
  <c r="AB451" i="1"/>
  <c r="AB443" i="1"/>
  <c r="AB435" i="1"/>
  <c r="AB427" i="1"/>
  <c r="AB419" i="1"/>
  <c r="AB411" i="1"/>
  <c r="AB403" i="1"/>
  <c r="AB383" i="1"/>
  <c r="AB371" i="1"/>
  <c r="AB363" i="1"/>
  <c r="AB353" i="1"/>
  <c r="AB345" i="1"/>
  <c r="AB334" i="1"/>
  <c r="AB327" i="1"/>
  <c r="AB521" i="1"/>
  <c r="AB513" i="1"/>
  <c r="AB474" i="1"/>
  <c r="AB466" i="1"/>
  <c r="AB458" i="1"/>
  <c r="AB450" i="1"/>
  <c r="AB442" i="1"/>
  <c r="AB434" i="1"/>
  <c r="AB426" i="1"/>
  <c r="AB418" i="1"/>
  <c r="AB410" i="1"/>
  <c r="AB402" i="1"/>
  <c r="AB377" i="1"/>
  <c r="AB370" i="1"/>
  <c r="AB361" i="1"/>
  <c r="AB352" i="1"/>
  <c r="AB344" i="1"/>
  <c r="AB520" i="1"/>
  <c r="AB512" i="1"/>
  <c r="AB473" i="1"/>
  <c r="AB465" i="1"/>
  <c r="AB457" i="1"/>
  <c r="AB449" i="1"/>
  <c r="AB441" i="1"/>
  <c r="AB433" i="1"/>
  <c r="AB425" i="1"/>
  <c r="AB417" i="1"/>
  <c r="AB409" i="1"/>
  <c r="AB401" i="1"/>
  <c r="AB376" i="1"/>
  <c r="AB369" i="1"/>
  <c r="AB360" i="1"/>
  <c r="AB351" i="1"/>
  <c r="AB340" i="1"/>
  <c r="AB332" i="1"/>
  <c r="AB326" i="1"/>
  <c r="AB511" i="1"/>
  <c r="AB464" i="1"/>
  <c r="AB448" i="1"/>
  <c r="AB432" i="1"/>
  <c r="AB416" i="1"/>
  <c r="AB400" i="1"/>
  <c r="AB381" i="1"/>
  <c r="AB368" i="1"/>
  <c r="AB350" i="1"/>
  <c r="AB331" i="1"/>
  <c r="AB323" i="1"/>
  <c r="AB306" i="1"/>
  <c r="AB297" i="1"/>
  <c r="AB289" i="1"/>
  <c r="AB321" i="1"/>
  <c r="AB320" i="1"/>
  <c r="AB305" i="1"/>
  <c r="AB296" i="1"/>
  <c r="AB288" i="1"/>
  <c r="AB280" i="1"/>
  <c r="AB272" i="1"/>
  <c r="AB263" i="1"/>
  <c r="AB255" i="1"/>
  <c r="AB247" i="1"/>
  <c r="AB238" i="1"/>
  <c r="AB230" i="1"/>
  <c r="AB222" i="1"/>
  <c r="AB214" i="1"/>
  <c r="AB206" i="1"/>
  <c r="AB198" i="1"/>
  <c r="AB317" i="1"/>
  <c r="AB304" i="1"/>
  <c r="AB295" i="1"/>
  <c r="AB287" i="1"/>
  <c r="AB279" i="1"/>
  <c r="AB271" i="1"/>
  <c r="AB262" i="1"/>
  <c r="AB254" i="1"/>
  <c r="AB246" i="1"/>
  <c r="AB237" i="1"/>
  <c r="AB229" i="1"/>
  <c r="AB221" i="1"/>
  <c r="AB213" i="1"/>
  <c r="AB205" i="1"/>
  <c r="AB197" i="1"/>
  <c r="AB316" i="1"/>
  <c r="AB311" i="1"/>
  <c r="AB303" i="1"/>
  <c r="AB294" i="1"/>
  <c r="AB286" i="1"/>
  <c r="AB278" i="1"/>
  <c r="AB270" i="1"/>
  <c r="AB261" i="1"/>
  <c r="AB253" i="1"/>
  <c r="AB245" i="1"/>
  <c r="AB236" i="1"/>
  <c r="AB228" i="1"/>
  <c r="AB220" i="1"/>
  <c r="AB212" i="1"/>
  <c r="AB204" i="1"/>
  <c r="AB519" i="1"/>
  <c r="AB472" i="1"/>
  <c r="AB456" i="1"/>
  <c r="AB440" i="1"/>
  <c r="AB424" i="1"/>
  <c r="AB408" i="1"/>
  <c r="AB375" i="1"/>
  <c r="AB359" i="1"/>
  <c r="AB339" i="1"/>
  <c r="AB325" i="1"/>
  <c r="AB315" i="1"/>
  <c r="AB310" i="1"/>
  <c r="AB302" i="1"/>
  <c r="AB293" i="1"/>
  <c r="AB285" i="1"/>
  <c r="AB277" i="1"/>
  <c r="AB268" i="1"/>
  <c r="AB260" i="1"/>
  <c r="AB252" i="1"/>
  <c r="AB244" i="1"/>
  <c r="AB235" i="1"/>
  <c r="AB227" i="1"/>
  <c r="AB219" i="1"/>
  <c r="AB211" i="1"/>
  <c r="AB203" i="1"/>
  <c r="AB195" i="1"/>
  <c r="AB314" i="1"/>
  <c r="AB309" i="1"/>
  <c r="AB301" i="1"/>
  <c r="AB292" i="1"/>
  <c r="AB284" i="1"/>
  <c r="AB276" i="1"/>
  <c r="AB267" i="1"/>
  <c r="AB259" i="1"/>
  <c r="AB251" i="1"/>
  <c r="AB243" i="1"/>
  <c r="AB234" i="1"/>
  <c r="AB226" i="1"/>
  <c r="AB218" i="1"/>
  <c r="AB210" i="1"/>
  <c r="AB202" i="1"/>
  <c r="AB313" i="1"/>
  <c r="AB299" i="1"/>
  <c r="AB291" i="1"/>
  <c r="AB283" i="1"/>
  <c r="AB275" i="1"/>
  <c r="AB266" i="1"/>
  <c r="AB258" i="1"/>
  <c r="AB250" i="1"/>
  <c r="AB242" i="1"/>
  <c r="AB233" i="1"/>
  <c r="AB225" i="1"/>
  <c r="AB217" i="1"/>
  <c r="AB209" i="1"/>
  <c r="AB201" i="1"/>
  <c r="AB190" i="1"/>
  <c r="AB182" i="1"/>
  <c r="AB174" i="1"/>
  <c r="AB166" i="1"/>
  <c r="AB158" i="1"/>
  <c r="AB150" i="1"/>
  <c r="AB142" i="1"/>
  <c r="AB134" i="1"/>
  <c r="AB126" i="1"/>
  <c r="AB118" i="1"/>
  <c r="AB110" i="1"/>
  <c r="AB102" i="1"/>
  <c r="AB94" i="1"/>
  <c r="AB86" i="1"/>
  <c r="AB78" i="1"/>
  <c r="AB70" i="1"/>
  <c r="AB189" i="1"/>
  <c r="AB181" i="1"/>
  <c r="AB173" i="1"/>
  <c r="AB165" i="1"/>
  <c r="AB157" i="1"/>
  <c r="AB149" i="1"/>
  <c r="AB141" i="1"/>
  <c r="AB133" i="1"/>
  <c r="AB125" i="1"/>
  <c r="AB117" i="1"/>
  <c r="AB109" i="1"/>
  <c r="AB101" i="1"/>
  <c r="AB93" i="1"/>
  <c r="AB85" i="1"/>
  <c r="AB77" i="1"/>
  <c r="AB69" i="1"/>
  <c r="AB61" i="1"/>
  <c r="AB53" i="1"/>
  <c r="AB312" i="1"/>
  <c r="AB298" i="1"/>
  <c r="AB282" i="1"/>
  <c r="AB281" i="1"/>
  <c r="AB274" i="1"/>
  <c r="AB273" i="1"/>
  <c r="AB265" i="1"/>
  <c r="AB264" i="1"/>
  <c r="AB257" i="1"/>
  <c r="AB256" i="1"/>
  <c r="AB249" i="1"/>
  <c r="AB248" i="1"/>
  <c r="AB241" i="1"/>
  <c r="AB239" i="1"/>
  <c r="AB232" i="1"/>
  <c r="AB231" i="1"/>
  <c r="AB224" i="1"/>
  <c r="AB223" i="1"/>
  <c r="AB216" i="1"/>
  <c r="AB215" i="1"/>
  <c r="AB208" i="1"/>
  <c r="AB207" i="1"/>
  <c r="AB200" i="1"/>
  <c r="AB199" i="1"/>
  <c r="AB188" i="1"/>
  <c r="AB180" i="1"/>
  <c r="AB172" i="1"/>
  <c r="AB164" i="1"/>
  <c r="AB156" i="1"/>
  <c r="AB148" i="1"/>
  <c r="AB140" i="1"/>
  <c r="AB132" i="1"/>
  <c r="AB124" i="1"/>
  <c r="AB116" i="1"/>
  <c r="AB108" i="1"/>
  <c r="AB100" i="1"/>
  <c r="AB92" i="1"/>
  <c r="AB84" i="1"/>
  <c r="AB76" i="1"/>
  <c r="AB68" i="1"/>
  <c r="AB60" i="1"/>
  <c r="AB187" i="1"/>
  <c r="AB179" i="1"/>
  <c r="AB171" i="1"/>
  <c r="AB163" i="1"/>
  <c r="AB155" i="1"/>
  <c r="AB147" i="1"/>
  <c r="AB139" i="1"/>
  <c r="AB131" i="1"/>
  <c r="AB123" i="1"/>
  <c r="AB115" i="1"/>
  <c r="AB107" i="1"/>
  <c r="AB99" i="1"/>
  <c r="AB91" i="1"/>
  <c r="AB83" i="1"/>
  <c r="AB75" i="1"/>
  <c r="AB67" i="1"/>
  <c r="AB59" i="1"/>
  <c r="AB51" i="1"/>
  <c r="AB193" i="1"/>
  <c r="AB185" i="1"/>
  <c r="AB177" i="1"/>
  <c r="AB169" i="1"/>
  <c r="AB161" i="1"/>
  <c r="AB153" i="1"/>
  <c r="AB145" i="1"/>
  <c r="AB137" i="1"/>
  <c r="AB129" i="1"/>
  <c r="AB121" i="1"/>
  <c r="AB113" i="1"/>
  <c r="AB105" i="1"/>
  <c r="AB97" i="1"/>
  <c r="AB89" i="1"/>
  <c r="AB81" i="1"/>
  <c r="AB73" i="1"/>
  <c r="AB65" i="1"/>
  <c r="AB57" i="1"/>
  <c r="AB290" i="1"/>
  <c r="AB196" i="1"/>
  <c r="AB192" i="1"/>
  <c r="AB184" i="1"/>
  <c r="AB176" i="1"/>
  <c r="AB168" i="1"/>
  <c r="AB160" i="1"/>
  <c r="AB152" i="1"/>
  <c r="AB144" i="1"/>
  <c r="AB136" i="1"/>
  <c r="AB128" i="1"/>
  <c r="AB120" i="1"/>
  <c r="AB112" i="1"/>
  <c r="AB104" i="1"/>
  <c r="AB96" i="1"/>
  <c r="AB88" i="1"/>
  <c r="AB80" i="1"/>
  <c r="AB72" i="1"/>
  <c r="AB64" i="1"/>
  <c r="AB56" i="1"/>
  <c r="AB44" i="1"/>
  <c r="AB36" i="1"/>
  <c r="AB28" i="1"/>
  <c r="AB20" i="1"/>
  <c r="AB40" i="1"/>
  <c r="AB191" i="1"/>
  <c r="AB183" i="1"/>
  <c r="AB175" i="1"/>
  <c r="AB167" i="1"/>
  <c r="AB159" i="1"/>
  <c r="AB151" i="1"/>
  <c r="AB143" i="1"/>
  <c r="AB135" i="1"/>
  <c r="AB127" i="1"/>
  <c r="AB119" i="1"/>
  <c r="AB111" i="1"/>
  <c r="AB103" i="1"/>
  <c r="AB95" i="1"/>
  <c r="AB87" i="1"/>
  <c r="AB79" i="1"/>
  <c r="AB71" i="1"/>
  <c r="AB43" i="1"/>
  <c r="AB35" i="1"/>
  <c r="AB27" i="1"/>
  <c r="AB50" i="1"/>
  <c r="AB42" i="1"/>
  <c r="AB34" i="1"/>
  <c r="AB63" i="1"/>
  <c r="AB62" i="1"/>
  <c r="AB58" i="1"/>
  <c r="AB52" i="1"/>
  <c r="AB26" i="1"/>
  <c r="AB48" i="1"/>
  <c r="AB49" i="1"/>
  <c r="AB41" i="1"/>
  <c r="AB33" i="1"/>
  <c r="AB25" i="1"/>
  <c r="AB47" i="1"/>
  <c r="AB39" i="1"/>
  <c r="AB31" i="1"/>
  <c r="AB23" i="1"/>
  <c r="AB32" i="1"/>
  <c r="AB24" i="1"/>
  <c r="AB194" i="1"/>
  <c r="AB186" i="1"/>
  <c r="AB178" i="1"/>
  <c r="AB170" i="1"/>
  <c r="AB162" i="1"/>
  <c r="AB154" i="1"/>
  <c r="AB146" i="1"/>
  <c r="AB138" i="1"/>
  <c r="AB130" i="1"/>
  <c r="AB122" i="1"/>
  <c r="AB114" i="1"/>
  <c r="AB106" i="1"/>
  <c r="AB98" i="1"/>
  <c r="AB90" i="1"/>
  <c r="AB82" i="1"/>
  <c r="AB74" i="1"/>
  <c r="AB66" i="1"/>
  <c r="AB55" i="1"/>
  <c r="AB54" i="1"/>
  <c r="AB46" i="1"/>
  <c r="AB38" i="1"/>
  <c r="AB30" i="1"/>
  <c r="AB22" i="1"/>
  <c r="AB45" i="1"/>
  <c r="AB37" i="1"/>
  <c r="AB29" i="1"/>
  <c r="AB21" i="1"/>
  <c r="Z520" i="1"/>
  <c r="Z512" i="1"/>
  <c r="Z473" i="1"/>
  <c r="Z465" i="1"/>
  <c r="Z457" i="1"/>
  <c r="Z449" i="1"/>
  <c r="Z441" i="1"/>
  <c r="Z433" i="1"/>
  <c r="Z425" i="1"/>
  <c r="Z417" i="1"/>
  <c r="Z409" i="1"/>
  <c r="Z401" i="1"/>
  <c r="Z376" i="1"/>
  <c r="Z369" i="1"/>
  <c r="Z360" i="1"/>
  <c r="Z351" i="1"/>
  <c r="Z340" i="1"/>
  <c r="Z332" i="1"/>
  <c r="Z326" i="1"/>
  <c r="Z519" i="1"/>
  <c r="Z511" i="1"/>
  <c r="Z472" i="1"/>
  <c r="Z464" i="1"/>
  <c r="Z456" i="1"/>
  <c r="Z448" i="1"/>
  <c r="Z440" i="1"/>
  <c r="Z432" i="1"/>
  <c r="Z424" i="1"/>
  <c r="Z416" i="1"/>
  <c r="Z408" i="1"/>
  <c r="Z400" i="1"/>
  <c r="Z381" i="1"/>
  <c r="Z375" i="1"/>
  <c r="Z368" i="1"/>
  <c r="Z359" i="1"/>
  <c r="Z350" i="1"/>
  <c r="Z339" i="1"/>
  <c r="Z331" i="1"/>
  <c r="Z325" i="1"/>
  <c r="Z518" i="1"/>
  <c r="Z510" i="1"/>
  <c r="Z471" i="1"/>
  <c r="Z463" i="1"/>
  <c r="Z455" i="1"/>
  <c r="Z447" i="1"/>
  <c r="Z439" i="1"/>
  <c r="Z431" i="1"/>
  <c r="Z423" i="1"/>
  <c r="Z415" i="1"/>
  <c r="Z407" i="1"/>
  <c r="Z399" i="1"/>
  <c r="Z380" i="1"/>
  <c r="Z374" i="1"/>
  <c r="Z367" i="1"/>
  <c r="Z358" i="1"/>
  <c r="Z349" i="1"/>
  <c r="Z338" i="1"/>
  <c r="Z330" i="1"/>
  <c r="Z324" i="1"/>
  <c r="Z517" i="1"/>
  <c r="Z509" i="1"/>
  <c r="Z470" i="1"/>
  <c r="Z462" i="1"/>
  <c r="Z454" i="1"/>
  <c r="Z446" i="1"/>
  <c r="Z438" i="1"/>
  <c r="Z430" i="1"/>
  <c r="Z422" i="1"/>
  <c r="Z414" i="1"/>
  <c r="Z406" i="1"/>
  <c r="Z398" i="1"/>
  <c r="Z379" i="1"/>
  <c r="Z366" i="1"/>
  <c r="Z357" i="1"/>
  <c r="Z348" i="1"/>
  <c r="Z337" i="1"/>
  <c r="Z524" i="1"/>
  <c r="Z516" i="1"/>
  <c r="Z477" i="1"/>
  <c r="Z469" i="1"/>
  <c r="Z461" i="1"/>
  <c r="Z453" i="1"/>
  <c r="Z445" i="1"/>
  <c r="Z437" i="1"/>
  <c r="Z429" i="1"/>
  <c r="Z421" i="1"/>
  <c r="Z413" i="1"/>
  <c r="Z405" i="1"/>
  <c r="Z397" i="1"/>
  <c r="Z378" i="1"/>
  <c r="Z373" i="1"/>
  <c r="Z356" i="1"/>
  <c r="Z347" i="1"/>
  <c r="Z336" i="1"/>
  <c r="Z523" i="1"/>
  <c r="Z515" i="1"/>
  <c r="Z476" i="1"/>
  <c r="Z468" i="1"/>
  <c r="Z460" i="1"/>
  <c r="Z452" i="1"/>
  <c r="Z444" i="1"/>
  <c r="Z436" i="1"/>
  <c r="Z428" i="1"/>
  <c r="Z420" i="1"/>
  <c r="Z412" i="1"/>
  <c r="Z404" i="1"/>
  <c r="Z396" i="1"/>
  <c r="Z372" i="1"/>
  <c r="Z364" i="1"/>
  <c r="Z355" i="1"/>
  <c r="Z346" i="1"/>
  <c r="Z335" i="1"/>
  <c r="Z522" i="1"/>
  <c r="Z514" i="1"/>
  <c r="Z475" i="1"/>
  <c r="Z467" i="1"/>
  <c r="Z459" i="1"/>
  <c r="Z451" i="1"/>
  <c r="Z443" i="1"/>
  <c r="Z435" i="1"/>
  <c r="Z427" i="1"/>
  <c r="Z419" i="1"/>
  <c r="Z411" i="1"/>
  <c r="Z403" i="1"/>
  <c r="Z383" i="1"/>
  <c r="Z371" i="1"/>
  <c r="Z363" i="1"/>
  <c r="Z353" i="1"/>
  <c r="Z345" i="1"/>
  <c r="Z334" i="1"/>
  <c r="Z327" i="1"/>
  <c r="Z321" i="1"/>
  <c r="Z521" i="1"/>
  <c r="Z474" i="1"/>
  <c r="Z458" i="1"/>
  <c r="Z442" i="1"/>
  <c r="Z426" i="1"/>
  <c r="Z410" i="1"/>
  <c r="Z377" i="1"/>
  <c r="Z361" i="1"/>
  <c r="Z344" i="1"/>
  <c r="Z313" i="1"/>
  <c r="Z299" i="1"/>
  <c r="Z291" i="1"/>
  <c r="Z283" i="1"/>
  <c r="Z323" i="1"/>
  <c r="Z312" i="1"/>
  <c r="Z298" i="1"/>
  <c r="Z290" i="1"/>
  <c r="Z282" i="1"/>
  <c r="Z274" i="1"/>
  <c r="Z265" i="1"/>
  <c r="Z257" i="1"/>
  <c r="Z249" i="1"/>
  <c r="Z241" i="1"/>
  <c r="Z232" i="1"/>
  <c r="Z224" i="1"/>
  <c r="Z216" i="1"/>
  <c r="Z208" i="1"/>
  <c r="Z200" i="1"/>
  <c r="Z306" i="1"/>
  <c r="Z297" i="1"/>
  <c r="Z289" i="1"/>
  <c r="Z281" i="1"/>
  <c r="Z273" i="1"/>
  <c r="Z264" i="1"/>
  <c r="Z256" i="1"/>
  <c r="Z248" i="1"/>
  <c r="Z239" i="1"/>
  <c r="Z231" i="1"/>
  <c r="Z223" i="1"/>
  <c r="Z215" i="1"/>
  <c r="Z207" i="1"/>
  <c r="Z199" i="1"/>
  <c r="Z320" i="1"/>
  <c r="Z305" i="1"/>
  <c r="Z296" i="1"/>
  <c r="Z288" i="1"/>
  <c r="Z280" i="1"/>
  <c r="Z272" i="1"/>
  <c r="Z263" i="1"/>
  <c r="Z255" i="1"/>
  <c r="Z247" i="1"/>
  <c r="Z238" i="1"/>
  <c r="Z230" i="1"/>
  <c r="Z222" i="1"/>
  <c r="Z214" i="1"/>
  <c r="Z206" i="1"/>
  <c r="Z513" i="1"/>
  <c r="Z466" i="1"/>
  <c r="Z450" i="1"/>
  <c r="Z434" i="1"/>
  <c r="Z418" i="1"/>
  <c r="Z402" i="1"/>
  <c r="Z370" i="1"/>
  <c r="Z352" i="1"/>
  <c r="Z317" i="1"/>
  <c r="Z304" i="1"/>
  <c r="Z295" i="1"/>
  <c r="Z287" i="1"/>
  <c r="Z279" i="1"/>
  <c r="Z271" i="1"/>
  <c r="Z262" i="1"/>
  <c r="Z254" i="1"/>
  <c r="Z246" i="1"/>
  <c r="Z237" i="1"/>
  <c r="Z229" i="1"/>
  <c r="Z221" i="1"/>
  <c r="Z213" i="1"/>
  <c r="Z205" i="1"/>
  <c r="Z197" i="1"/>
  <c r="Z316" i="1"/>
  <c r="Z311" i="1"/>
  <c r="Z303" i="1"/>
  <c r="Z294" i="1"/>
  <c r="Z286" i="1"/>
  <c r="Z278" i="1"/>
  <c r="Z270" i="1"/>
  <c r="Z261" i="1"/>
  <c r="Z253" i="1"/>
  <c r="Z245" i="1"/>
  <c r="Z236" i="1"/>
  <c r="Z228" i="1"/>
  <c r="Z220" i="1"/>
  <c r="Z212" i="1"/>
  <c r="Z204" i="1"/>
  <c r="Z196" i="1"/>
  <c r="Z315" i="1"/>
  <c r="Z310" i="1"/>
  <c r="Z302" i="1"/>
  <c r="Z293" i="1"/>
  <c r="Z285" i="1"/>
  <c r="Z277" i="1"/>
  <c r="Z268" i="1"/>
  <c r="Z260" i="1"/>
  <c r="Z252" i="1"/>
  <c r="Z244" i="1"/>
  <c r="Z235" i="1"/>
  <c r="Z227" i="1"/>
  <c r="Z219" i="1"/>
  <c r="Z211" i="1"/>
  <c r="Z203" i="1"/>
  <c r="Z195" i="1"/>
  <c r="Z192" i="1"/>
  <c r="Z184" i="1"/>
  <c r="Z176" i="1"/>
  <c r="Z168" i="1"/>
  <c r="Z160" i="1"/>
  <c r="Z152" i="1"/>
  <c r="Z144" i="1"/>
  <c r="Z136" i="1"/>
  <c r="Z128" i="1"/>
  <c r="Z120" i="1"/>
  <c r="Z112" i="1"/>
  <c r="Z104" i="1"/>
  <c r="Z96" i="1"/>
  <c r="Z88" i="1"/>
  <c r="Z80" i="1"/>
  <c r="Z72" i="1"/>
  <c r="Z198" i="1"/>
  <c r="Z191" i="1"/>
  <c r="Z183" i="1"/>
  <c r="Z175" i="1"/>
  <c r="Z167" i="1"/>
  <c r="Z159" i="1"/>
  <c r="Z151" i="1"/>
  <c r="Z143" i="1"/>
  <c r="Z135" i="1"/>
  <c r="Z127" i="1"/>
  <c r="Z119" i="1"/>
  <c r="Z111" i="1"/>
  <c r="Z103" i="1"/>
  <c r="Z95" i="1"/>
  <c r="Z87" i="1"/>
  <c r="Z79" i="1"/>
  <c r="Z71" i="1"/>
  <c r="Z63" i="1"/>
  <c r="Z55" i="1"/>
  <c r="Z309" i="1"/>
  <c r="Z292" i="1"/>
  <c r="Z190" i="1"/>
  <c r="Z182" i="1"/>
  <c r="Z174" i="1"/>
  <c r="Z166" i="1"/>
  <c r="Z158" i="1"/>
  <c r="Z150" i="1"/>
  <c r="Z142" i="1"/>
  <c r="Z134" i="1"/>
  <c r="Z126" i="1"/>
  <c r="Z118" i="1"/>
  <c r="Z110" i="1"/>
  <c r="Z102" i="1"/>
  <c r="Z94" i="1"/>
  <c r="Z86" i="1"/>
  <c r="Z78" i="1"/>
  <c r="Z70" i="1"/>
  <c r="Z62" i="1"/>
  <c r="Z54" i="1"/>
  <c r="Z189" i="1"/>
  <c r="Z181" i="1"/>
  <c r="Z173" i="1"/>
  <c r="Z165" i="1"/>
  <c r="Z157" i="1"/>
  <c r="Z149" i="1"/>
  <c r="Z141" i="1"/>
  <c r="Z133" i="1"/>
  <c r="Z125" i="1"/>
  <c r="Z117" i="1"/>
  <c r="Z109" i="1"/>
  <c r="Z101" i="1"/>
  <c r="Z93" i="1"/>
  <c r="Z85" i="1"/>
  <c r="Z77" i="1"/>
  <c r="Z69" i="1"/>
  <c r="Z61" i="1"/>
  <c r="Z53" i="1"/>
  <c r="Z276" i="1"/>
  <c r="Z267" i="1"/>
  <c r="Z259" i="1"/>
  <c r="Z251" i="1"/>
  <c r="Z243" i="1"/>
  <c r="Z234" i="1"/>
  <c r="Z226" i="1"/>
  <c r="Z218" i="1"/>
  <c r="Z210" i="1"/>
  <c r="Z202" i="1"/>
  <c r="Z187" i="1"/>
  <c r="Z179" i="1"/>
  <c r="Z171" i="1"/>
  <c r="Z163" i="1"/>
  <c r="Z155" i="1"/>
  <c r="Z147" i="1"/>
  <c r="Z139" i="1"/>
  <c r="Z131" i="1"/>
  <c r="Z123" i="1"/>
  <c r="Z115" i="1"/>
  <c r="Z107" i="1"/>
  <c r="Z99" i="1"/>
  <c r="Z91" i="1"/>
  <c r="Z83" i="1"/>
  <c r="Z75" i="1"/>
  <c r="Z67" i="1"/>
  <c r="Z59" i="1"/>
  <c r="Z314" i="1"/>
  <c r="Z301" i="1"/>
  <c r="Z284" i="1"/>
  <c r="Z194" i="1"/>
  <c r="Z186" i="1"/>
  <c r="Z178" i="1"/>
  <c r="Z170" i="1"/>
  <c r="Z162" i="1"/>
  <c r="Z154" i="1"/>
  <c r="Z146" i="1"/>
  <c r="Z138" i="1"/>
  <c r="Z130" i="1"/>
  <c r="Z122" i="1"/>
  <c r="Z114" i="1"/>
  <c r="Z106" i="1"/>
  <c r="Z98" i="1"/>
  <c r="Z90" i="1"/>
  <c r="Z82" i="1"/>
  <c r="Z74" i="1"/>
  <c r="Z66" i="1"/>
  <c r="Z58" i="1"/>
  <c r="Z266" i="1"/>
  <c r="Z201" i="1"/>
  <c r="Z56" i="1"/>
  <c r="Z46" i="1"/>
  <c r="Z38" i="1"/>
  <c r="Z30" i="1"/>
  <c r="Z22" i="1"/>
  <c r="Z26" i="1"/>
  <c r="Z258" i="1"/>
  <c r="Z57" i="1"/>
  <c r="Z45" i="1"/>
  <c r="Z37" i="1"/>
  <c r="Z29" i="1"/>
  <c r="Z21" i="1"/>
  <c r="Z36" i="1"/>
  <c r="Z28" i="1"/>
  <c r="Z250" i="1"/>
  <c r="Z188" i="1"/>
  <c r="Z180" i="1"/>
  <c r="Z172" i="1"/>
  <c r="Z164" i="1"/>
  <c r="Z156" i="1"/>
  <c r="Z148" i="1"/>
  <c r="Z140" i="1"/>
  <c r="Z132" i="1"/>
  <c r="Z124" i="1"/>
  <c r="Z116" i="1"/>
  <c r="Z108" i="1"/>
  <c r="Z100" i="1"/>
  <c r="Z92" i="1"/>
  <c r="Z84" i="1"/>
  <c r="Z76" i="1"/>
  <c r="Z68" i="1"/>
  <c r="Z44" i="1"/>
  <c r="Z20" i="1"/>
  <c r="Z242" i="1"/>
  <c r="Z52" i="1"/>
  <c r="Z51" i="1"/>
  <c r="Z43" i="1"/>
  <c r="Z35" i="1"/>
  <c r="Z27" i="1"/>
  <c r="Z233" i="1"/>
  <c r="Z42" i="1"/>
  <c r="Z225" i="1"/>
  <c r="Z193" i="1"/>
  <c r="Z185" i="1"/>
  <c r="Z177" i="1"/>
  <c r="Z169" i="1"/>
  <c r="Z161" i="1"/>
  <c r="Z153" i="1"/>
  <c r="Z145" i="1"/>
  <c r="Z137" i="1"/>
  <c r="Z129" i="1"/>
  <c r="Z121" i="1"/>
  <c r="Z113" i="1"/>
  <c r="Z105" i="1"/>
  <c r="Z97" i="1"/>
  <c r="Z89" i="1"/>
  <c r="Z81" i="1"/>
  <c r="Z73" i="1"/>
  <c r="Z65" i="1"/>
  <c r="Z49" i="1"/>
  <c r="Z41" i="1"/>
  <c r="Z33" i="1"/>
  <c r="Z25" i="1"/>
  <c r="Z64" i="1"/>
  <c r="Z50" i="1"/>
  <c r="Z217" i="1"/>
  <c r="Z60" i="1"/>
  <c r="Z48" i="1"/>
  <c r="Z40" i="1"/>
  <c r="Z32" i="1"/>
  <c r="Z24" i="1"/>
  <c r="Z31" i="1"/>
  <c r="Z34" i="1"/>
  <c r="Z275" i="1"/>
  <c r="Z209" i="1"/>
  <c r="Z47" i="1"/>
  <c r="Z39" i="1"/>
  <c r="AA519" i="1"/>
  <c r="AA511" i="1"/>
  <c r="AA472" i="1"/>
  <c r="AA464" i="1"/>
  <c r="AA456" i="1"/>
  <c r="AA448" i="1"/>
  <c r="AA440" i="1"/>
  <c r="AA432" i="1"/>
  <c r="AA424" i="1"/>
  <c r="AA416" i="1"/>
  <c r="AA408" i="1"/>
  <c r="AA400" i="1"/>
  <c r="AA381" i="1"/>
  <c r="AA375" i="1"/>
  <c r="AA368" i="1"/>
  <c r="AA359" i="1"/>
  <c r="AA350" i="1"/>
  <c r="AA339" i="1"/>
  <c r="AA331" i="1"/>
  <c r="AA325" i="1"/>
  <c r="AA518" i="1"/>
  <c r="AA510" i="1"/>
  <c r="AA471" i="1"/>
  <c r="AA463" i="1"/>
  <c r="AA455" i="1"/>
  <c r="AA447" i="1"/>
  <c r="AA439" i="1"/>
  <c r="AA431" i="1"/>
  <c r="AA423" i="1"/>
  <c r="AA415" i="1"/>
  <c r="AA407" i="1"/>
  <c r="AA399" i="1"/>
  <c r="AA380" i="1"/>
  <c r="AA374" i="1"/>
  <c r="AA367" i="1"/>
  <c r="AA358" i="1"/>
  <c r="AA349" i="1"/>
  <c r="AA338" i="1"/>
  <c r="AA330" i="1"/>
  <c r="AA324" i="1"/>
  <c r="AA517" i="1"/>
  <c r="AA509" i="1"/>
  <c r="AA470" i="1"/>
  <c r="AA462" i="1"/>
  <c r="AA454" i="1"/>
  <c r="AA446" i="1"/>
  <c r="AA438" i="1"/>
  <c r="AA430" i="1"/>
  <c r="AA422" i="1"/>
  <c r="AA414" i="1"/>
  <c r="AA406" i="1"/>
  <c r="AA398" i="1"/>
  <c r="AA379" i="1"/>
  <c r="AA366" i="1"/>
  <c r="AA357" i="1"/>
  <c r="AA348" i="1"/>
  <c r="AA337" i="1"/>
  <c r="AA524" i="1"/>
  <c r="AA516" i="1"/>
  <c r="AA477" i="1"/>
  <c r="AA469" i="1"/>
  <c r="AA461" i="1"/>
  <c r="AA453" i="1"/>
  <c r="AA445" i="1"/>
  <c r="AA437" i="1"/>
  <c r="AA429" i="1"/>
  <c r="AA421" i="1"/>
  <c r="AA413" i="1"/>
  <c r="AA405" i="1"/>
  <c r="AA397" i="1"/>
  <c r="AA378" i="1"/>
  <c r="AA373" i="1"/>
  <c r="AA356" i="1"/>
  <c r="AA347" i="1"/>
  <c r="AA336" i="1"/>
  <c r="AA323" i="1"/>
  <c r="AA523" i="1"/>
  <c r="AA515" i="1"/>
  <c r="AA476" i="1"/>
  <c r="AA468" i="1"/>
  <c r="AA460" i="1"/>
  <c r="AA452" i="1"/>
  <c r="AA444" i="1"/>
  <c r="AA436" i="1"/>
  <c r="AA428" i="1"/>
  <c r="AA420" i="1"/>
  <c r="AA412" i="1"/>
  <c r="AA404" i="1"/>
  <c r="AA396" i="1"/>
  <c r="AA372" i="1"/>
  <c r="AA364" i="1"/>
  <c r="AA355" i="1"/>
  <c r="AA346" i="1"/>
  <c r="AA335" i="1"/>
  <c r="AA522" i="1"/>
  <c r="AA514" i="1"/>
  <c r="AA475" i="1"/>
  <c r="AA467" i="1"/>
  <c r="AA459" i="1"/>
  <c r="AA451" i="1"/>
  <c r="AA443" i="1"/>
  <c r="AA435" i="1"/>
  <c r="AA427" i="1"/>
  <c r="AA419" i="1"/>
  <c r="AA411" i="1"/>
  <c r="AA403" i="1"/>
  <c r="AA383" i="1"/>
  <c r="AA371" i="1"/>
  <c r="AA363" i="1"/>
  <c r="AA353" i="1"/>
  <c r="AA345" i="1"/>
  <c r="AA334" i="1"/>
  <c r="AA327" i="1"/>
  <c r="AA521" i="1"/>
  <c r="AA513" i="1"/>
  <c r="AA474" i="1"/>
  <c r="AA466" i="1"/>
  <c r="AA458" i="1"/>
  <c r="AA450" i="1"/>
  <c r="AA442" i="1"/>
  <c r="AA434" i="1"/>
  <c r="AA426" i="1"/>
  <c r="AA418" i="1"/>
  <c r="AA410" i="1"/>
  <c r="AA402" i="1"/>
  <c r="AA377" i="1"/>
  <c r="AA370" i="1"/>
  <c r="AA361" i="1"/>
  <c r="AA352" i="1"/>
  <c r="AA344" i="1"/>
  <c r="AA312" i="1"/>
  <c r="AA298" i="1"/>
  <c r="AA290" i="1"/>
  <c r="AA306" i="1"/>
  <c r="AA297" i="1"/>
  <c r="AA289" i="1"/>
  <c r="AA281" i="1"/>
  <c r="AA273" i="1"/>
  <c r="AA264" i="1"/>
  <c r="AA256" i="1"/>
  <c r="AA248" i="1"/>
  <c r="AA239" i="1"/>
  <c r="AA231" i="1"/>
  <c r="AA223" i="1"/>
  <c r="AA215" i="1"/>
  <c r="AA207" i="1"/>
  <c r="AA199" i="1"/>
  <c r="AA512" i="1"/>
  <c r="AA465" i="1"/>
  <c r="AA449" i="1"/>
  <c r="AA433" i="1"/>
  <c r="AA417" i="1"/>
  <c r="AA401" i="1"/>
  <c r="AA369" i="1"/>
  <c r="AA351" i="1"/>
  <c r="AA332" i="1"/>
  <c r="AA321" i="1"/>
  <c r="AA320" i="1"/>
  <c r="AA305" i="1"/>
  <c r="AA296" i="1"/>
  <c r="AA288" i="1"/>
  <c r="AA280" i="1"/>
  <c r="AA272" i="1"/>
  <c r="AA263" i="1"/>
  <c r="AA255" i="1"/>
  <c r="AA247" i="1"/>
  <c r="AA238" i="1"/>
  <c r="AA230" i="1"/>
  <c r="AA222" i="1"/>
  <c r="AA214" i="1"/>
  <c r="AA206" i="1"/>
  <c r="AA198" i="1"/>
  <c r="AA317" i="1"/>
  <c r="AA304" i="1"/>
  <c r="AA295" i="1"/>
  <c r="AA287" i="1"/>
  <c r="AA279" i="1"/>
  <c r="AA271" i="1"/>
  <c r="AA262" i="1"/>
  <c r="AA254" i="1"/>
  <c r="AA246" i="1"/>
  <c r="AA237" i="1"/>
  <c r="AA229" i="1"/>
  <c r="AA221" i="1"/>
  <c r="AA213" i="1"/>
  <c r="AA205" i="1"/>
  <c r="AA316" i="1"/>
  <c r="AA311" i="1"/>
  <c r="AA303" i="1"/>
  <c r="AA294" i="1"/>
  <c r="AA286" i="1"/>
  <c r="AA278" i="1"/>
  <c r="AA270" i="1"/>
  <c r="AA261" i="1"/>
  <c r="AA253" i="1"/>
  <c r="AA245" i="1"/>
  <c r="AA236" i="1"/>
  <c r="AA228" i="1"/>
  <c r="AA220" i="1"/>
  <c r="AA212" i="1"/>
  <c r="AA204" i="1"/>
  <c r="AA196" i="1"/>
  <c r="AA315" i="1"/>
  <c r="AA310" i="1"/>
  <c r="AA302" i="1"/>
  <c r="AA293" i="1"/>
  <c r="AA285" i="1"/>
  <c r="AA277" i="1"/>
  <c r="AA268" i="1"/>
  <c r="AA260" i="1"/>
  <c r="AA252" i="1"/>
  <c r="AA244" i="1"/>
  <c r="AA235" i="1"/>
  <c r="AA227" i="1"/>
  <c r="AA219" i="1"/>
  <c r="AA211" i="1"/>
  <c r="AA203" i="1"/>
  <c r="AA520" i="1"/>
  <c r="AA473" i="1"/>
  <c r="AA457" i="1"/>
  <c r="AA441" i="1"/>
  <c r="AA425" i="1"/>
  <c r="AA409" i="1"/>
  <c r="AA376" i="1"/>
  <c r="AA360" i="1"/>
  <c r="AA340" i="1"/>
  <c r="AA326" i="1"/>
  <c r="AA314" i="1"/>
  <c r="AA309" i="1"/>
  <c r="AA301" i="1"/>
  <c r="AA292" i="1"/>
  <c r="AA284" i="1"/>
  <c r="AA276" i="1"/>
  <c r="AA267" i="1"/>
  <c r="AA259" i="1"/>
  <c r="AA251" i="1"/>
  <c r="AA243" i="1"/>
  <c r="AA234" i="1"/>
  <c r="AA226" i="1"/>
  <c r="AA218" i="1"/>
  <c r="AA210" i="1"/>
  <c r="AA202" i="1"/>
  <c r="AA291" i="1"/>
  <c r="AA191" i="1"/>
  <c r="AA183" i="1"/>
  <c r="AA175" i="1"/>
  <c r="AA167" i="1"/>
  <c r="AA159" i="1"/>
  <c r="AA151" i="1"/>
  <c r="AA143" i="1"/>
  <c r="AA135" i="1"/>
  <c r="AA127" i="1"/>
  <c r="AA119" i="1"/>
  <c r="AA111" i="1"/>
  <c r="AA103" i="1"/>
  <c r="AA95" i="1"/>
  <c r="AA87" i="1"/>
  <c r="AA79" i="1"/>
  <c r="AA71" i="1"/>
  <c r="AA190" i="1"/>
  <c r="AA182" i="1"/>
  <c r="AA174" i="1"/>
  <c r="AA166" i="1"/>
  <c r="AA158" i="1"/>
  <c r="AA150" i="1"/>
  <c r="AA142" i="1"/>
  <c r="AA134" i="1"/>
  <c r="AA126" i="1"/>
  <c r="AA118" i="1"/>
  <c r="AA110" i="1"/>
  <c r="AA102" i="1"/>
  <c r="AA94" i="1"/>
  <c r="AA86" i="1"/>
  <c r="AA78" i="1"/>
  <c r="AA70" i="1"/>
  <c r="AA62" i="1"/>
  <c r="AA54" i="1"/>
  <c r="AA189" i="1"/>
  <c r="AA181" i="1"/>
  <c r="AA173" i="1"/>
  <c r="AA165" i="1"/>
  <c r="AA157" i="1"/>
  <c r="AA149" i="1"/>
  <c r="AA141" i="1"/>
  <c r="AA133" i="1"/>
  <c r="AA125" i="1"/>
  <c r="AA117" i="1"/>
  <c r="AA109" i="1"/>
  <c r="AA101" i="1"/>
  <c r="AA93" i="1"/>
  <c r="AA85" i="1"/>
  <c r="AA77" i="1"/>
  <c r="AA69" i="1"/>
  <c r="AA61" i="1"/>
  <c r="AA53" i="1"/>
  <c r="AA282" i="1"/>
  <c r="AA275" i="1"/>
  <c r="AA274" i="1"/>
  <c r="AA266" i="1"/>
  <c r="AA265" i="1"/>
  <c r="AA258" i="1"/>
  <c r="AA257" i="1"/>
  <c r="AA250" i="1"/>
  <c r="AA249" i="1"/>
  <c r="AA242" i="1"/>
  <c r="AA241" i="1"/>
  <c r="AA233" i="1"/>
  <c r="AA232" i="1"/>
  <c r="AA225" i="1"/>
  <c r="AA224" i="1"/>
  <c r="AA217" i="1"/>
  <c r="AA216" i="1"/>
  <c r="AA209" i="1"/>
  <c r="AA208" i="1"/>
  <c r="AA201" i="1"/>
  <c r="AA200" i="1"/>
  <c r="AA188" i="1"/>
  <c r="AA180" i="1"/>
  <c r="AA172" i="1"/>
  <c r="AA164" i="1"/>
  <c r="AA156" i="1"/>
  <c r="AA148" i="1"/>
  <c r="AA140" i="1"/>
  <c r="AA132" i="1"/>
  <c r="AA124" i="1"/>
  <c r="AA116" i="1"/>
  <c r="AA108" i="1"/>
  <c r="AA100" i="1"/>
  <c r="AA92" i="1"/>
  <c r="AA84" i="1"/>
  <c r="AA76" i="1"/>
  <c r="AA68" i="1"/>
  <c r="AA60" i="1"/>
  <c r="AA52" i="1"/>
  <c r="AA195" i="1"/>
  <c r="AA194" i="1"/>
  <c r="AA186" i="1"/>
  <c r="AA178" i="1"/>
  <c r="AA170" i="1"/>
  <c r="AA162" i="1"/>
  <c r="AA154" i="1"/>
  <c r="AA146" i="1"/>
  <c r="AA138" i="1"/>
  <c r="AA130" i="1"/>
  <c r="AA122" i="1"/>
  <c r="AA114" i="1"/>
  <c r="AA106" i="1"/>
  <c r="AA98" i="1"/>
  <c r="AA90" i="1"/>
  <c r="AA82" i="1"/>
  <c r="AA74" i="1"/>
  <c r="AA66" i="1"/>
  <c r="AA58" i="1"/>
  <c r="AA193" i="1"/>
  <c r="AA185" i="1"/>
  <c r="AA177" i="1"/>
  <c r="AA169" i="1"/>
  <c r="AA161" i="1"/>
  <c r="AA153" i="1"/>
  <c r="AA145" i="1"/>
  <c r="AA137" i="1"/>
  <c r="AA129" i="1"/>
  <c r="AA121" i="1"/>
  <c r="AA113" i="1"/>
  <c r="AA105" i="1"/>
  <c r="AA97" i="1"/>
  <c r="AA89" i="1"/>
  <c r="AA81" i="1"/>
  <c r="AA73" i="1"/>
  <c r="AA65" i="1"/>
  <c r="AA57" i="1"/>
  <c r="AA187" i="1"/>
  <c r="AA179" i="1"/>
  <c r="AA171" i="1"/>
  <c r="AA163" i="1"/>
  <c r="AA155" i="1"/>
  <c r="AA147" i="1"/>
  <c r="AA139" i="1"/>
  <c r="AA131" i="1"/>
  <c r="AA123" i="1"/>
  <c r="AA115" i="1"/>
  <c r="AA107" i="1"/>
  <c r="AA99" i="1"/>
  <c r="AA91" i="1"/>
  <c r="AA83" i="1"/>
  <c r="AA75" i="1"/>
  <c r="AA67" i="1"/>
  <c r="AA45" i="1"/>
  <c r="AA37" i="1"/>
  <c r="AA29" i="1"/>
  <c r="AA21" i="1"/>
  <c r="AA35" i="1"/>
  <c r="AA27" i="1"/>
  <c r="AA59" i="1"/>
  <c r="AA49" i="1"/>
  <c r="AA44" i="1"/>
  <c r="AA36" i="1"/>
  <c r="AA28" i="1"/>
  <c r="AA20" i="1"/>
  <c r="AA313" i="1"/>
  <c r="AA51" i="1"/>
  <c r="AA43" i="1"/>
  <c r="AA192" i="1"/>
  <c r="AA184" i="1"/>
  <c r="AA176" i="1"/>
  <c r="AA168" i="1"/>
  <c r="AA160" i="1"/>
  <c r="AA152" i="1"/>
  <c r="AA144" i="1"/>
  <c r="AA136" i="1"/>
  <c r="AA128" i="1"/>
  <c r="AA120" i="1"/>
  <c r="AA112" i="1"/>
  <c r="AA104" i="1"/>
  <c r="AA96" i="1"/>
  <c r="AA88" i="1"/>
  <c r="AA80" i="1"/>
  <c r="AA72" i="1"/>
  <c r="AA64" i="1"/>
  <c r="AA63" i="1"/>
  <c r="AA50" i="1"/>
  <c r="AA42" i="1"/>
  <c r="AA26" i="1"/>
  <c r="AA299" i="1"/>
  <c r="AA25" i="1"/>
  <c r="AA197" i="1"/>
  <c r="AA48" i="1"/>
  <c r="AA40" i="1"/>
  <c r="AA32" i="1"/>
  <c r="AA24" i="1"/>
  <c r="AA41" i="1"/>
  <c r="AA283" i="1"/>
  <c r="AA47" i="1"/>
  <c r="AA39" i="1"/>
  <c r="AA31" i="1"/>
  <c r="AA23" i="1"/>
  <c r="AA30" i="1"/>
  <c r="AA56" i="1"/>
  <c r="AA55" i="1"/>
  <c r="AA46" i="1"/>
  <c r="AA38" i="1"/>
  <c r="AA22" i="1"/>
  <c r="AC517" i="1"/>
  <c r="AC509" i="1"/>
  <c r="AC470" i="1"/>
  <c r="AC462" i="1"/>
  <c r="AC454" i="1"/>
  <c r="AC446" i="1"/>
  <c r="AC438" i="1"/>
  <c r="AC430" i="1"/>
  <c r="AC422" i="1"/>
  <c r="AC414" i="1"/>
  <c r="AC406" i="1"/>
  <c r="AC398" i="1"/>
  <c r="AC379" i="1"/>
  <c r="AC366" i="1"/>
  <c r="AC357" i="1"/>
  <c r="AC348" i="1"/>
  <c r="AC337" i="1"/>
  <c r="AC524" i="1"/>
  <c r="AC516" i="1"/>
  <c r="AC477" i="1"/>
  <c r="AC469" i="1"/>
  <c r="AC461" i="1"/>
  <c r="AC453" i="1"/>
  <c r="AC445" i="1"/>
  <c r="AC437" i="1"/>
  <c r="AC429" i="1"/>
  <c r="AC421" i="1"/>
  <c r="AC413" i="1"/>
  <c r="AC405" i="1"/>
  <c r="AC397" i="1"/>
  <c r="AC378" i="1"/>
  <c r="AC373" i="1"/>
  <c r="AC356" i="1"/>
  <c r="AC347" i="1"/>
  <c r="AC336" i="1"/>
  <c r="AC523" i="1"/>
  <c r="AC515" i="1"/>
  <c r="AC476" i="1"/>
  <c r="AC468" i="1"/>
  <c r="AC460" i="1"/>
  <c r="AC452" i="1"/>
  <c r="AC444" i="1"/>
  <c r="AC436" i="1"/>
  <c r="AC428" i="1"/>
  <c r="AC420" i="1"/>
  <c r="AC412" i="1"/>
  <c r="AC404" i="1"/>
  <c r="AC396" i="1"/>
  <c r="AC372" i="1"/>
  <c r="AC364" i="1"/>
  <c r="AC355" i="1"/>
  <c r="AC346" i="1"/>
  <c r="AC335" i="1"/>
  <c r="AC522" i="1"/>
  <c r="AC514" i="1"/>
  <c r="AC475" i="1"/>
  <c r="AC467" i="1"/>
  <c r="AC459" i="1"/>
  <c r="AC451" i="1"/>
  <c r="AC443" i="1"/>
  <c r="AC435" i="1"/>
  <c r="AC427" i="1"/>
  <c r="AC419" i="1"/>
  <c r="AC411" i="1"/>
  <c r="AC403" i="1"/>
  <c r="AC383" i="1"/>
  <c r="AC371" i="1"/>
  <c r="AC363" i="1"/>
  <c r="AC353" i="1"/>
  <c r="AC345" i="1"/>
  <c r="AC334" i="1"/>
  <c r="AC327" i="1"/>
  <c r="AC521" i="1"/>
  <c r="AC513" i="1"/>
  <c r="AC474" i="1"/>
  <c r="AC466" i="1"/>
  <c r="AC458" i="1"/>
  <c r="AC450" i="1"/>
  <c r="AC442" i="1"/>
  <c r="AC434" i="1"/>
  <c r="AC426" i="1"/>
  <c r="AC418" i="1"/>
  <c r="AC410" i="1"/>
  <c r="AC402" i="1"/>
  <c r="AC377" i="1"/>
  <c r="AC370" i="1"/>
  <c r="AC361" i="1"/>
  <c r="AC352" i="1"/>
  <c r="AC344" i="1"/>
  <c r="AC520" i="1"/>
  <c r="AC512" i="1"/>
  <c r="AC473" i="1"/>
  <c r="AC465" i="1"/>
  <c r="AC457" i="1"/>
  <c r="AC449" i="1"/>
  <c r="AC441" i="1"/>
  <c r="AC433" i="1"/>
  <c r="AC425" i="1"/>
  <c r="AC417" i="1"/>
  <c r="AC409" i="1"/>
  <c r="AC401" i="1"/>
  <c r="AC376" i="1"/>
  <c r="AC369" i="1"/>
  <c r="AC360" i="1"/>
  <c r="AC351" i="1"/>
  <c r="AC340" i="1"/>
  <c r="AC332" i="1"/>
  <c r="AC326" i="1"/>
  <c r="AC519" i="1"/>
  <c r="AC511" i="1"/>
  <c r="AC472" i="1"/>
  <c r="AC464" i="1"/>
  <c r="AC456" i="1"/>
  <c r="AC448" i="1"/>
  <c r="AC440" i="1"/>
  <c r="AC432" i="1"/>
  <c r="AC424" i="1"/>
  <c r="AC416" i="1"/>
  <c r="AC408" i="1"/>
  <c r="AC400" i="1"/>
  <c r="AC381" i="1"/>
  <c r="AC375" i="1"/>
  <c r="AC368" i="1"/>
  <c r="AC359" i="1"/>
  <c r="AC350" i="1"/>
  <c r="AC331" i="1"/>
  <c r="AC325" i="1"/>
  <c r="AC321" i="1"/>
  <c r="AC320" i="1"/>
  <c r="AC305" i="1"/>
  <c r="AC296" i="1"/>
  <c r="AC288" i="1"/>
  <c r="AC317" i="1"/>
  <c r="AC304" i="1"/>
  <c r="AC295" i="1"/>
  <c r="AC287" i="1"/>
  <c r="AC279" i="1"/>
  <c r="AC271" i="1"/>
  <c r="AC262" i="1"/>
  <c r="AC254" i="1"/>
  <c r="AC246" i="1"/>
  <c r="AC237" i="1"/>
  <c r="AC229" i="1"/>
  <c r="AC221" i="1"/>
  <c r="AC213" i="1"/>
  <c r="AC205" i="1"/>
  <c r="AC197" i="1"/>
  <c r="AC518" i="1"/>
  <c r="AC471" i="1"/>
  <c r="AC455" i="1"/>
  <c r="AC439" i="1"/>
  <c r="AC423" i="1"/>
  <c r="AC407" i="1"/>
  <c r="AC374" i="1"/>
  <c r="AC358" i="1"/>
  <c r="AC338" i="1"/>
  <c r="AC324" i="1"/>
  <c r="AC316" i="1"/>
  <c r="AC311" i="1"/>
  <c r="AC303" i="1"/>
  <c r="AC294" i="1"/>
  <c r="AC286" i="1"/>
  <c r="AC278" i="1"/>
  <c r="AC270" i="1"/>
  <c r="AC261" i="1"/>
  <c r="AC253" i="1"/>
  <c r="AC245" i="1"/>
  <c r="AC236" i="1"/>
  <c r="AC228" i="1"/>
  <c r="AC220" i="1"/>
  <c r="AC212" i="1"/>
  <c r="AC204" i="1"/>
  <c r="AC315" i="1"/>
  <c r="AC310" i="1"/>
  <c r="AC302" i="1"/>
  <c r="AC293" i="1"/>
  <c r="AC285" i="1"/>
  <c r="AC277" i="1"/>
  <c r="AC268" i="1"/>
  <c r="AC260" i="1"/>
  <c r="AC252" i="1"/>
  <c r="AC244" i="1"/>
  <c r="AC235" i="1"/>
  <c r="AC227" i="1"/>
  <c r="AC219" i="1"/>
  <c r="AC211" i="1"/>
  <c r="AC203" i="1"/>
  <c r="AC314" i="1"/>
  <c r="AC309" i="1"/>
  <c r="AC301" i="1"/>
  <c r="AC292" i="1"/>
  <c r="AC284" i="1"/>
  <c r="AC276" i="1"/>
  <c r="AC267" i="1"/>
  <c r="AC259" i="1"/>
  <c r="AC251" i="1"/>
  <c r="AC243" i="1"/>
  <c r="AC234" i="1"/>
  <c r="AC226" i="1"/>
  <c r="AC218" i="1"/>
  <c r="AC210" i="1"/>
  <c r="AC202" i="1"/>
  <c r="AC313" i="1"/>
  <c r="AC299" i="1"/>
  <c r="AC291" i="1"/>
  <c r="AC283" i="1"/>
  <c r="AC275" i="1"/>
  <c r="AC266" i="1"/>
  <c r="AC258" i="1"/>
  <c r="AC250" i="1"/>
  <c r="AC242" i="1"/>
  <c r="AC233" i="1"/>
  <c r="AC225" i="1"/>
  <c r="AC217" i="1"/>
  <c r="AC209" i="1"/>
  <c r="AC201" i="1"/>
  <c r="AC510" i="1"/>
  <c r="AC463" i="1"/>
  <c r="AC447" i="1"/>
  <c r="AC431" i="1"/>
  <c r="AC415" i="1"/>
  <c r="AC399" i="1"/>
  <c r="AC380" i="1"/>
  <c r="AC367" i="1"/>
  <c r="AC349" i="1"/>
  <c r="AC330" i="1"/>
  <c r="AC312" i="1"/>
  <c r="AC298" i="1"/>
  <c r="AC290" i="1"/>
  <c r="AC282" i="1"/>
  <c r="AC274" i="1"/>
  <c r="AC265" i="1"/>
  <c r="AC257" i="1"/>
  <c r="AC249" i="1"/>
  <c r="AC241" i="1"/>
  <c r="AC232" i="1"/>
  <c r="AC224" i="1"/>
  <c r="AC216" i="1"/>
  <c r="AC208" i="1"/>
  <c r="AC200" i="1"/>
  <c r="AC297" i="1"/>
  <c r="AC280" i="1"/>
  <c r="AC272" i="1"/>
  <c r="AC263" i="1"/>
  <c r="AC255" i="1"/>
  <c r="AC247" i="1"/>
  <c r="AC238" i="1"/>
  <c r="AC230" i="1"/>
  <c r="AC222" i="1"/>
  <c r="AC214" i="1"/>
  <c r="AC206" i="1"/>
  <c r="AC198" i="1"/>
  <c r="AC189" i="1"/>
  <c r="AC181" i="1"/>
  <c r="AC173" i="1"/>
  <c r="AC165" i="1"/>
  <c r="AC157" i="1"/>
  <c r="AC149" i="1"/>
  <c r="AC141" i="1"/>
  <c r="AC133" i="1"/>
  <c r="AC125" i="1"/>
  <c r="AC117" i="1"/>
  <c r="AC109" i="1"/>
  <c r="AC101" i="1"/>
  <c r="AC93" i="1"/>
  <c r="AC85" i="1"/>
  <c r="AC77" i="1"/>
  <c r="AC69" i="1"/>
  <c r="AC323" i="1"/>
  <c r="AC281" i="1"/>
  <c r="AC273" i="1"/>
  <c r="AC264" i="1"/>
  <c r="AC256" i="1"/>
  <c r="AC248" i="1"/>
  <c r="AC239" i="1"/>
  <c r="AC231" i="1"/>
  <c r="AC223" i="1"/>
  <c r="AC215" i="1"/>
  <c r="AC207" i="1"/>
  <c r="AC199" i="1"/>
  <c r="AC188" i="1"/>
  <c r="AC180" i="1"/>
  <c r="AC172" i="1"/>
  <c r="AC164" i="1"/>
  <c r="AC156" i="1"/>
  <c r="AC148" i="1"/>
  <c r="AC140" i="1"/>
  <c r="AC132" i="1"/>
  <c r="AC124" i="1"/>
  <c r="AC116" i="1"/>
  <c r="AC108" i="1"/>
  <c r="AC100" i="1"/>
  <c r="AC92" i="1"/>
  <c r="AC84" i="1"/>
  <c r="AC76" i="1"/>
  <c r="AC68" i="1"/>
  <c r="AC60" i="1"/>
  <c r="AC52" i="1"/>
  <c r="AC187" i="1"/>
  <c r="AC179" i="1"/>
  <c r="AC171" i="1"/>
  <c r="AC163" i="1"/>
  <c r="AC155" i="1"/>
  <c r="AC147" i="1"/>
  <c r="AC139" i="1"/>
  <c r="AC131" i="1"/>
  <c r="AC123" i="1"/>
  <c r="AC115" i="1"/>
  <c r="AC107" i="1"/>
  <c r="AC99" i="1"/>
  <c r="AC91" i="1"/>
  <c r="AC83" i="1"/>
  <c r="AC75" i="1"/>
  <c r="AC67" i="1"/>
  <c r="AC59" i="1"/>
  <c r="AC194" i="1"/>
  <c r="AC186" i="1"/>
  <c r="AC178" i="1"/>
  <c r="AC170" i="1"/>
  <c r="AC162" i="1"/>
  <c r="AC154" i="1"/>
  <c r="AC146" i="1"/>
  <c r="AC138" i="1"/>
  <c r="AC130" i="1"/>
  <c r="AC122" i="1"/>
  <c r="AC114" i="1"/>
  <c r="AC106" i="1"/>
  <c r="AC98" i="1"/>
  <c r="AC90" i="1"/>
  <c r="AC82" i="1"/>
  <c r="AC74" i="1"/>
  <c r="AC66" i="1"/>
  <c r="AC58" i="1"/>
  <c r="AC196" i="1"/>
  <c r="AC192" i="1"/>
  <c r="AC184" i="1"/>
  <c r="AC176" i="1"/>
  <c r="AC168" i="1"/>
  <c r="AC160" i="1"/>
  <c r="AC152" i="1"/>
  <c r="AC144" i="1"/>
  <c r="AC136" i="1"/>
  <c r="AC128" i="1"/>
  <c r="AC120" i="1"/>
  <c r="AC112" i="1"/>
  <c r="AC104" i="1"/>
  <c r="AC96" i="1"/>
  <c r="AC88" i="1"/>
  <c r="AC80" i="1"/>
  <c r="AC72" i="1"/>
  <c r="AC64" i="1"/>
  <c r="AC56" i="1"/>
  <c r="AC191" i="1"/>
  <c r="AC183" i="1"/>
  <c r="AC175" i="1"/>
  <c r="AC167" i="1"/>
  <c r="AC159" i="1"/>
  <c r="AC151" i="1"/>
  <c r="AC143" i="1"/>
  <c r="AC135" i="1"/>
  <c r="AC127" i="1"/>
  <c r="AC119" i="1"/>
  <c r="AC111" i="1"/>
  <c r="AC103" i="1"/>
  <c r="AC95" i="1"/>
  <c r="AC87" i="1"/>
  <c r="AC79" i="1"/>
  <c r="AC71" i="1"/>
  <c r="AC63" i="1"/>
  <c r="AC55" i="1"/>
  <c r="AC195" i="1"/>
  <c r="AC61" i="1"/>
  <c r="AC57" i="1"/>
  <c r="AC43" i="1"/>
  <c r="AC35" i="1"/>
  <c r="AC27" i="1"/>
  <c r="AC97" i="1"/>
  <c r="AC53" i="1"/>
  <c r="AC62" i="1"/>
  <c r="AC51" i="1"/>
  <c r="AC50" i="1"/>
  <c r="AC42" i="1"/>
  <c r="AC34" i="1"/>
  <c r="AC26" i="1"/>
  <c r="AC33" i="1"/>
  <c r="AC25" i="1"/>
  <c r="AC49" i="1"/>
  <c r="AC41" i="1"/>
  <c r="AC81" i="1"/>
  <c r="AC31" i="1"/>
  <c r="AC48" i="1"/>
  <c r="AC40" i="1"/>
  <c r="AC32" i="1"/>
  <c r="AC24" i="1"/>
  <c r="AC193" i="1"/>
  <c r="AC185" i="1"/>
  <c r="AC177" i="1"/>
  <c r="AC169" i="1"/>
  <c r="AC161" i="1"/>
  <c r="AC153" i="1"/>
  <c r="AC145" i="1"/>
  <c r="AC137" i="1"/>
  <c r="AC129" i="1"/>
  <c r="AC47" i="1"/>
  <c r="AC23" i="1"/>
  <c r="AC306" i="1"/>
  <c r="AC54" i="1"/>
  <c r="AC46" i="1"/>
  <c r="AC38" i="1"/>
  <c r="AC30" i="1"/>
  <c r="AC22" i="1"/>
  <c r="AC89" i="1"/>
  <c r="AC39" i="1"/>
  <c r="AC45" i="1"/>
  <c r="AC37" i="1"/>
  <c r="AC29" i="1"/>
  <c r="AC21" i="1"/>
  <c r="AC44" i="1"/>
  <c r="AC20" i="1"/>
  <c r="AC73" i="1"/>
  <c r="AC289" i="1"/>
  <c r="AC190" i="1"/>
  <c r="AC182" i="1"/>
  <c r="AC174" i="1"/>
  <c r="AC166" i="1"/>
  <c r="AC158" i="1"/>
  <c r="AC150" i="1"/>
  <c r="AC142" i="1"/>
  <c r="AC134" i="1"/>
  <c r="AC126" i="1"/>
  <c r="AC118" i="1"/>
  <c r="AC110" i="1"/>
  <c r="AC102" i="1"/>
  <c r="AC94" i="1"/>
  <c r="AC86" i="1"/>
  <c r="AC78" i="1"/>
  <c r="AC70" i="1"/>
  <c r="AC36" i="1"/>
  <c r="AC28" i="1"/>
  <c r="AC121" i="1"/>
  <c r="AC113" i="1"/>
  <c r="AC105" i="1"/>
  <c r="AC65" i="1"/>
  <c r="AB8" i="1"/>
  <c r="AB4" i="1"/>
  <c r="AB16" i="1"/>
  <c r="AD525" i="1"/>
  <c r="AB12" i="1"/>
  <c r="Z5" i="1"/>
  <c r="Z9" i="1"/>
  <c r="Z13" i="1"/>
  <c r="Z17" i="1"/>
  <c r="AB6" i="1"/>
  <c r="AB10" i="1"/>
  <c r="AB14" i="1"/>
  <c r="AB18" i="1"/>
  <c r="Z7" i="1"/>
  <c r="Z11" i="1"/>
  <c r="Z15" i="1"/>
  <c r="Z19" i="1"/>
  <c r="AB5" i="1"/>
  <c r="AB7" i="1"/>
  <c r="AB9" i="1"/>
  <c r="AB11" i="1"/>
  <c r="AB13" i="1"/>
  <c r="AB15" i="1"/>
  <c r="AB17" i="1"/>
  <c r="AB19" i="1"/>
  <c r="Z4" i="1"/>
  <c r="Z6" i="1"/>
  <c r="Z8" i="1"/>
  <c r="Z10" i="1"/>
  <c r="Z12" i="1"/>
  <c r="Z14" i="1"/>
  <c r="Z16" i="1"/>
  <c r="Z18" i="1"/>
  <c r="AA4" i="1"/>
  <c r="AA5" i="1"/>
  <c r="AA6" i="1"/>
  <c r="AA7" i="1"/>
  <c r="AA8" i="1"/>
  <c r="AA9" i="1"/>
  <c r="AA10" i="1"/>
  <c r="AA11" i="1"/>
  <c r="AA12" i="1"/>
  <c r="AA13" i="1"/>
  <c r="AA14" i="1"/>
  <c r="AA15" i="1"/>
  <c r="AA16" i="1"/>
  <c r="AA17" i="1"/>
  <c r="AA18" i="1"/>
  <c r="AA19" i="1"/>
  <c r="AC4" i="1"/>
  <c r="AC5" i="1"/>
  <c r="AC6" i="1"/>
  <c r="AC7" i="1"/>
  <c r="AC8" i="1"/>
  <c r="AC9" i="1"/>
  <c r="AC10" i="1"/>
  <c r="AC11" i="1"/>
  <c r="AC12" i="1"/>
  <c r="AC13" i="1"/>
  <c r="AC14" i="1"/>
  <c r="AC15" i="1"/>
  <c r="AC16" i="1"/>
  <c r="AC17" i="1"/>
  <c r="AC18" i="1"/>
  <c r="AC19" i="1"/>
  <c r="B14" i="3"/>
  <c r="A5" i="3"/>
  <c r="AB525" i="1" l="1"/>
  <c r="AC525" i="1"/>
  <c r="AA525" i="1"/>
  <c r="Z525" i="1"/>
  <c r="C165" i="1"/>
  <c r="Z1" i="1" l="1"/>
  <c r="Z526" i="1"/>
  <c r="D9" i="3"/>
  <c r="AC1" i="1"/>
  <c r="D8" i="3"/>
  <c r="AA1" i="1"/>
  <c r="D7" i="3"/>
  <c r="AB1" i="1"/>
  <c r="D6" i="3"/>
  <c r="A15" i="3"/>
  <c r="D10" i="3" l="1"/>
  <c r="A16" i="3"/>
  <c r="B15" i="3"/>
  <c r="A17" i="3" l="1"/>
  <c r="B16" i="3"/>
  <c r="C16" i="3" s="1"/>
  <c r="D16" i="3" l="1"/>
  <c r="E16" i="3"/>
  <c r="B17" i="3"/>
  <c r="A18" i="3"/>
  <c r="E17" i="3" l="1"/>
  <c r="D17" i="3"/>
  <c r="C17" i="3"/>
  <c r="B18" i="3"/>
  <c r="A19" i="3"/>
  <c r="D18" i="3" l="1"/>
  <c r="E18" i="3"/>
  <c r="C18" i="3"/>
  <c r="B19" i="3"/>
  <c r="A20" i="3"/>
  <c r="C19" i="3" l="1"/>
  <c r="D19" i="3"/>
  <c r="E19" i="3"/>
  <c r="B20" i="3"/>
  <c r="A21" i="3"/>
  <c r="C108" i="1"/>
  <c r="C20" i="3" l="1"/>
  <c r="E20" i="3"/>
  <c r="D20" i="3"/>
  <c r="B21" i="3"/>
  <c r="A22" i="3"/>
  <c r="C134" i="1"/>
  <c r="D21" i="3" l="1"/>
  <c r="E21" i="3"/>
  <c r="C21" i="3"/>
  <c r="B22" i="3"/>
  <c r="A23" i="3"/>
  <c r="C120" i="1"/>
  <c r="E22" i="3" l="1"/>
  <c r="D22" i="3"/>
  <c r="C22" i="3"/>
  <c r="B23" i="3"/>
  <c r="A24" i="3"/>
  <c r="C14" i="3"/>
  <c r="C23" i="3" l="1"/>
  <c r="E23" i="3"/>
  <c r="D23" i="3"/>
  <c r="B24" i="3"/>
  <c r="A25" i="3"/>
  <c r="C15" i="3"/>
  <c r="E14" i="3"/>
  <c r="D14" i="3"/>
  <c r="C24" i="3" l="1"/>
  <c r="E24" i="3"/>
  <c r="D24" i="3"/>
  <c r="B25" i="3"/>
  <c r="A26" i="3"/>
  <c r="E15" i="3"/>
  <c r="D15" i="3"/>
  <c r="E25" i="3" l="1"/>
  <c r="C25" i="3"/>
  <c r="D25" i="3"/>
  <c r="B26" i="3"/>
  <c r="A27" i="3"/>
  <c r="E26" i="3" l="1"/>
  <c r="D26" i="3"/>
  <c r="C26" i="3"/>
  <c r="B27" i="3"/>
  <c r="A28" i="3"/>
  <c r="C27" i="3" l="1"/>
  <c r="E27" i="3"/>
  <c r="D27" i="3"/>
  <c r="B28" i="3"/>
  <c r="A29" i="3"/>
  <c r="C28" i="3" l="1"/>
  <c r="E28" i="3"/>
  <c r="D28" i="3"/>
  <c r="B29" i="3"/>
  <c r="A30" i="3"/>
  <c r="C29" i="3" l="1"/>
  <c r="D29" i="3"/>
  <c r="E29" i="3"/>
  <c r="B30" i="3"/>
  <c r="A31" i="3"/>
  <c r="C30" i="3" l="1"/>
  <c r="D30" i="3"/>
  <c r="E30" i="3"/>
  <c r="B31" i="3"/>
  <c r="A32" i="3"/>
  <c r="E31" i="3" l="1"/>
  <c r="D31" i="3"/>
  <c r="C31" i="3"/>
  <c r="B32" i="3"/>
  <c r="A33" i="3"/>
  <c r="E32" i="3" l="1"/>
  <c r="D32" i="3"/>
  <c r="C32" i="3"/>
  <c r="B33" i="3"/>
  <c r="A34" i="3"/>
  <c r="C33" i="3" l="1"/>
  <c r="D33" i="3"/>
  <c r="E33" i="3"/>
  <c r="B34" i="3"/>
  <c r="A35" i="3"/>
  <c r="E34" i="3" l="1"/>
  <c r="D34" i="3"/>
  <c r="C34" i="3"/>
  <c r="B35" i="3"/>
  <c r="A36" i="3"/>
  <c r="E35" i="3" l="1"/>
  <c r="D35" i="3"/>
  <c r="C35" i="3"/>
  <c r="B36" i="3"/>
  <c r="A37" i="3"/>
  <c r="C36" i="3" l="1"/>
  <c r="E36" i="3"/>
  <c r="D36" i="3"/>
  <c r="B37" i="3"/>
  <c r="A38" i="3"/>
  <c r="C37" i="3" l="1"/>
  <c r="D37" i="3"/>
  <c r="E37" i="3"/>
  <c r="B38" i="3"/>
  <c r="A39" i="3"/>
  <c r="E38" i="3" l="1"/>
  <c r="D38" i="3"/>
  <c r="C38" i="3"/>
  <c r="B39" i="3"/>
  <c r="A40" i="3"/>
  <c r="D39" i="3" l="1"/>
  <c r="C39" i="3"/>
  <c r="E39" i="3"/>
  <c r="B40" i="3"/>
  <c r="A41" i="3"/>
  <c r="D40" i="3" l="1"/>
  <c r="C40" i="3"/>
  <c r="E40" i="3"/>
  <c r="B41" i="3"/>
  <c r="A42" i="3"/>
  <c r="C41" i="3" l="1"/>
  <c r="E41" i="3"/>
  <c r="D41" i="3"/>
  <c r="B42" i="3"/>
  <c r="A43" i="3"/>
  <c r="D42" i="3" l="1"/>
  <c r="C42" i="3"/>
  <c r="E42" i="3"/>
  <c r="B43" i="3"/>
  <c r="A44" i="3"/>
  <c r="D43" i="3" l="1"/>
  <c r="C43" i="3"/>
  <c r="E43" i="3"/>
  <c r="B44" i="3"/>
  <c r="A45" i="3"/>
  <c r="E44" i="3" l="1"/>
  <c r="D44" i="3"/>
  <c r="C44" i="3"/>
  <c r="B45" i="3"/>
  <c r="A46" i="3"/>
  <c r="E45" i="3" l="1"/>
  <c r="D45" i="3"/>
  <c r="C45" i="3"/>
  <c r="B46" i="3"/>
  <c r="A47" i="3"/>
  <c r="C46" i="3" l="1"/>
  <c r="D46" i="3"/>
  <c r="E46" i="3"/>
  <c r="B47" i="3"/>
  <c r="A48" i="3"/>
  <c r="D47" i="3" l="1"/>
  <c r="C47" i="3"/>
  <c r="E47" i="3"/>
  <c r="B48" i="3"/>
  <c r="A49" i="3"/>
  <c r="D48" i="3" l="1"/>
  <c r="C48" i="3"/>
  <c r="E48" i="3"/>
  <c r="B49" i="3"/>
  <c r="A50" i="3"/>
  <c r="C49" i="3" l="1"/>
  <c r="E49" i="3"/>
  <c r="D49" i="3"/>
  <c r="B50" i="3"/>
  <c r="A51" i="3"/>
  <c r="D50" i="3" l="1"/>
  <c r="C50" i="3"/>
  <c r="E50" i="3"/>
  <c r="B51" i="3"/>
  <c r="A52" i="3"/>
  <c r="D51" i="3" l="1"/>
  <c r="C51" i="3"/>
  <c r="E51" i="3"/>
  <c r="B52" i="3"/>
  <c r="A53" i="3"/>
  <c r="E52" i="3" l="1"/>
  <c r="D52" i="3"/>
  <c r="C52" i="3"/>
  <c r="B53" i="3"/>
  <c r="A54" i="3"/>
  <c r="C53" i="3" l="1"/>
  <c r="E53" i="3"/>
  <c r="D53" i="3"/>
  <c r="B54" i="3"/>
  <c r="A55" i="3"/>
  <c r="C54" i="3" l="1"/>
  <c r="E54" i="3"/>
  <c r="D54" i="3"/>
  <c r="B55" i="3"/>
  <c r="A56" i="3"/>
  <c r="D55" i="3" l="1"/>
  <c r="C55" i="3"/>
  <c r="E55" i="3"/>
  <c r="B56" i="3"/>
  <c r="A57" i="3"/>
  <c r="C56" i="3" l="1"/>
  <c r="E56" i="3"/>
  <c r="D56" i="3"/>
  <c r="B57" i="3"/>
  <c r="A58" i="3"/>
  <c r="C57" i="3" l="1"/>
  <c r="E57" i="3"/>
  <c r="D57" i="3"/>
  <c r="B58" i="3"/>
  <c r="A59" i="3"/>
  <c r="D58" i="3" l="1"/>
  <c r="C58" i="3"/>
  <c r="E58" i="3"/>
  <c r="B59" i="3"/>
  <c r="A60" i="3"/>
  <c r="D59" i="3" l="1"/>
  <c r="C59" i="3"/>
  <c r="E59" i="3"/>
  <c r="B60" i="3"/>
  <c r="A61" i="3"/>
  <c r="E60" i="3" l="1"/>
  <c r="D60" i="3"/>
  <c r="C60" i="3"/>
  <c r="B61" i="3"/>
  <c r="A62" i="3"/>
  <c r="C61" i="3" l="1"/>
  <c r="E61" i="3"/>
  <c r="D61" i="3"/>
  <c r="B62" i="3"/>
  <c r="A63" i="3"/>
  <c r="C62" i="3" l="1"/>
  <c r="E62" i="3"/>
  <c r="D62" i="3"/>
  <c r="B63" i="3"/>
  <c r="A64" i="3"/>
  <c r="D63" i="3" l="1"/>
  <c r="C63" i="3"/>
  <c r="E63" i="3"/>
  <c r="B64" i="3"/>
  <c r="A65" i="3"/>
  <c r="C64" i="3" l="1"/>
  <c r="E64" i="3"/>
  <c r="D64" i="3"/>
  <c r="B65" i="3"/>
  <c r="A66" i="3"/>
  <c r="C65" i="3" l="1"/>
  <c r="E65" i="3"/>
  <c r="D65" i="3"/>
  <c r="B66" i="3"/>
  <c r="A67" i="3"/>
  <c r="D66" i="3" l="1"/>
  <c r="C66" i="3"/>
  <c r="E66" i="3"/>
  <c r="B67" i="3"/>
  <c r="A68" i="3"/>
  <c r="D67" i="3" l="1"/>
  <c r="C67" i="3"/>
  <c r="E67" i="3"/>
  <c r="B68" i="3"/>
  <c r="A69" i="3"/>
  <c r="D68" i="3" l="1"/>
  <c r="E68" i="3"/>
  <c r="C68" i="3"/>
  <c r="B69" i="3"/>
  <c r="A70" i="3"/>
  <c r="E69" i="3" l="1"/>
  <c r="D69" i="3"/>
  <c r="C69" i="3"/>
  <c r="B70" i="3"/>
  <c r="A71" i="3"/>
  <c r="E70" i="3" l="1"/>
  <c r="C70" i="3"/>
  <c r="D70" i="3"/>
  <c r="B71" i="3"/>
  <c r="A72" i="3"/>
  <c r="C71" i="3" l="1"/>
  <c r="E71" i="3"/>
  <c r="D71" i="3"/>
  <c r="B72" i="3"/>
  <c r="A73" i="3"/>
  <c r="C72" i="3" l="1"/>
  <c r="D72" i="3"/>
  <c r="E72" i="3"/>
  <c r="B73" i="3"/>
  <c r="A74" i="3"/>
  <c r="D73" i="3" l="1"/>
  <c r="E73" i="3"/>
  <c r="C73" i="3"/>
  <c r="B74" i="3"/>
  <c r="A75" i="3"/>
  <c r="D74" i="3" l="1"/>
  <c r="C74" i="3"/>
  <c r="E74" i="3"/>
  <c r="B75" i="3"/>
  <c r="A76" i="3"/>
  <c r="D75" i="3" l="1"/>
  <c r="C75" i="3"/>
  <c r="E75" i="3"/>
  <c r="B76" i="3"/>
  <c r="A77" i="3"/>
  <c r="D76" i="3" l="1"/>
  <c r="E76" i="3"/>
  <c r="C76" i="3"/>
  <c r="B77" i="3"/>
  <c r="A78" i="3"/>
  <c r="D77" i="3" l="1"/>
  <c r="E77" i="3"/>
  <c r="C77" i="3"/>
  <c r="B78" i="3"/>
  <c r="A79" i="3"/>
  <c r="D78" i="3" l="1"/>
  <c r="C78" i="3"/>
  <c r="E78" i="3"/>
  <c r="B79" i="3"/>
  <c r="A80" i="3"/>
  <c r="D79" i="3" l="1"/>
  <c r="C79" i="3"/>
  <c r="E79" i="3"/>
  <c r="B80" i="3"/>
  <c r="A81" i="3"/>
  <c r="D80" i="3" l="1"/>
  <c r="E80" i="3"/>
  <c r="C80" i="3"/>
  <c r="B81" i="3"/>
  <c r="A82" i="3"/>
  <c r="D81" i="3" l="1"/>
  <c r="E81" i="3"/>
  <c r="C81" i="3"/>
  <c r="B82" i="3"/>
  <c r="A83" i="3"/>
  <c r="C82" i="3" l="1"/>
  <c r="E82" i="3"/>
  <c r="D82" i="3"/>
  <c r="B83" i="3"/>
  <c r="A84" i="3"/>
  <c r="E83" i="3" l="1"/>
  <c r="D83" i="3"/>
  <c r="C83" i="3"/>
  <c r="B84" i="3"/>
  <c r="A85" i="3"/>
  <c r="D84" i="3" l="1"/>
  <c r="E84" i="3"/>
  <c r="C84" i="3"/>
  <c r="B85" i="3"/>
  <c r="A86" i="3"/>
  <c r="C85" i="3" l="1"/>
  <c r="D85" i="3"/>
  <c r="E85" i="3"/>
  <c r="B86" i="3"/>
  <c r="A87" i="3"/>
  <c r="C86" i="3" l="1"/>
  <c r="E86" i="3"/>
  <c r="D86" i="3"/>
  <c r="B87" i="3"/>
  <c r="A88" i="3"/>
  <c r="E87" i="3" l="1"/>
  <c r="D87" i="3"/>
  <c r="C87" i="3"/>
  <c r="B88" i="3"/>
  <c r="A89" i="3"/>
  <c r="C88" i="3" l="1"/>
  <c r="D88" i="3"/>
  <c r="E88" i="3"/>
  <c r="B89" i="3"/>
  <c r="A90" i="3"/>
  <c r="C89" i="3" l="1"/>
  <c r="D89" i="3"/>
  <c r="E89" i="3"/>
  <c r="B90" i="3"/>
  <c r="A91" i="3"/>
  <c r="E90" i="3" l="1"/>
  <c r="D90" i="3"/>
  <c r="C90" i="3"/>
  <c r="B91" i="3"/>
  <c r="A92" i="3"/>
  <c r="E91" i="3" l="1"/>
  <c r="D91" i="3"/>
  <c r="C91" i="3"/>
  <c r="B92" i="3"/>
  <c r="A93" i="3"/>
  <c r="C92" i="3" l="1"/>
  <c r="D92" i="3"/>
  <c r="E92" i="3"/>
  <c r="B93" i="3"/>
  <c r="A94" i="3"/>
  <c r="C93" i="3" l="1"/>
  <c r="D93" i="3"/>
  <c r="E93" i="3"/>
  <c r="B94" i="3"/>
  <c r="A95" i="3"/>
  <c r="E94" i="3" l="1"/>
  <c r="D94" i="3"/>
  <c r="C94" i="3"/>
  <c r="B95" i="3"/>
  <c r="A96" i="3"/>
  <c r="C107" i="1"/>
  <c r="E95" i="3" l="1"/>
  <c r="D95" i="3"/>
  <c r="C95" i="3"/>
  <c r="B96" i="3"/>
  <c r="A97" i="3"/>
  <c r="C123" i="1"/>
  <c r="C122" i="1"/>
  <c r="C96" i="1"/>
  <c r="C97" i="1"/>
  <c r="C98" i="1"/>
  <c r="C93" i="1"/>
  <c r="A524" i="1"/>
  <c r="A523" i="1"/>
  <c r="A522" i="1"/>
  <c r="A521" i="1"/>
  <c r="A520" i="1"/>
  <c r="A519" i="1"/>
  <c r="A518" i="1"/>
  <c r="A517" i="1"/>
  <c r="A516" i="1"/>
  <c r="A515" i="1"/>
  <c r="A514" i="1"/>
  <c r="A513" i="1"/>
  <c r="A512" i="1"/>
  <c r="A511" i="1"/>
  <c r="A510" i="1"/>
  <c r="A509"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280" i="1"/>
  <c r="A278" i="1"/>
  <c r="A310" i="1" l="1"/>
  <c r="A281" i="1"/>
  <c r="C96" i="3"/>
  <c r="E96" i="3"/>
  <c r="D96" i="3"/>
  <c r="B97" i="3"/>
  <c r="A98" i="3"/>
  <c r="A311" i="1" l="1"/>
  <c r="A282" i="1"/>
  <c r="C97" i="3"/>
  <c r="D97" i="3"/>
  <c r="E97" i="3"/>
  <c r="B98" i="3"/>
  <c r="A99" i="3"/>
  <c r="C132" i="1"/>
  <c r="C131" i="1"/>
  <c r="C130" i="1"/>
  <c r="C129" i="1"/>
  <c r="C128" i="1"/>
  <c r="C127" i="1"/>
  <c r="C126" i="1"/>
  <c r="C125" i="1"/>
  <c r="C124" i="1"/>
  <c r="C121" i="1"/>
  <c r="C119" i="1"/>
  <c r="C118" i="1"/>
  <c r="C117" i="1"/>
  <c r="C116" i="1"/>
  <c r="A283" i="1" l="1"/>
  <c r="A312" i="1"/>
  <c r="D98" i="3"/>
  <c r="C98" i="3"/>
  <c r="E98" i="3"/>
  <c r="B99" i="3"/>
  <c r="A100" i="3"/>
  <c r="C115" i="1"/>
  <c r="C114" i="1"/>
  <c r="C113" i="1"/>
  <c r="C112" i="1"/>
  <c r="C111" i="1"/>
  <c r="C110" i="1"/>
  <c r="C109" i="1"/>
  <c r="C106" i="1"/>
  <c r="C105" i="1"/>
  <c r="C104" i="1"/>
  <c r="C103" i="1"/>
  <c r="C102" i="1"/>
  <c r="C101" i="1"/>
  <c r="C100" i="1"/>
  <c r="C99" i="1"/>
  <c r="C95" i="1"/>
  <c r="C94"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2" i="1"/>
  <c r="C31" i="1"/>
  <c r="C30" i="1"/>
  <c r="C29" i="1"/>
  <c r="A1445" i="1"/>
  <c r="A1444" i="1"/>
  <c r="A1443" i="1"/>
  <c r="A1442" i="1"/>
  <c r="A1441" i="1"/>
  <c r="A1440" i="1"/>
  <c r="A1439" i="1"/>
  <c r="A1438" i="1"/>
  <c r="A1437" i="1"/>
  <c r="A1436" i="1"/>
  <c r="A1435" i="1"/>
  <c r="A1434" i="1"/>
  <c r="A1433" i="1"/>
  <c r="A1432" i="1"/>
  <c r="C1431" i="1"/>
  <c r="A1431" i="1"/>
  <c r="C1430" i="1"/>
  <c r="A1430" i="1"/>
  <c r="C1429" i="1"/>
  <c r="A1429" i="1"/>
  <c r="C1428" i="1"/>
  <c r="A1428" i="1"/>
  <c r="C1427" i="1"/>
  <c r="A1427" i="1"/>
  <c r="C1426" i="1"/>
  <c r="A1426" i="1"/>
  <c r="C1425" i="1"/>
  <c r="A1425" i="1"/>
  <c r="C1424" i="1"/>
  <c r="A1424" i="1"/>
  <c r="C1423" i="1"/>
  <c r="A1423" i="1"/>
  <c r="C1422" i="1"/>
  <c r="A1422" i="1"/>
  <c r="C1421" i="1"/>
  <c r="A1421" i="1"/>
  <c r="C1420" i="1"/>
  <c r="A1420" i="1"/>
  <c r="C1419" i="1"/>
  <c r="A1419" i="1"/>
  <c r="C1418" i="1"/>
  <c r="A1418" i="1"/>
  <c r="C1417" i="1"/>
  <c r="A1417" i="1"/>
  <c r="C1416" i="1"/>
  <c r="A1416" i="1"/>
  <c r="C1415" i="1"/>
  <c r="A1415" i="1"/>
  <c r="C1414" i="1"/>
  <c r="A1414" i="1"/>
  <c r="C1413" i="1"/>
  <c r="A1413" i="1"/>
  <c r="C1412" i="1"/>
  <c r="A1412" i="1"/>
  <c r="C1411" i="1"/>
  <c r="A1411" i="1"/>
  <c r="C1410" i="1"/>
  <c r="A1410" i="1"/>
  <c r="C1409" i="1"/>
  <c r="A1409" i="1"/>
  <c r="C1408" i="1"/>
  <c r="A1408" i="1"/>
  <c r="C1407" i="1"/>
  <c r="A1407" i="1"/>
  <c r="C1406" i="1"/>
  <c r="A1406" i="1"/>
  <c r="C1405" i="1"/>
  <c r="A1405" i="1"/>
  <c r="C1404" i="1"/>
  <c r="A1404" i="1"/>
  <c r="C1403" i="1"/>
  <c r="A1403" i="1"/>
  <c r="C1402" i="1"/>
  <c r="A1402" i="1"/>
  <c r="C1401" i="1"/>
  <c r="A1401" i="1"/>
  <c r="C1400" i="1"/>
  <c r="A1400" i="1"/>
  <c r="C1399" i="1"/>
  <c r="A1399" i="1"/>
  <c r="C1398" i="1"/>
  <c r="A1398" i="1"/>
  <c r="C1397" i="1"/>
  <c r="A1397" i="1"/>
  <c r="C1396" i="1"/>
  <c r="A1396" i="1"/>
  <c r="C1395" i="1"/>
  <c r="A1395" i="1"/>
  <c r="C1394" i="1"/>
  <c r="A1394" i="1"/>
  <c r="C1393" i="1"/>
  <c r="A1393" i="1"/>
  <c r="C1392" i="1"/>
  <c r="A1392" i="1"/>
  <c r="C1391" i="1"/>
  <c r="A1391" i="1"/>
  <c r="C1390" i="1"/>
  <c r="A1390" i="1"/>
  <c r="C1389" i="1"/>
  <c r="A1389" i="1"/>
  <c r="C1388" i="1"/>
  <c r="A1388" i="1"/>
  <c r="C1387" i="1"/>
  <c r="A1387" i="1"/>
  <c r="C1386" i="1"/>
  <c r="A1386" i="1"/>
  <c r="C1385" i="1"/>
  <c r="A1385" i="1"/>
  <c r="C1384" i="1"/>
  <c r="A1384" i="1"/>
  <c r="C1383" i="1"/>
  <c r="A1383" i="1"/>
  <c r="C1382" i="1"/>
  <c r="A1382" i="1"/>
  <c r="C1381" i="1"/>
  <c r="A1381" i="1"/>
  <c r="C1380" i="1"/>
  <c r="A1380" i="1"/>
  <c r="C1379" i="1"/>
  <c r="A1379" i="1"/>
  <c r="C1378" i="1"/>
  <c r="A1378" i="1"/>
  <c r="C1377" i="1"/>
  <c r="A1377" i="1"/>
  <c r="C1376" i="1"/>
  <c r="A1376" i="1"/>
  <c r="C1375" i="1"/>
  <c r="A1375" i="1"/>
  <c r="C1374" i="1"/>
  <c r="A1374" i="1"/>
  <c r="C1373" i="1"/>
  <c r="A1373" i="1"/>
  <c r="C1372" i="1"/>
  <c r="A1372" i="1"/>
  <c r="C1371" i="1"/>
  <c r="A1371" i="1"/>
  <c r="C1370" i="1"/>
  <c r="A1370" i="1"/>
  <c r="C1369" i="1"/>
  <c r="A1369" i="1"/>
  <c r="C1368" i="1"/>
  <c r="A1368" i="1"/>
  <c r="C1367" i="1"/>
  <c r="A1367" i="1"/>
  <c r="C1366" i="1"/>
  <c r="A1366" i="1"/>
  <c r="C1365" i="1"/>
  <c r="A1365" i="1"/>
  <c r="C1364" i="1"/>
  <c r="A1364" i="1"/>
  <c r="C1363" i="1"/>
  <c r="A1363" i="1"/>
  <c r="C1362" i="1"/>
  <c r="A1362" i="1"/>
  <c r="C1361" i="1"/>
  <c r="A1361" i="1"/>
  <c r="C1360" i="1"/>
  <c r="A1360" i="1"/>
  <c r="C1359" i="1"/>
  <c r="A1359" i="1"/>
  <c r="C1358" i="1"/>
  <c r="A1358" i="1"/>
  <c r="C1357" i="1"/>
  <c r="A1357" i="1"/>
  <c r="C1356" i="1"/>
  <c r="A1356" i="1"/>
  <c r="C1355" i="1"/>
  <c r="A1355" i="1"/>
  <c r="C1354" i="1"/>
  <c r="A1354" i="1"/>
  <c r="C1353" i="1"/>
  <c r="A1353" i="1"/>
  <c r="C1352" i="1"/>
  <c r="A1352" i="1"/>
  <c r="C1351" i="1"/>
  <c r="A1351" i="1"/>
  <c r="C1350" i="1"/>
  <c r="A1350" i="1"/>
  <c r="C1349" i="1"/>
  <c r="A1349" i="1"/>
  <c r="C1348" i="1"/>
  <c r="A1348" i="1"/>
  <c r="C1347" i="1"/>
  <c r="A1347" i="1"/>
  <c r="C1346" i="1"/>
  <c r="A1346" i="1"/>
  <c r="C1345" i="1"/>
  <c r="A1345" i="1"/>
  <c r="C1344" i="1"/>
  <c r="A1344" i="1"/>
  <c r="C1343" i="1"/>
  <c r="A1343" i="1"/>
  <c r="C1342" i="1"/>
  <c r="A1342" i="1"/>
  <c r="C1341" i="1"/>
  <c r="A1341" i="1"/>
  <c r="C1340" i="1"/>
  <c r="A1340" i="1"/>
  <c r="C1339" i="1"/>
  <c r="A1339" i="1"/>
  <c r="C1338" i="1"/>
  <c r="A1338" i="1"/>
  <c r="C1337" i="1"/>
  <c r="A1337" i="1"/>
  <c r="C1336" i="1"/>
  <c r="A1336" i="1"/>
  <c r="C1335" i="1"/>
  <c r="A1335" i="1"/>
  <c r="C1334" i="1"/>
  <c r="A1334" i="1"/>
  <c r="C1333" i="1"/>
  <c r="A1333" i="1"/>
  <c r="C1332" i="1"/>
  <c r="A1332" i="1"/>
  <c r="C1331" i="1"/>
  <c r="A1331" i="1"/>
  <c r="C1330" i="1"/>
  <c r="A1330" i="1"/>
  <c r="C1329" i="1"/>
  <c r="A1329" i="1"/>
  <c r="C1328" i="1"/>
  <c r="A1328" i="1"/>
  <c r="C1327" i="1"/>
  <c r="A1327" i="1"/>
  <c r="C1326" i="1"/>
  <c r="A1326" i="1"/>
  <c r="C1325" i="1"/>
  <c r="A1325" i="1"/>
  <c r="C1324" i="1"/>
  <c r="A1324" i="1"/>
  <c r="C1323" i="1"/>
  <c r="A1323" i="1"/>
  <c r="C1322" i="1"/>
  <c r="A1322" i="1"/>
  <c r="C1321" i="1"/>
  <c r="A1321" i="1"/>
  <c r="C1320" i="1"/>
  <c r="A1320" i="1"/>
  <c r="C1319" i="1"/>
  <c r="A1319" i="1"/>
  <c r="C1318" i="1"/>
  <c r="A1318" i="1"/>
  <c r="C1317" i="1"/>
  <c r="A1317" i="1"/>
  <c r="C1316" i="1"/>
  <c r="A1316" i="1"/>
  <c r="C1315" i="1"/>
  <c r="A1315" i="1"/>
  <c r="C1314" i="1"/>
  <c r="A1314" i="1"/>
  <c r="C1313" i="1"/>
  <c r="A1313" i="1"/>
  <c r="C1312" i="1"/>
  <c r="A1312" i="1"/>
  <c r="C1311" i="1"/>
  <c r="A1311" i="1"/>
  <c r="C1310" i="1"/>
  <c r="A1310" i="1"/>
  <c r="C1309" i="1"/>
  <c r="A1309" i="1"/>
  <c r="C1308" i="1"/>
  <c r="A1308" i="1"/>
  <c r="C1307" i="1"/>
  <c r="A1307" i="1"/>
  <c r="C1306" i="1"/>
  <c r="A1306" i="1"/>
  <c r="C1305" i="1"/>
  <c r="A1305" i="1"/>
  <c r="C1304" i="1"/>
  <c r="A1304" i="1"/>
  <c r="C1303" i="1"/>
  <c r="A1303" i="1"/>
  <c r="C1302" i="1"/>
  <c r="A1302" i="1"/>
  <c r="C1301" i="1"/>
  <c r="A1301" i="1"/>
  <c r="C1300" i="1"/>
  <c r="A1300" i="1"/>
  <c r="C1299" i="1"/>
  <c r="A1299" i="1"/>
  <c r="C1298" i="1"/>
  <c r="A1298" i="1"/>
  <c r="C1297" i="1"/>
  <c r="A1297" i="1"/>
  <c r="C1296" i="1"/>
  <c r="A1296" i="1"/>
  <c r="C1295" i="1"/>
  <c r="A1295" i="1"/>
  <c r="C1294" i="1"/>
  <c r="A1294" i="1"/>
  <c r="C1293" i="1"/>
  <c r="A1293" i="1"/>
  <c r="C1292" i="1"/>
  <c r="A1292" i="1"/>
  <c r="C1291" i="1"/>
  <c r="A1291" i="1"/>
  <c r="C1290" i="1"/>
  <c r="A1290" i="1"/>
  <c r="C1289" i="1"/>
  <c r="A1289" i="1"/>
  <c r="C1288" i="1"/>
  <c r="A1288" i="1"/>
  <c r="C1287" i="1"/>
  <c r="A1287" i="1"/>
  <c r="C1286" i="1"/>
  <c r="A1286" i="1"/>
  <c r="C1285" i="1"/>
  <c r="A1285" i="1"/>
  <c r="C1284" i="1"/>
  <c r="A1284" i="1"/>
  <c r="C1283" i="1"/>
  <c r="A1283" i="1"/>
  <c r="C1282" i="1"/>
  <c r="A1282" i="1"/>
  <c r="C1281" i="1"/>
  <c r="A1281" i="1"/>
  <c r="C1280" i="1"/>
  <c r="A1280" i="1"/>
  <c r="C1279" i="1"/>
  <c r="A1279" i="1"/>
  <c r="C1278" i="1"/>
  <c r="A1278" i="1"/>
  <c r="C1277" i="1"/>
  <c r="A1277" i="1"/>
  <c r="C1276" i="1"/>
  <c r="A1276" i="1"/>
  <c r="C1275" i="1"/>
  <c r="A1275" i="1"/>
  <c r="C1274" i="1"/>
  <c r="A1274" i="1"/>
  <c r="C1273" i="1"/>
  <c r="A1273" i="1"/>
  <c r="C1272" i="1"/>
  <c r="A1272" i="1"/>
  <c r="C1271" i="1"/>
  <c r="A1271" i="1"/>
  <c r="C1270" i="1"/>
  <c r="A1270" i="1"/>
  <c r="C1269" i="1"/>
  <c r="A1269" i="1"/>
  <c r="C1268" i="1"/>
  <c r="A1268" i="1"/>
  <c r="C1267" i="1"/>
  <c r="A1267" i="1"/>
  <c r="C1266" i="1"/>
  <c r="A1266" i="1"/>
  <c r="C1265" i="1"/>
  <c r="A1265" i="1"/>
  <c r="C1264" i="1"/>
  <c r="A1264" i="1"/>
  <c r="C1263" i="1"/>
  <c r="A1263" i="1"/>
  <c r="C1262" i="1"/>
  <c r="A1262" i="1"/>
  <c r="C1261" i="1"/>
  <c r="A1261" i="1"/>
  <c r="C1260" i="1"/>
  <c r="A1260" i="1"/>
  <c r="C1259" i="1"/>
  <c r="A1259" i="1"/>
  <c r="C1258" i="1"/>
  <c r="A1258" i="1"/>
  <c r="C1257" i="1"/>
  <c r="A1257" i="1"/>
  <c r="C1256" i="1"/>
  <c r="A1256" i="1"/>
  <c r="C1255" i="1"/>
  <c r="A1255" i="1"/>
  <c r="C1254" i="1"/>
  <c r="A1254" i="1"/>
  <c r="C1253" i="1"/>
  <c r="A1253" i="1"/>
  <c r="C1252" i="1"/>
  <c r="A1252" i="1"/>
  <c r="C1251" i="1"/>
  <c r="A1251" i="1"/>
  <c r="C1250" i="1"/>
  <c r="A1250" i="1"/>
  <c r="C1249" i="1"/>
  <c r="A1249" i="1"/>
  <c r="C1248" i="1"/>
  <c r="A1248" i="1"/>
  <c r="C1247" i="1"/>
  <c r="A1247" i="1"/>
  <c r="C1246" i="1"/>
  <c r="A1246" i="1"/>
  <c r="C1245" i="1"/>
  <c r="A1245" i="1"/>
  <c r="C1244" i="1"/>
  <c r="A1244" i="1"/>
  <c r="C1243" i="1"/>
  <c r="A1243" i="1"/>
  <c r="C1242" i="1"/>
  <c r="A1242" i="1"/>
  <c r="C1241" i="1"/>
  <c r="A1241" i="1"/>
  <c r="C1240" i="1"/>
  <c r="A1240" i="1"/>
  <c r="C1239" i="1"/>
  <c r="A1239" i="1"/>
  <c r="C1238" i="1"/>
  <c r="A1238" i="1"/>
  <c r="C1237" i="1"/>
  <c r="A1237" i="1"/>
  <c r="C1236" i="1"/>
  <c r="A1236" i="1"/>
  <c r="C1235" i="1"/>
  <c r="A1235" i="1"/>
  <c r="C1234" i="1"/>
  <c r="A1234" i="1"/>
  <c r="C1233" i="1"/>
  <c r="A1233" i="1"/>
  <c r="C1232" i="1"/>
  <c r="A1232" i="1"/>
  <c r="C1231" i="1"/>
  <c r="A1231" i="1"/>
  <c r="C1230" i="1"/>
  <c r="A1230" i="1"/>
  <c r="C1229" i="1"/>
  <c r="A1229" i="1"/>
  <c r="C1228" i="1"/>
  <c r="A1228" i="1"/>
  <c r="C1227" i="1"/>
  <c r="A1227" i="1"/>
  <c r="C1226" i="1"/>
  <c r="A1226" i="1"/>
  <c r="C1225" i="1"/>
  <c r="A1225" i="1"/>
  <c r="C1224" i="1"/>
  <c r="A1224" i="1"/>
  <c r="C1223" i="1"/>
  <c r="A1223" i="1"/>
  <c r="C1222" i="1"/>
  <c r="A1222" i="1"/>
  <c r="C1221" i="1"/>
  <c r="A1221" i="1"/>
  <c r="C1220" i="1"/>
  <c r="A1220" i="1"/>
  <c r="C1219" i="1"/>
  <c r="A1219" i="1"/>
  <c r="C1218" i="1"/>
  <c r="A1218" i="1"/>
  <c r="C1217" i="1"/>
  <c r="A1217" i="1"/>
  <c r="C1216" i="1"/>
  <c r="A1216" i="1"/>
  <c r="C1215" i="1"/>
  <c r="A1215" i="1"/>
  <c r="C1214" i="1"/>
  <c r="A1214" i="1"/>
  <c r="C1213" i="1"/>
  <c r="A1213" i="1"/>
  <c r="C1212" i="1"/>
  <c r="A1212" i="1"/>
  <c r="C1211" i="1"/>
  <c r="A1211" i="1"/>
  <c r="C1210" i="1"/>
  <c r="A1210" i="1"/>
  <c r="C1209" i="1"/>
  <c r="A1209" i="1"/>
  <c r="C1208" i="1"/>
  <c r="A1208" i="1"/>
  <c r="C1207" i="1"/>
  <c r="A1207" i="1"/>
  <c r="C1206" i="1"/>
  <c r="A1206" i="1"/>
  <c r="C1205" i="1"/>
  <c r="A1205" i="1"/>
  <c r="C1204" i="1"/>
  <c r="A1204" i="1"/>
  <c r="C1203" i="1"/>
  <c r="A1203" i="1"/>
  <c r="C1202" i="1"/>
  <c r="A1202" i="1"/>
  <c r="C1201" i="1"/>
  <c r="A1201" i="1"/>
  <c r="C1200" i="1"/>
  <c r="A1200" i="1"/>
  <c r="C1199" i="1"/>
  <c r="A1199" i="1"/>
  <c r="C1198" i="1"/>
  <c r="A1198" i="1"/>
  <c r="C1197" i="1"/>
  <c r="A1197" i="1"/>
  <c r="C1196" i="1"/>
  <c r="A1196" i="1"/>
  <c r="C1195" i="1"/>
  <c r="A1195" i="1"/>
  <c r="C1194" i="1"/>
  <c r="A1194" i="1"/>
  <c r="C1193" i="1"/>
  <c r="A1193" i="1"/>
  <c r="C1192" i="1"/>
  <c r="A1192" i="1"/>
  <c r="C1191" i="1"/>
  <c r="A1191" i="1"/>
  <c r="C1190" i="1"/>
  <c r="A1190" i="1"/>
  <c r="C1189" i="1"/>
  <c r="A1189" i="1"/>
  <c r="C1188" i="1"/>
  <c r="A1188" i="1"/>
  <c r="C1187" i="1"/>
  <c r="A1187" i="1"/>
  <c r="C1186" i="1"/>
  <c r="A1186" i="1"/>
  <c r="C1185" i="1"/>
  <c r="A1185" i="1"/>
  <c r="C1184" i="1"/>
  <c r="A1184" i="1"/>
  <c r="C1183" i="1"/>
  <c r="A1183" i="1"/>
  <c r="C1182" i="1"/>
  <c r="A1182" i="1"/>
  <c r="C1181" i="1"/>
  <c r="A1181" i="1"/>
  <c r="C1180" i="1"/>
  <c r="A1180" i="1"/>
  <c r="C1179" i="1"/>
  <c r="A1179" i="1"/>
  <c r="C1178" i="1"/>
  <c r="A1178" i="1"/>
  <c r="C1177" i="1"/>
  <c r="A1177" i="1"/>
  <c r="C1176" i="1"/>
  <c r="A1176" i="1"/>
  <c r="C1175" i="1"/>
  <c r="A1175" i="1"/>
  <c r="C1174" i="1"/>
  <c r="A1174" i="1"/>
  <c r="C1173" i="1"/>
  <c r="A1173" i="1"/>
  <c r="C1172" i="1"/>
  <c r="A1172" i="1"/>
  <c r="C1171" i="1"/>
  <c r="A1171" i="1"/>
  <c r="C1170" i="1"/>
  <c r="A1170" i="1"/>
  <c r="C1169" i="1"/>
  <c r="A1169" i="1"/>
  <c r="C1168" i="1"/>
  <c r="A1168" i="1"/>
  <c r="C1167" i="1"/>
  <c r="A1167" i="1"/>
  <c r="C1166" i="1"/>
  <c r="A1166" i="1"/>
  <c r="C1165" i="1"/>
  <c r="A1165" i="1"/>
  <c r="C1164" i="1"/>
  <c r="A1164" i="1"/>
  <c r="C1163" i="1"/>
  <c r="A1163" i="1"/>
  <c r="C1162" i="1"/>
  <c r="A1162" i="1"/>
  <c r="C1161" i="1"/>
  <c r="A1161" i="1"/>
  <c r="C1160" i="1"/>
  <c r="A1160" i="1"/>
  <c r="C1159" i="1"/>
  <c r="A1159" i="1"/>
  <c r="C1158" i="1"/>
  <c r="A1158" i="1"/>
  <c r="C1157" i="1"/>
  <c r="A1157" i="1"/>
  <c r="C1156" i="1"/>
  <c r="A1156" i="1"/>
  <c r="C1155" i="1"/>
  <c r="A1155" i="1"/>
  <c r="C1154" i="1"/>
  <c r="A1154" i="1"/>
  <c r="C1153" i="1"/>
  <c r="A1153" i="1"/>
  <c r="C1152" i="1"/>
  <c r="A1152" i="1"/>
  <c r="C1151" i="1"/>
  <c r="A1151" i="1"/>
  <c r="C1150" i="1"/>
  <c r="A1150" i="1"/>
  <c r="C1149" i="1"/>
  <c r="A1149" i="1"/>
  <c r="C1148" i="1"/>
  <c r="A1148" i="1"/>
  <c r="C1147" i="1"/>
  <c r="A1147" i="1"/>
  <c r="C1146" i="1"/>
  <c r="A1146" i="1"/>
  <c r="C1145" i="1"/>
  <c r="A1145" i="1"/>
  <c r="C1144" i="1"/>
  <c r="A1144" i="1"/>
  <c r="C1143" i="1"/>
  <c r="A1143" i="1"/>
  <c r="C1142" i="1"/>
  <c r="A1142" i="1"/>
  <c r="C1141" i="1"/>
  <c r="A1141" i="1"/>
  <c r="C1140" i="1"/>
  <c r="A1140" i="1"/>
  <c r="C1139" i="1"/>
  <c r="A1139" i="1"/>
  <c r="C1138" i="1"/>
  <c r="A1138" i="1"/>
  <c r="C1137" i="1"/>
  <c r="A1137" i="1"/>
  <c r="C1136" i="1"/>
  <c r="A1136" i="1"/>
  <c r="C1135" i="1"/>
  <c r="A1135" i="1"/>
  <c r="C1134" i="1"/>
  <c r="A1134" i="1"/>
  <c r="C1133" i="1"/>
  <c r="A1133" i="1"/>
  <c r="C1132" i="1"/>
  <c r="A1132" i="1"/>
  <c r="C1131" i="1"/>
  <c r="A1131" i="1"/>
  <c r="C1130" i="1"/>
  <c r="A1130" i="1"/>
  <c r="C1129" i="1"/>
  <c r="A1129" i="1"/>
  <c r="C1128" i="1"/>
  <c r="A1128" i="1"/>
  <c r="C1127" i="1"/>
  <c r="A1127" i="1"/>
  <c r="C1126" i="1"/>
  <c r="A1126" i="1"/>
  <c r="C1125" i="1"/>
  <c r="A1125" i="1"/>
  <c r="C1124" i="1"/>
  <c r="A1124" i="1"/>
  <c r="C1123" i="1"/>
  <c r="A1123" i="1"/>
  <c r="C1122" i="1"/>
  <c r="A1122" i="1"/>
  <c r="C1121" i="1"/>
  <c r="A1121" i="1"/>
  <c r="C1120" i="1"/>
  <c r="A1120" i="1"/>
  <c r="C1119" i="1"/>
  <c r="A1119" i="1"/>
  <c r="C1118" i="1"/>
  <c r="A1118" i="1"/>
  <c r="C1117" i="1"/>
  <c r="A1117" i="1"/>
  <c r="C1116" i="1"/>
  <c r="A1116" i="1"/>
  <c r="C1115" i="1"/>
  <c r="A1115" i="1"/>
  <c r="C1114" i="1"/>
  <c r="A1114" i="1"/>
  <c r="C1113" i="1"/>
  <c r="A1113" i="1"/>
  <c r="C1112" i="1"/>
  <c r="A1112" i="1"/>
  <c r="C1111" i="1"/>
  <c r="A1111" i="1"/>
  <c r="C1110" i="1"/>
  <c r="A1110" i="1"/>
  <c r="C1109" i="1"/>
  <c r="A1109" i="1"/>
  <c r="C1108" i="1"/>
  <c r="A1108" i="1"/>
  <c r="C1107" i="1"/>
  <c r="A1107" i="1"/>
  <c r="C1106" i="1"/>
  <c r="A1106" i="1"/>
  <c r="C1105" i="1"/>
  <c r="A1105" i="1"/>
  <c r="C1104" i="1"/>
  <c r="A1104" i="1"/>
  <c r="C1103" i="1"/>
  <c r="A1103" i="1"/>
  <c r="C1102" i="1"/>
  <c r="A1102" i="1"/>
  <c r="C1101" i="1"/>
  <c r="A1101" i="1"/>
  <c r="C1100" i="1"/>
  <c r="A1100" i="1"/>
  <c r="C1099" i="1"/>
  <c r="A1099" i="1"/>
  <c r="C1098" i="1"/>
  <c r="A1098" i="1"/>
  <c r="C1097" i="1"/>
  <c r="A1097" i="1"/>
  <c r="C1096" i="1"/>
  <c r="A1096" i="1"/>
  <c r="C1095" i="1"/>
  <c r="A1095" i="1"/>
  <c r="C1094" i="1"/>
  <c r="A1094" i="1"/>
  <c r="C1093" i="1"/>
  <c r="A1093" i="1"/>
  <c r="C1092" i="1"/>
  <c r="A1092" i="1"/>
  <c r="C1091" i="1"/>
  <c r="A1091" i="1"/>
  <c r="C1090" i="1"/>
  <c r="A1090" i="1"/>
  <c r="C1089" i="1"/>
  <c r="A1089" i="1"/>
  <c r="C1088" i="1"/>
  <c r="A1088" i="1"/>
  <c r="C1087" i="1"/>
  <c r="A1087" i="1"/>
  <c r="C1086" i="1"/>
  <c r="A1086" i="1"/>
  <c r="C1085" i="1"/>
  <c r="A1085" i="1"/>
  <c r="C1084" i="1"/>
  <c r="A1084" i="1"/>
  <c r="C1083" i="1"/>
  <c r="A1083" i="1"/>
  <c r="C1082" i="1"/>
  <c r="A1082" i="1"/>
  <c r="C1081" i="1"/>
  <c r="A1081" i="1"/>
  <c r="C1080" i="1"/>
  <c r="A1080" i="1"/>
  <c r="C1079" i="1"/>
  <c r="A1079" i="1"/>
  <c r="C1078" i="1"/>
  <c r="A1078" i="1"/>
  <c r="C1077" i="1"/>
  <c r="A1077" i="1"/>
  <c r="C1076" i="1"/>
  <c r="A1076" i="1"/>
  <c r="C1075" i="1"/>
  <c r="A1075" i="1"/>
  <c r="C1074" i="1"/>
  <c r="A1074" i="1"/>
  <c r="C1073" i="1"/>
  <c r="A1073" i="1"/>
  <c r="C1072" i="1"/>
  <c r="A1072" i="1"/>
  <c r="C1071" i="1"/>
  <c r="A1071" i="1"/>
  <c r="C1070" i="1"/>
  <c r="A1070" i="1"/>
  <c r="C1069" i="1"/>
  <c r="A1069" i="1"/>
  <c r="C1068" i="1"/>
  <c r="A1068" i="1"/>
  <c r="C1067" i="1"/>
  <c r="A1067" i="1"/>
  <c r="C1066" i="1"/>
  <c r="A1066" i="1"/>
  <c r="C1065" i="1"/>
  <c r="A1065" i="1"/>
  <c r="C1064" i="1"/>
  <c r="A1064" i="1"/>
  <c r="C1063" i="1"/>
  <c r="A1063" i="1"/>
  <c r="C1062" i="1"/>
  <c r="A1062" i="1"/>
  <c r="C1061" i="1"/>
  <c r="A1061" i="1"/>
  <c r="C1060" i="1"/>
  <c r="A1060" i="1"/>
  <c r="C1059" i="1"/>
  <c r="A1059" i="1"/>
  <c r="C1058" i="1"/>
  <c r="A1058" i="1"/>
  <c r="C1057" i="1"/>
  <c r="A1057" i="1"/>
  <c r="C1056" i="1"/>
  <c r="A1056" i="1"/>
  <c r="C1055" i="1"/>
  <c r="A1055" i="1"/>
  <c r="C1054" i="1"/>
  <c r="A1054" i="1"/>
  <c r="C1053" i="1"/>
  <c r="A1053" i="1"/>
  <c r="C1052" i="1"/>
  <c r="A1052" i="1"/>
  <c r="C1051" i="1"/>
  <c r="A1051" i="1"/>
  <c r="C1050" i="1"/>
  <c r="A1050" i="1"/>
  <c r="C1049" i="1"/>
  <c r="A1049" i="1"/>
  <c r="C1048" i="1"/>
  <c r="A1048" i="1"/>
  <c r="C1047" i="1"/>
  <c r="A1047" i="1"/>
  <c r="C1046" i="1"/>
  <c r="A1046" i="1"/>
  <c r="C1045" i="1"/>
  <c r="A1045" i="1"/>
  <c r="C1044" i="1"/>
  <c r="A1044" i="1"/>
  <c r="C1043" i="1"/>
  <c r="A1043" i="1"/>
  <c r="C1042" i="1"/>
  <c r="A1042" i="1"/>
  <c r="C1041" i="1"/>
  <c r="A1041" i="1"/>
  <c r="C1040" i="1"/>
  <c r="A1040" i="1"/>
  <c r="C1039" i="1"/>
  <c r="A1039" i="1"/>
  <c r="C1038" i="1"/>
  <c r="A1038" i="1"/>
  <c r="C1037" i="1"/>
  <c r="A1037" i="1"/>
  <c r="C1036" i="1"/>
  <c r="A1036" i="1"/>
  <c r="C1035" i="1"/>
  <c r="A1035" i="1"/>
  <c r="C1034" i="1"/>
  <c r="A1034" i="1"/>
  <c r="C1033" i="1"/>
  <c r="A1033" i="1"/>
  <c r="C1032" i="1"/>
  <c r="A1032" i="1"/>
  <c r="C1031" i="1"/>
  <c r="A1031" i="1"/>
  <c r="C1030" i="1"/>
  <c r="A1030" i="1"/>
  <c r="C1029" i="1"/>
  <c r="A1029" i="1"/>
  <c r="C1028" i="1"/>
  <c r="A1028" i="1"/>
  <c r="C1027" i="1"/>
  <c r="A1027" i="1"/>
  <c r="C1026" i="1"/>
  <c r="A1026" i="1"/>
  <c r="C1025" i="1"/>
  <c r="A1025" i="1"/>
  <c r="C1024" i="1"/>
  <c r="A1024" i="1"/>
  <c r="C1023" i="1"/>
  <c r="A1023" i="1"/>
  <c r="C1022" i="1"/>
  <c r="A1022" i="1"/>
  <c r="C1021" i="1"/>
  <c r="A1021" i="1"/>
  <c r="C1020" i="1"/>
  <c r="A1020" i="1"/>
  <c r="C1019" i="1"/>
  <c r="A1019" i="1"/>
  <c r="C1018" i="1"/>
  <c r="A1018" i="1"/>
  <c r="C1017" i="1"/>
  <c r="A1017" i="1"/>
  <c r="C1016" i="1"/>
  <c r="A1016" i="1"/>
  <c r="C1015" i="1"/>
  <c r="A1015" i="1"/>
  <c r="C1014" i="1"/>
  <c r="A1014" i="1"/>
  <c r="C1013" i="1"/>
  <c r="A1013" i="1"/>
  <c r="C1012" i="1"/>
  <c r="A1012" i="1"/>
  <c r="C1011" i="1"/>
  <c r="A1011" i="1"/>
  <c r="C1010" i="1"/>
  <c r="A1010" i="1"/>
  <c r="C1009" i="1"/>
  <c r="A1009" i="1"/>
  <c r="C1008" i="1"/>
  <c r="A1008" i="1"/>
  <c r="C1007" i="1"/>
  <c r="A1007" i="1"/>
  <c r="C1006" i="1"/>
  <c r="A1006" i="1"/>
  <c r="C1005" i="1"/>
  <c r="A1005" i="1"/>
  <c r="C1004" i="1"/>
  <c r="A1004" i="1"/>
  <c r="C1003" i="1"/>
  <c r="A1003" i="1"/>
  <c r="C1002" i="1"/>
  <c r="A1002" i="1"/>
  <c r="C1001" i="1"/>
  <c r="A1001" i="1"/>
  <c r="C1000" i="1"/>
  <c r="A1000" i="1"/>
  <c r="C999" i="1"/>
  <c r="A999" i="1"/>
  <c r="C998" i="1"/>
  <c r="A998" i="1"/>
  <c r="C997" i="1"/>
  <c r="A997" i="1"/>
  <c r="C996" i="1"/>
  <c r="A996" i="1"/>
  <c r="C995" i="1"/>
  <c r="A995" i="1"/>
  <c r="C994" i="1"/>
  <c r="A994" i="1"/>
  <c r="C993" i="1"/>
  <c r="A993" i="1"/>
  <c r="C992" i="1"/>
  <c r="A992" i="1"/>
  <c r="C991" i="1"/>
  <c r="A991" i="1"/>
  <c r="C990" i="1"/>
  <c r="A990" i="1"/>
  <c r="C989" i="1"/>
  <c r="A989" i="1"/>
  <c r="C988" i="1"/>
  <c r="A988" i="1"/>
  <c r="C987" i="1"/>
  <c r="A987" i="1"/>
  <c r="C986" i="1"/>
  <c r="A986" i="1"/>
  <c r="C985" i="1"/>
  <c r="A985" i="1"/>
  <c r="C984" i="1"/>
  <c r="A984" i="1"/>
  <c r="C983" i="1"/>
  <c r="A983" i="1"/>
  <c r="C982" i="1"/>
  <c r="A982" i="1"/>
  <c r="C981" i="1"/>
  <c r="A981" i="1"/>
  <c r="C980" i="1"/>
  <c r="A980" i="1"/>
  <c r="C979" i="1"/>
  <c r="A979" i="1"/>
  <c r="C978" i="1"/>
  <c r="A978" i="1"/>
  <c r="C977" i="1"/>
  <c r="A977" i="1"/>
  <c r="C976" i="1"/>
  <c r="A976" i="1"/>
  <c r="C975" i="1"/>
  <c r="A975" i="1"/>
  <c r="C974" i="1"/>
  <c r="A974" i="1"/>
  <c r="C973" i="1"/>
  <c r="A973" i="1"/>
  <c r="C972" i="1"/>
  <c r="A972" i="1"/>
  <c r="C971" i="1"/>
  <c r="A971" i="1"/>
  <c r="C970" i="1"/>
  <c r="A970" i="1"/>
  <c r="C969" i="1"/>
  <c r="A969" i="1"/>
  <c r="C968" i="1"/>
  <c r="A968" i="1"/>
  <c r="C967" i="1"/>
  <c r="A967" i="1"/>
  <c r="C966" i="1"/>
  <c r="A966" i="1"/>
  <c r="C965" i="1"/>
  <c r="A965" i="1"/>
  <c r="C964" i="1"/>
  <c r="A964" i="1"/>
  <c r="C963" i="1"/>
  <c r="A963" i="1"/>
  <c r="C962" i="1"/>
  <c r="A962" i="1"/>
  <c r="C961" i="1"/>
  <c r="A961" i="1"/>
  <c r="C960" i="1"/>
  <c r="A960" i="1"/>
  <c r="C959" i="1"/>
  <c r="A959" i="1"/>
  <c r="C958" i="1"/>
  <c r="A958" i="1"/>
  <c r="C957" i="1"/>
  <c r="A957" i="1"/>
  <c r="C956" i="1"/>
  <c r="A956" i="1"/>
  <c r="C955" i="1"/>
  <c r="A955" i="1"/>
  <c r="C954" i="1"/>
  <c r="A954" i="1"/>
  <c r="C953" i="1"/>
  <c r="A953" i="1"/>
  <c r="C952" i="1"/>
  <c r="A952" i="1"/>
  <c r="C951" i="1"/>
  <c r="A951" i="1"/>
  <c r="C950" i="1"/>
  <c r="A950" i="1"/>
  <c r="C949" i="1"/>
  <c r="A949" i="1"/>
  <c r="C948" i="1"/>
  <c r="A948" i="1"/>
  <c r="C947" i="1"/>
  <c r="A947" i="1"/>
  <c r="C946" i="1"/>
  <c r="A946" i="1"/>
  <c r="C945" i="1"/>
  <c r="A945" i="1"/>
  <c r="C944" i="1"/>
  <c r="A944" i="1"/>
  <c r="C943" i="1"/>
  <c r="A943" i="1"/>
  <c r="C942" i="1"/>
  <c r="A942" i="1"/>
  <c r="C941" i="1"/>
  <c r="A941" i="1"/>
  <c r="C940" i="1"/>
  <c r="A940" i="1"/>
  <c r="C939" i="1"/>
  <c r="A939" i="1"/>
  <c r="C938" i="1"/>
  <c r="A938" i="1"/>
  <c r="C937" i="1"/>
  <c r="A937" i="1"/>
  <c r="C936" i="1"/>
  <c r="A936" i="1"/>
  <c r="C935" i="1"/>
  <c r="A935" i="1"/>
  <c r="C934" i="1"/>
  <c r="A934" i="1"/>
  <c r="C933" i="1"/>
  <c r="A933" i="1"/>
  <c r="C932" i="1"/>
  <c r="A932" i="1"/>
  <c r="C931" i="1"/>
  <c r="A931" i="1"/>
  <c r="C930" i="1"/>
  <c r="A930" i="1"/>
  <c r="C929" i="1"/>
  <c r="A929" i="1"/>
  <c r="C928" i="1"/>
  <c r="A928" i="1"/>
  <c r="C927" i="1"/>
  <c r="A927" i="1"/>
  <c r="C926" i="1"/>
  <c r="A926" i="1"/>
  <c r="C925" i="1"/>
  <c r="A925" i="1"/>
  <c r="C924" i="1"/>
  <c r="A924" i="1"/>
  <c r="C923" i="1"/>
  <c r="A923" i="1"/>
  <c r="C922" i="1"/>
  <c r="A922" i="1"/>
  <c r="C921" i="1"/>
  <c r="A921" i="1"/>
  <c r="C920" i="1"/>
  <c r="A920" i="1"/>
  <c r="C919" i="1"/>
  <c r="A919" i="1"/>
  <c r="C918" i="1"/>
  <c r="A918" i="1"/>
  <c r="C917" i="1"/>
  <c r="A917" i="1"/>
  <c r="C916" i="1"/>
  <c r="A916" i="1"/>
  <c r="C915" i="1"/>
  <c r="A915" i="1"/>
  <c r="C914" i="1"/>
  <c r="A914" i="1"/>
  <c r="C913" i="1"/>
  <c r="A913" i="1"/>
  <c r="C912" i="1"/>
  <c r="A912" i="1"/>
  <c r="C911" i="1"/>
  <c r="A911" i="1"/>
  <c r="C910" i="1"/>
  <c r="A910" i="1"/>
  <c r="C909" i="1"/>
  <c r="A909" i="1"/>
  <c r="C908" i="1"/>
  <c r="A908" i="1"/>
  <c r="C907" i="1"/>
  <c r="A907" i="1"/>
  <c r="C906" i="1"/>
  <c r="A906" i="1"/>
  <c r="C905" i="1"/>
  <c r="A905" i="1"/>
  <c r="C904" i="1"/>
  <c r="A904" i="1"/>
  <c r="C903" i="1"/>
  <c r="A903" i="1"/>
  <c r="C902" i="1"/>
  <c r="A902" i="1"/>
  <c r="C901" i="1"/>
  <c r="A901" i="1"/>
  <c r="C900" i="1"/>
  <c r="A900" i="1"/>
  <c r="C899" i="1"/>
  <c r="A899" i="1"/>
  <c r="C898" i="1"/>
  <c r="A898" i="1"/>
  <c r="C897" i="1"/>
  <c r="A897" i="1"/>
  <c r="C896" i="1"/>
  <c r="A896" i="1"/>
  <c r="C895" i="1"/>
  <c r="A895" i="1"/>
  <c r="C894" i="1"/>
  <c r="A894" i="1"/>
  <c r="C893" i="1"/>
  <c r="A893" i="1"/>
  <c r="C892" i="1"/>
  <c r="A892" i="1"/>
  <c r="C891" i="1"/>
  <c r="A891" i="1"/>
  <c r="C890" i="1"/>
  <c r="A890" i="1"/>
  <c r="C889" i="1"/>
  <c r="A889" i="1"/>
  <c r="C888" i="1"/>
  <c r="A888" i="1"/>
  <c r="C887" i="1"/>
  <c r="A887" i="1"/>
  <c r="C886" i="1"/>
  <c r="A886" i="1"/>
  <c r="C885" i="1"/>
  <c r="A885" i="1"/>
  <c r="C884" i="1"/>
  <c r="A884" i="1"/>
  <c r="C883" i="1"/>
  <c r="A883" i="1"/>
  <c r="C882" i="1"/>
  <c r="A882" i="1"/>
  <c r="C881" i="1"/>
  <c r="A881" i="1"/>
  <c r="C880" i="1"/>
  <c r="A880" i="1"/>
  <c r="C879" i="1"/>
  <c r="A879" i="1"/>
  <c r="C878" i="1"/>
  <c r="A878" i="1"/>
  <c r="C877" i="1"/>
  <c r="A877" i="1"/>
  <c r="C876" i="1"/>
  <c r="A876" i="1"/>
  <c r="C875" i="1"/>
  <c r="A875" i="1"/>
  <c r="C874" i="1"/>
  <c r="A874" i="1"/>
  <c r="C873" i="1"/>
  <c r="A873" i="1"/>
  <c r="C872" i="1"/>
  <c r="A872" i="1"/>
  <c r="C871" i="1"/>
  <c r="A871" i="1"/>
  <c r="C870" i="1"/>
  <c r="A870" i="1"/>
  <c r="C869" i="1"/>
  <c r="A869" i="1"/>
  <c r="C868" i="1"/>
  <c r="A868" i="1"/>
  <c r="C867" i="1"/>
  <c r="A867" i="1"/>
  <c r="C866" i="1"/>
  <c r="A866" i="1"/>
  <c r="C865" i="1"/>
  <c r="A865" i="1"/>
  <c r="C864" i="1"/>
  <c r="A864" i="1"/>
  <c r="C863" i="1"/>
  <c r="A863" i="1"/>
  <c r="C862" i="1"/>
  <c r="A862" i="1"/>
  <c r="C861" i="1"/>
  <c r="A861" i="1"/>
  <c r="C860" i="1"/>
  <c r="A860" i="1"/>
  <c r="C859" i="1"/>
  <c r="A859" i="1"/>
  <c r="C858" i="1"/>
  <c r="A858" i="1"/>
  <c r="C857" i="1"/>
  <c r="A857" i="1"/>
  <c r="C856" i="1"/>
  <c r="A856" i="1"/>
  <c r="C855" i="1"/>
  <c r="A855" i="1"/>
  <c r="C854" i="1"/>
  <c r="A854" i="1"/>
  <c r="C853" i="1"/>
  <c r="A853" i="1"/>
  <c r="C852" i="1"/>
  <c r="A852" i="1"/>
  <c r="C851" i="1"/>
  <c r="A851" i="1"/>
  <c r="C850" i="1"/>
  <c r="A850" i="1"/>
  <c r="C849" i="1"/>
  <c r="A849" i="1"/>
  <c r="C848" i="1"/>
  <c r="A848" i="1"/>
  <c r="C847" i="1"/>
  <c r="A847" i="1"/>
  <c r="C846" i="1"/>
  <c r="A846" i="1"/>
  <c r="C845" i="1"/>
  <c r="A845" i="1"/>
  <c r="C844" i="1"/>
  <c r="A844" i="1"/>
  <c r="C843" i="1"/>
  <c r="A843" i="1"/>
  <c r="C842" i="1"/>
  <c r="A842" i="1"/>
  <c r="C841" i="1"/>
  <c r="A841" i="1"/>
  <c r="C840" i="1"/>
  <c r="A840" i="1"/>
  <c r="C839" i="1"/>
  <c r="A839" i="1"/>
  <c r="C838" i="1"/>
  <c r="A838" i="1"/>
  <c r="C837" i="1"/>
  <c r="A837" i="1"/>
  <c r="C836" i="1"/>
  <c r="A836" i="1"/>
  <c r="C835" i="1"/>
  <c r="A835" i="1"/>
  <c r="C834" i="1"/>
  <c r="A834" i="1"/>
  <c r="C833" i="1"/>
  <c r="A833" i="1"/>
  <c r="C832" i="1"/>
  <c r="A832" i="1"/>
  <c r="C831" i="1"/>
  <c r="A831" i="1"/>
  <c r="C830" i="1"/>
  <c r="A830" i="1"/>
  <c r="C829" i="1"/>
  <c r="A829" i="1"/>
  <c r="C828" i="1"/>
  <c r="A828" i="1"/>
  <c r="C827" i="1"/>
  <c r="A827" i="1"/>
  <c r="C826" i="1"/>
  <c r="A826" i="1"/>
  <c r="C825" i="1"/>
  <c r="A825" i="1"/>
  <c r="C824" i="1"/>
  <c r="A824" i="1"/>
  <c r="C823" i="1"/>
  <c r="A823" i="1"/>
  <c r="C822" i="1"/>
  <c r="A822" i="1"/>
  <c r="C821" i="1"/>
  <c r="A821" i="1"/>
  <c r="C820" i="1"/>
  <c r="A820" i="1"/>
  <c r="C819" i="1"/>
  <c r="A819" i="1"/>
  <c r="C818" i="1"/>
  <c r="A818" i="1"/>
  <c r="C817" i="1"/>
  <c r="A817" i="1"/>
  <c r="C816" i="1"/>
  <c r="A816" i="1"/>
  <c r="C815" i="1"/>
  <c r="A815" i="1"/>
  <c r="C814" i="1"/>
  <c r="A814" i="1"/>
  <c r="C813" i="1"/>
  <c r="A813" i="1"/>
  <c r="C812" i="1"/>
  <c r="A812" i="1"/>
  <c r="C811" i="1"/>
  <c r="A811" i="1"/>
  <c r="C810" i="1"/>
  <c r="A810" i="1"/>
  <c r="C809" i="1"/>
  <c r="A809" i="1"/>
  <c r="C808" i="1"/>
  <c r="A808" i="1"/>
  <c r="C807" i="1"/>
  <c r="A807" i="1"/>
  <c r="C806" i="1"/>
  <c r="A806" i="1"/>
  <c r="C805" i="1"/>
  <c r="A805" i="1"/>
  <c r="C804" i="1"/>
  <c r="A804" i="1"/>
  <c r="C803" i="1"/>
  <c r="A803" i="1"/>
  <c r="C802" i="1"/>
  <c r="A802" i="1"/>
  <c r="C801" i="1"/>
  <c r="A801" i="1"/>
  <c r="C800" i="1"/>
  <c r="A800" i="1"/>
  <c r="C799" i="1"/>
  <c r="A799" i="1"/>
  <c r="C798" i="1"/>
  <c r="A798" i="1"/>
  <c r="C797" i="1"/>
  <c r="A797" i="1"/>
  <c r="C796" i="1"/>
  <c r="A796" i="1"/>
  <c r="C795" i="1"/>
  <c r="A795" i="1"/>
  <c r="C794" i="1"/>
  <c r="A794" i="1"/>
  <c r="C793" i="1"/>
  <c r="A793" i="1"/>
  <c r="C792" i="1"/>
  <c r="A792" i="1"/>
  <c r="C791" i="1"/>
  <c r="A791" i="1"/>
  <c r="C790" i="1"/>
  <c r="A790" i="1"/>
  <c r="C789" i="1"/>
  <c r="A789" i="1"/>
  <c r="C788" i="1"/>
  <c r="A788" i="1"/>
  <c r="C787" i="1"/>
  <c r="A787" i="1"/>
  <c r="C786" i="1"/>
  <c r="A786" i="1"/>
  <c r="C785" i="1"/>
  <c r="A785" i="1"/>
  <c r="C784" i="1"/>
  <c r="A784" i="1"/>
  <c r="C783" i="1"/>
  <c r="A783" i="1"/>
  <c r="C782" i="1"/>
  <c r="A782" i="1"/>
  <c r="C781" i="1"/>
  <c r="A781" i="1"/>
  <c r="C780" i="1"/>
  <c r="A780" i="1"/>
  <c r="C779" i="1"/>
  <c r="A779" i="1"/>
  <c r="C778" i="1"/>
  <c r="A778" i="1"/>
  <c r="C777" i="1"/>
  <c r="A777" i="1"/>
  <c r="C776" i="1"/>
  <c r="A776" i="1"/>
  <c r="C775" i="1"/>
  <c r="A775" i="1"/>
  <c r="C774" i="1"/>
  <c r="A774" i="1"/>
  <c r="C773" i="1"/>
  <c r="A773" i="1"/>
  <c r="C772" i="1"/>
  <c r="A772" i="1"/>
  <c r="C771" i="1"/>
  <c r="A771" i="1"/>
  <c r="C770" i="1"/>
  <c r="A770" i="1"/>
  <c r="C769" i="1"/>
  <c r="A769" i="1"/>
  <c r="C768" i="1"/>
  <c r="A768" i="1"/>
  <c r="C767" i="1"/>
  <c r="A767" i="1"/>
  <c r="C766" i="1"/>
  <c r="A766" i="1"/>
  <c r="C765" i="1"/>
  <c r="A765" i="1"/>
  <c r="C764" i="1"/>
  <c r="A764" i="1"/>
  <c r="C763" i="1"/>
  <c r="A763" i="1"/>
  <c r="C762" i="1"/>
  <c r="A762" i="1"/>
  <c r="C761" i="1"/>
  <c r="A761" i="1"/>
  <c r="C760" i="1"/>
  <c r="A760" i="1"/>
  <c r="C759" i="1"/>
  <c r="A759" i="1"/>
  <c r="C758" i="1"/>
  <c r="A758" i="1"/>
  <c r="C757" i="1"/>
  <c r="A757" i="1"/>
  <c r="C756" i="1"/>
  <c r="A756" i="1"/>
  <c r="C755" i="1"/>
  <c r="A755" i="1"/>
  <c r="C754" i="1"/>
  <c r="A754" i="1"/>
  <c r="C753" i="1"/>
  <c r="A753" i="1"/>
  <c r="C752" i="1"/>
  <c r="A752" i="1"/>
  <c r="C751" i="1"/>
  <c r="A751" i="1"/>
  <c r="C750" i="1"/>
  <c r="A750" i="1"/>
  <c r="C749" i="1"/>
  <c r="A749" i="1"/>
  <c r="C748" i="1"/>
  <c r="A748" i="1"/>
  <c r="C747" i="1"/>
  <c r="A747" i="1"/>
  <c r="C746" i="1"/>
  <c r="A746" i="1"/>
  <c r="C745" i="1"/>
  <c r="A745" i="1"/>
  <c r="C744" i="1"/>
  <c r="A744" i="1"/>
  <c r="C743" i="1"/>
  <c r="A743" i="1"/>
  <c r="C742" i="1"/>
  <c r="A742" i="1"/>
  <c r="C741" i="1"/>
  <c r="A741" i="1"/>
  <c r="C740" i="1"/>
  <c r="A740" i="1"/>
  <c r="C739" i="1"/>
  <c r="A739" i="1"/>
  <c r="C738" i="1"/>
  <c r="A738" i="1"/>
  <c r="C737" i="1"/>
  <c r="A737" i="1"/>
  <c r="C736" i="1"/>
  <c r="A736" i="1"/>
  <c r="C735" i="1"/>
  <c r="A735" i="1"/>
  <c r="C734" i="1"/>
  <c r="A734" i="1"/>
  <c r="C733" i="1"/>
  <c r="A733" i="1"/>
  <c r="C732" i="1"/>
  <c r="A732" i="1"/>
  <c r="C731" i="1"/>
  <c r="A731" i="1"/>
  <c r="C730" i="1"/>
  <c r="A730" i="1"/>
  <c r="C729" i="1"/>
  <c r="A729" i="1"/>
  <c r="C728" i="1"/>
  <c r="A728" i="1"/>
  <c r="C727" i="1"/>
  <c r="A727" i="1"/>
  <c r="C726" i="1"/>
  <c r="A726" i="1"/>
  <c r="C725" i="1"/>
  <c r="A725" i="1"/>
  <c r="C724" i="1"/>
  <c r="A724" i="1"/>
  <c r="C723" i="1"/>
  <c r="A723" i="1"/>
  <c r="C722" i="1"/>
  <c r="A722" i="1"/>
  <c r="C721" i="1"/>
  <c r="A721" i="1"/>
  <c r="C720" i="1"/>
  <c r="A720" i="1"/>
  <c r="C719" i="1"/>
  <c r="A719" i="1"/>
  <c r="C718" i="1"/>
  <c r="A718" i="1"/>
  <c r="C717" i="1"/>
  <c r="A717" i="1"/>
  <c r="C716" i="1"/>
  <c r="A716" i="1"/>
  <c r="C715" i="1"/>
  <c r="A715" i="1"/>
  <c r="C714" i="1"/>
  <c r="A714" i="1"/>
  <c r="C713" i="1"/>
  <c r="A713" i="1"/>
  <c r="C712" i="1"/>
  <c r="A712" i="1"/>
  <c r="C711" i="1"/>
  <c r="A711" i="1"/>
  <c r="C710" i="1"/>
  <c r="A710" i="1"/>
  <c r="C709" i="1"/>
  <c r="A709" i="1"/>
  <c r="C708" i="1"/>
  <c r="A708" i="1"/>
  <c r="C707" i="1"/>
  <c r="A707" i="1"/>
  <c r="C706" i="1"/>
  <c r="A706" i="1"/>
  <c r="C705" i="1"/>
  <c r="A705" i="1"/>
  <c r="C704" i="1"/>
  <c r="A704" i="1"/>
  <c r="C703" i="1"/>
  <c r="A703" i="1"/>
  <c r="C702" i="1"/>
  <c r="A702" i="1"/>
  <c r="C701" i="1"/>
  <c r="A701" i="1"/>
  <c r="C700" i="1"/>
  <c r="A700" i="1"/>
  <c r="C699" i="1"/>
  <c r="A699" i="1"/>
  <c r="C698" i="1"/>
  <c r="A698" i="1"/>
  <c r="C697" i="1"/>
  <c r="A697" i="1"/>
  <c r="C696" i="1"/>
  <c r="A696" i="1"/>
  <c r="C695" i="1"/>
  <c r="A695" i="1"/>
  <c r="C694" i="1"/>
  <c r="A694" i="1"/>
  <c r="C693" i="1"/>
  <c r="A693" i="1"/>
  <c r="C692" i="1"/>
  <c r="A692" i="1"/>
  <c r="C691" i="1"/>
  <c r="A691" i="1"/>
  <c r="C690" i="1"/>
  <c r="A690" i="1"/>
  <c r="C689" i="1"/>
  <c r="A689" i="1"/>
  <c r="C688" i="1"/>
  <c r="A688" i="1"/>
  <c r="C687" i="1"/>
  <c r="A687" i="1"/>
  <c r="C686" i="1"/>
  <c r="A686" i="1"/>
  <c r="C685" i="1"/>
  <c r="A685" i="1"/>
  <c r="C684" i="1"/>
  <c r="A684" i="1"/>
  <c r="C683" i="1"/>
  <c r="A683" i="1"/>
  <c r="C682" i="1"/>
  <c r="A682" i="1"/>
  <c r="C681" i="1"/>
  <c r="A681" i="1"/>
  <c r="C680" i="1"/>
  <c r="A680" i="1"/>
  <c r="C679" i="1"/>
  <c r="A679" i="1"/>
  <c r="C678" i="1"/>
  <c r="A678" i="1"/>
  <c r="C677" i="1"/>
  <c r="A677" i="1"/>
  <c r="C676" i="1"/>
  <c r="A676" i="1"/>
  <c r="C675" i="1"/>
  <c r="A675" i="1"/>
  <c r="C674" i="1"/>
  <c r="A674" i="1"/>
  <c r="C673" i="1"/>
  <c r="A673" i="1"/>
  <c r="C672" i="1"/>
  <c r="A672" i="1"/>
  <c r="C671" i="1"/>
  <c r="A671" i="1"/>
  <c r="C670" i="1"/>
  <c r="A670" i="1"/>
  <c r="C669" i="1"/>
  <c r="A669" i="1"/>
  <c r="C668" i="1"/>
  <c r="A668" i="1"/>
  <c r="C667" i="1"/>
  <c r="A667" i="1"/>
  <c r="C666" i="1"/>
  <c r="A666" i="1"/>
  <c r="C665" i="1"/>
  <c r="A665" i="1"/>
  <c r="C664" i="1"/>
  <c r="A664" i="1"/>
  <c r="C663" i="1"/>
  <c r="A663" i="1"/>
  <c r="C662" i="1"/>
  <c r="A662" i="1"/>
  <c r="C661" i="1"/>
  <c r="A661" i="1"/>
  <c r="C660" i="1"/>
  <c r="A660" i="1"/>
  <c r="C659" i="1"/>
  <c r="A659" i="1"/>
  <c r="C658" i="1"/>
  <c r="A658" i="1"/>
  <c r="C657" i="1"/>
  <c r="A657" i="1"/>
  <c r="C656" i="1"/>
  <c r="A656" i="1"/>
  <c r="C655" i="1"/>
  <c r="A655" i="1"/>
  <c r="C654" i="1"/>
  <c r="A654" i="1"/>
  <c r="C653" i="1"/>
  <c r="A653" i="1"/>
  <c r="C652" i="1"/>
  <c r="A652" i="1"/>
  <c r="C651" i="1"/>
  <c r="A651" i="1"/>
  <c r="C650" i="1"/>
  <c r="A650" i="1"/>
  <c r="C649" i="1"/>
  <c r="A649" i="1"/>
  <c r="C648" i="1"/>
  <c r="A648" i="1"/>
  <c r="C647" i="1"/>
  <c r="A647" i="1"/>
  <c r="C646" i="1"/>
  <c r="A646" i="1"/>
  <c r="C645" i="1"/>
  <c r="A645" i="1"/>
  <c r="C644" i="1"/>
  <c r="A644" i="1"/>
  <c r="C643" i="1"/>
  <c r="A643" i="1"/>
  <c r="C642" i="1"/>
  <c r="A642" i="1"/>
  <c r="C641" i="1"/>
  <c r="A641" i="1"/>
  <c r="C640" i="1"/>
  <c r="A640" i="1"/>
  <c r="C639" i="1"/>
  <c r="A639" i="1"/>
  <c r="C638" i="1"/>
  <c r="A638" i="1"/>
  <c r="C637" i="1"/>
  <c r="A637" i="1"/>
  <c r="C636" i="1"/>
  <c r="A636" i="1"/>
  <c r="C635" i="1"/>
  <c r="A635" i="1"/>
  <c r="C634" i="1"/>
  <c r="A634" i="1"/>
  <c r="C633" i="1"/>
  <c r="A633" i="1"/>
  <c r="C632" i="1"/>
  <c r="A632" i="1"/>
  <c r="C631" i="1"/>
  <c r="A631" i="1"/>
  <c r="C630" i="1"/>
  <c r="A630" i="1"/>
  <c r="C629" i="1"/>
  <c r="A629" i="1"/>
  <c r="C628" i="1"/>
  <c r="A628" i="1"/>
  <c r="C627" i="1"/>
  <c r="A627" i="1"/>
  <c r="C626" i="1"/>
  <c r="A626" i="1"/>
  <c r="C625" i="1"/>
  <c r="A625" i="1"/>
  <c r="C624" i="1"/>
  <c r="A624" i="1"/>
  <c r="C623" i="1"/>
  <c r="A623" i="1"/>
  <c r="C622" i="1"/>
  <c r="A622" i="1"/>
  <c r="C621" i="1"/>
  <c r="A621" i="1"/>
  <c r="C620" i="1"/>
  <c r="A620" i="1"/>
  <c r="C619" i="1"/>
  <c r="A619" i="1"/>
  <c r="C618" i="1"/>
  <c r="A618" i="1"/>
  <c r="C617" i="1"/>
  <c r="A617" i="1"/>
  <c r="C616" i="1"/>
  <c r="A616" i="1"/>
  <c r="C615" i="1"/>
  <c r="A615" i="1"/>
  <c r="C614" i="1"/>
  <c r="A614" i="1"/>
  <c r="C613" i="1"/>
  <c r="A613" i="1"/>
  <c r="C612" i="1"/>
  <c r="A612" i="1"/>
  <c r="C611" i="1"/>
  <c r="A611" i="1"/>
  <c r="C610" i="1"/>
  <c r="A610" i="1"/>
  <c r="C609" i="1"/>
  <c r="A609" i="1"/>
  <c r="C608" i="1"/>
  <c r="A608" i="1"/>
  <c r="C607" i="1"/>
  <c r="A607" i="1"/>
  <c r="C606" i="1"/>
  <c r="A606" i="1"/>
  <c r="C605" i="1"/>
  <c r="A605" i="1"/>
  <c r="C604" i="1"/>
  <c r="A604" i="1"/>
  <c r="C603" i="1"/>
  <c r="A603" i="1"/>
  <c r="C602" i="1"/>
  <c r="A602" i="1"/>
  <c r="C601" i="1"/>
  <c r="A601" i="1"/>
  <c r="C600" i="1"/>
  <c r="A600" i="1"/>
  <c r="C599" i="1"/>
  <c r="A599" i="1"/>
  <c r="C598" i="1"/>
  <c r="A598" i="1"/>
  <c r="C597" i="1"/>
  <c r="A597" i="1"/>
  <c r="C596" i="1"/>
  <c r="A596" i="1"/>
  <c r="C595" i="1"/>
  <c r="A595" i="1"/>
  <c r="C594" i="1"/>
  <c r="A594" i="1"/>
  <c r="C593" i="1"/>
  <c r="A593" i="1"/>
  <c r="C592" i="1"/>
  <c r="A592" i="1"/>
  <c r="C591" i="1"/>
  <c r="A591" i="1"/>
  <c r="C590" i="1"/>
  <c r="A590" i="1"/>
  <c r="C589" i="1"/>
  <c r="A589" i="1"/>
  <c r="C588" i="1"/>
  <c r="A588" i="1"/>
  <c r="C587" i="1"/>
  <c r="A587" i="1"/>
  <c r="C586" i="1"/>
  <c r="A586" i="1"/>
  <c r="C585" i="1"/>
  <c r="A585" i="1"/>
  <c r="C584" i="1"/>
  <c r="A584" i="1"/>
  <c r="C583" i="1"/>
  <c r="A583" i="1"/>
  <c r="C582" i="1"/>
  <c r="A582" i="1"/>
  <c r="C581" i="1"/>
  <c r="A581" i="1"/>
  <c r="C580" i="1"/>
  <c r="A580" i="1"/>
  <c r="C579" i="1"/>
  <c r="A579" i="1"/>
  <c r="C578" i="1"/>
  <c r="A578" i="1"/>
  <c r="C577" i="1"/>
  <c r="A577" i="1"/>
  <c r="C576" i="1"/>
  <c r="A576" i="1"/>
  <c r="C575" i="1"/>
  <c r="A575" i="1"/>
  <c r="C574" i="1"/>
  <c r="A574" i="1"/>
  <c r="C573" i="1"/>
  <c r="A573" i="1"/>
  <c r="C572" i="1"/>
  <c r="A572" i="1"/>
  <c r="C571" i="1"/>
  <c r="A571" i="1"/>
  <c r="C570" i="1"/>
  <c r="A570" i="1"/>
  <c r="C569" i="1"/>
  <c r="A569" i="1"/>
  <c r="C568" i="1"/>
  <c r="A568" i="1"/>
  <c r="C567" i="1"/>
  <c r="A567" i="1"/>
  <c r="C566" i="1"/>
  <c r="A566" i="1"/>
  <c r="C565" i="1"/>
  <c r="A565" i="1"/>
  <c r="C564" i="1"/>
  <c r="A564" i="1"/>
  <c r="C563" i="1"/>
  <c r="A563" i="1"/>
  <c r="C562" i="1"/>
  <c r="A562" i="1"/>
  <c r="C561" i="1"/>
  <c r="A561" i="1"/>
  <c r="C560" i="1"/>
  <c r="A560" i="1"/>
  <c r="C559" i="1"/>
  <c r="A559" i="1"/>
  <c r="C558" i="1"/>
  <c r="A558" i="1"/>
  <c r="C557" i="1"/>
  <c r="A557" i="1"/>
  <c r="C556" i="1"/>
  <c r="A556" i="1"/>
  <c r="C555" i="1"/>
  <c r="A555" i="1"/>
  <c r="C554" i="1"/>
  <c r="A554" i="1"/>
  <c r="C553" i="1"/>
  <c r="A553" i="1"/>
  <c r="C552" i="1"/>
  <c r="A552" i="1"/>
  <c r="C551" i="1"/>
  <c r="A551" i="1"/>
  <c r="C550" i="1"/>
  <c r="A550" i="1"/>
  <c r="C549" i="1"/>
  <c r="A549" i="1"/>
  <c r="C548" i="1"/>
  <c r="A548" i="1"/>
  <c r="C547" i="1"/>
  <c r="A547" i="1"/>
  <c r="C546" i="1"/>
  <c r="A546" i="1"/>
  <c r="C545" i="1"/>
  <c r="A545" i="1"/>
  <c r="C544" i="1"/>
  <c r="A544" i="1"/>
  <c r="C543" i="1"/>
  <c r="A543" i="1"/>
  <c r="C542" i="1"/>
  <c r="A542" i="1"/>
  <c r="C541" i="1"/>
  <c r="A541" i="1"/>
  <c r="C540" i="1"/>
  <c r="A540" i="1"/>
  <c r="C539" i="1"/>
  <c r="A539" i="1"/>
  <c r="C538" i="1"/>
  <c r="A538" i="1"/>
  <c r="C537" i="1"/>
  <c r="A537" i="1"/>
  <c r="C536" i="1"/>
  <c r="A536" i="1"/>
  <c r="C535" i="1"/>
  <c r="A535" i="1"/>
  <c r="C534" i="1"/>
  <c r="A534" i="1"/>
  <c r="C533" i="1"/>
  <c r="A533" i="1"/>
  <c r="C532" i="1"/>
  <c r="A532" i="1"/>
  <c r="C531" i="1"/>
  <c r="A531" i="1"/>
  <c r="C530" i="1"/>
  <c r="A530" i="1"/>
  <c r="C529" i="1"/>
  <c r="A529" i="1"/>
  <c r="C528" i="1"/>
  <c r="A528" i="1"/>
  <c r="C527" i="1"/>
  <c r="A527" i="1"/>
  <c r="C526" i="1"/>
  <c r="A526" i="1"/>
  <c r="C525" i="1"/>
  <c r="A525" i="1"/>
  <c r="C524" i="1"/>
  <c r="C523" i="1"/>
  <c r="C522" i="1"/>
  <c r="C521" i="1"/>
  <c r="C520" i="1"/>
  <c r="C519" i="1"/>
  <c r="C518" i="1"/>
  <c r="C517" i="1"/>
  <c r="C516" i="1"/>
  <c r="C515" i="1"/>
  <c r="C514" i="1"/>
  <c r="C513" i="1"/>
  <c r="C512" i="1"/>
  <c r="C511" i="1"/>
  <c r="C510" i="1"/>
  <c r="C509"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381" i="1"/>
  <c r="C380" i="1"/>
  <c r="C379" i="1"/>
  <c r="C377" i="1"/>
  <c r="C376" i="1"/>
  <c r="C373" i="1"/>
  <c r="C372" i="1"/>
  <c r="C369" i="1"/>
  <c r="C364" i="1"/>
  <c r="C363" i="1"/>
  <c r="C355" i="1"/>
  <c r="C353" i="1"/>
  <c r="C352" i="1"/>
  <c r="C351" i="1"/>
  <c r="C350" i="1"/>
  <c r="C349" i="1"/>
  <c r="C348" i="1"/>
  <c r="C347" i="1"/>
  <c r="C346" i="1"/>
  <c r="C345" i="1"/>
  <c r="C344" i="1"/>
  <c r="C340" i="1"/>
  <c r="C339" i="1"/>
  <c r="C338" i="1"/>
  <c r="C334" i="1"/>
  <c r="C332" i="1"/>
  <c r="C330" i="1"/>
  <c r="C333" i="1"/>
  <c r="C327" i="1"/>
  <c r="C326" i="1"/>
  <c r="C325" i="1"/>
  <c r="C324" i="1"/>
  <c r="C323" i="1"/>
  <c r="C321" i="1"/>
  <c r="C317" i="1"/>
  <c r="C316" i="1"/>
  <c r="C315" i="1"/>
  <c r="C314" i="1"/>
  <c r="C313" i="1"/>
  <c r="C312" i="1"/>
  <c r="C311" i="1"/>
  <c r="C310" i="1"/>
  <c r="C309" i="1"/>
  <c r="C306" i="1"/>
  <c r="C305" i="1"/>
  <c r="C298" i="1"/>
  <c r="C297" i="1"/>
  <c r="C296" i="1"/>
  <c r="C295" i="1"/>
  <c r="C294" i="1"/>
  <c r="C293" i="1"/>
  <c r="C292" i="1"/>
  <c r="C286" i="1"/>
  <c r="C280" i="1"/>
  <c r="C279" i="1"/>
  <c r="C278" i="1"/>
  <c r="C277" i="1"/>
  <c r="C275" i="1"/>
  <c r="C274" i="1"/>
  <c r="C273" i="1"/>
  <c r="C272" i="1"/>
  <c r="C271" i="1"/>
  <c r="C270" i="1"/>
  <c r="C266" i="1"/>
  <c r="C265" i="1"/>
  <c r="C263" i="1"/>
  <c r="C256" i="1"/>
  <c r="C255" i="1"/>
  <c r="C252" i="1"/>
  <c r="C249" i="1"/>
  <c r="C248" i="1"/>
  <c r="C247" i="1"/>
  <c r="C246" i="1"/>
  <c r="C245" i="1"/>
  <c r="C244" i="1"/>
  <c r="C243" i="1"/>
  <c r="C242" i="1"/>
  <c r="C241" i="1"/>
  <c r="C239" i="1"/>
  <c r="C238" i="1"/>
  <c r="C237" i="1"/>
  <c r="C236" i="1"/>
  <c r="C235" i="1"/>
  <c r="C234" i="1"/>
  <c r="C233" i="1"/>
  <c r="C232" i="1"/>
  <c r="C231" i="1"/>
  <c r="C230" i="1"/>
  <c r="C229" i="1"/>
  <c r="C228" i="1"/>
  <c r="C227" i="1"/>
  <c r="C226" i="1"/>
  <c r="C225" i="1"/>
  <c r="C223" i="1"/>
  <c r="C222" i="1"/>
  <c r="C221" i="1"/>
  <c r="C220" i="1"/>
  <c r="C219" i="1"/>
  <c r="C218" i="1"/>
  <c r="C217" i="1"/>
  <c r="C216" i="1"/>
  <c r="C215"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3" i="1"/>
  <c r="C28" i="1"/>
  <c r="C27" i="1"/>
  <c r="C26" i="1"/>
  <c r="C25" i="1"/>
  <c r="C24" i="1"/>
  <c r="C22" i="1"/>
  <c r="C21" i="1"/>
  <c r="C20" i="1"/>
  <c r="X19" i="1"/>
  <c r="W19" i="1"/>
  <c r="V19" i="1"/>
  <c r="U19" i="1"/>
  <c r="T19" i="1"/>
  <c r="S19" i="1"/>
  <c r="R19" i="1"/>
  <c r="Q19" i="1"/>
  <c r="P19" i="1"/>
  <c r="O19" i="1"/>
  <c r="N19" i="1"/>
  <c r="M19" i="1"/>
  <c r="C19" i="1"/>
  <c r="X18" i="1"/>
  <c r="W18" i="1"/>
  <c r="V18" i="1"/>
  <c r="U18" i="1"/>
  <c r="T18" i="1"/>
  <c r="S18" i="1"/>
  <c r="R18" i="1"/>
  <c r="Q18" i="1"/>
  <c r="P18" i="1"/>
  <c r="O18" i="1"/>
  <c r="N18" i="1"/>
  <c r="M18" i="1"/>
  <c r="C18" i="1"/>
  <c r="X17" i="1"/>
  <c r="W17" i="1"/>
  <c r="V17" i="1"/>
  <c r="U17" i="1"/>
  <c r="T17" i="1"/>
  <c r="S17" i="1"/>
  <c r="R17" i="1"/>
  <c r="Q17" i="1"/>
  <c r="P17" i="1"/>
  <c r="O17" i="1"/>
  <c r="N17" i="1"/>
  <c r="M17" i="1"/>
  <c r="C17" i="1"/>
  <c r="X16" i="1"/>
  <c r="W16" i="1"/>
  <c r="V16" i="1"/>
  <c r="U16" i="1"/>
  <c r="T16" i="1"/>
  <c r="S16" i="1"/>
  <c r="R16" i="1"/>
  <c r="Q16" i="1"/>
  <c r="P16" i="1"/>
  <c r="O16" i="1"/>
  <c r="N16" i="1"/>
  <c r="M16" i="1"/>
  <c r="C16" i="1"/>
  <c r="X15" i="1"/>
  <c r="W15" i="1"/>
  <c r="V15" i="1"/>
  <c r="U15" i="1"/>
  <c r="T15" i="1"/>
  <c r="S15" i="1"/>
  <c r="R15" i="1"/>
  <c r="Q15" i="1"/>
  <c r="P15" i="1"/>
  <c r="O15" i="1"/>
  <c r="N15" i="1"/>
  <c r="M15" i="1"/>
  <c r="C15" i="1"/>
  <c r="X14" i="1"/>
  <c r="W14" i="1"/>
  <c r="V14" i="1"/>
  <c r="U14" i="1"/>
  <c r="T14" i="1"/>
  <c r="S14" i="1"/>
  <c r="R14" i="1"/>
  <c r="Q14" i="1"/>
  <c r="P14" i="1"/>
  <c r="O14" i="1"/>
  <c r="N14" i="1"/>
  <c r="M14" i="1"/>
  <c r="C14" i="1"/>
  <c r="X13" i="1"/>
  <c r="W13" i="1"/>
  <c r="V13" i="1"/>
  <c r="U13" i="1"/>
  <c r="T13" i="1"/>
  <c r="S13" i="1"/>
  <c r="R13" i="1"/>
  <c r="Q13" i="1"/>
  <c r="P13" i="1"/>
  <c r="O13" i="1"/>
  <c r="N13" i="1"/>
  <c r="M13" i="1"/>
  <c r="C13" i="1"/>
  <c r="X12" i="1"/>
  <c r="W12" i="1"/>
  <c r="V12" i="1"/>
  <c r="U12" i="1"/>
  <c r="T12" i="1"/>
  <c r="S12" i="1"/>
  <c r="R12" i="1"/>
  <c r="Q12" i="1"/>
  <c r="P12" i="1"/>
  <c r="O12" i="1"/>
  <c r="N12" i="1"/>
  <c r="M12" i="1"/>
  <c r="C12" i="1"/>
  <c r="X11" i="1"/>
  <c r="W11" i="1"/>
  <c r="V11" i="1"/>
  <c r="U11" i="1"/>
  <c r="T11" i="1"/>
  <c r="S11" i="1"/>
  <c r="R11" i="1"/>
  <c r="Q11" i="1"/>
  <c r="P11" i="1"/>
  <c r="O11" i="1"/>
  <c r="N11" i="1"/>
  <c r="M11" i="1"/>
  <c r="C11" i="1"/>
  <c r="X10" i="1"/>
  <c r="W10" i="1"/>
  <c r="V10" i="1"/>
  <c r="U10" i="1"/>
  <c r="T10" i="1"/>
  <c r="S10" i="1"/>
  <c r="R10" i="1"/>
  <c r="Q10" i="1"/>
  <c r="P10" i="1"/>
  <c r="O10" i="1"/>
  <c r="N10" i="1"/>
  <c r="M10" i="1"/>
  <c r="C10" i="1"/>
  <c r="X9" i="1"/>
  <c r="W9" i="1"/>
  <c r="V9" i="1"/>
  <c r="U9" i="1"/>
  <c r="T9" i="1"/>
  <c r="S9" i="1"/>
  <c r="R9" i="1"/>
  <c r="Q9" i="1"/>
  <c r="P9" i="1"/>
  <c r="O9" i="1"/>
  <c r="N9" i="1"/>
  <c r="M9" i="1"/>
  <c r="C9" i="1"/>
  <c r="X8" i="1"/>
  <c r="W8" i="1"/>
  <c r="V8" i="1"/>
  <c r="U8" i="1"/>
  <c r="T8" i="1"/>
  <c r="S8" i="1"/>
  <c r="R8" i="1"/>
  <c r="Q8" i="1"/>
  <c r="P8" i="1"/>
  <c r="O8" i="1"/>
  <c r="N8" i="1"/>
  <c r="M8" i="1"/>
  <c r="C8" i="1"/>
  <c r="X7" i="1"/>
  <c r="W7" i="1"/>
  <c r="V7" i="1"/>
  <c r="U7" i="1"/>
  <c r="T7" i="1"/>
  <c r="S7" i="1"/>
  <c r="R7" i="1"/>
  <c r="Q7" i="1"/>
  <c r="P7" i="1"/>
  <c r="O7" i="1"/>
  <c r="N7" i="1"/>
  <c r="M7" i="1"/>
  <c r="C7" i="1"/>
  <c r="X6" i="1"/>
  <c r="W6" i="1"/>
  <c r="V6" i="1"/>
  <c r="U6" i="1"/>
  <c r="T6" i="1"/>
  <c r="S6" i="1"/>
  <c r="R6" i="1"/>
  <c r="Q6" i="1"/>
  <c r="P6" i="1"/>
  <c r="O6" i="1"/>
  <c r="N6" i="1"/>
  <c r="M6" i="1"/>
  <c r="C6" i="1"/>
  <c r="X5" i="1"/>
  <c r="W5" i="1"/>
  <c r="V5" i="1"/>
  <c r="U5" i="1"/>
  <c r="T5" i="1"/>
  <c r="S5" i="1"/>
  <c r="R5" i="1"/>
  <c r="Q5" i="1"/>
  <c r="P5" i="1"/>
  <c r="O5" i="1"/>
  <c r="N5" i="1"/>
  <c r="M5" i="1"/>
  <c r="C5" i="1"/>
  <c r="A5" i="1"/>
  <c r="X4" i="1"/>
  <c r="W4" i="1"/>
  <c r="V4" i="1"/>
  <c r="U4" i="1"/>
  <c r="T4" i="1"/>
  <c r="S4" i="1"/>
  <c r="R4" i="1"/>
  <c r="Q4" i="1"/>
  <c r="P4" i="1"/>
  <c r="O4" i="1"/>
  <c r="N4" i="1"/>
  <c r="M4" i="1"/>
  <c r="C4" i="1"/>
  <c r="A284" i="1" l="1"/>
  <c r="A313" i="1"/>
  <c r="D99" i="3"/>
  <c r="C99" i="3"/>
  <c r="E99" i="3"/>
  <c r="B100" i="3"/>
  <c r="A101" i="3"/>
  <c r="A6" i="1"/>
  <c r="R525" i="1"/>
  <c r="R1" i="1" s="1"/>
  <c r="N525" i="1"/>
  <c r="V525" i="1"/>
  <c r="V1" i="1" s="1"/>
  <c r="S525" i="1"/>
  <c r="S1" i="1" s="1"/>
  <c r="T525" i="1"/>
  <c r="T1" i="1" s="1"/>
  <c r="W525" i="1"/>
  <c r="W1" i="1" s="1"/>
  <c r="P525" i="1"/>
  <c r="P1" i="1" s="1"/>
  <c r="X525" i="1"/>
  <c r="X1" i="1" s="1"/>
  <c r="M525" i="1"/>
  <c r="M1" i="1" s="1"/>
  <c r="Q525" i="1"/>
  <c r="Q1" i="1" s="1"/>
  <c r="U525" i="1"/>
  <c r="U1" i="1" s="1"/>
  <c r="O525" i="1"/>
  <c r="O1" i="1" s="1"/>
  <c r="A285" i="1" l="1"/>
  <c r="A314" i="1"/>
  <c r="N1" i="1"/>
  <c r="D100" i="3"/>
  <c r="E100" i="3"/>
  <c r="C100" i="3"/>
  <c r="B101" i="3"/>
  <c r="A102" i="3"/>
  <c r="A7" i="1"/>
  <c r="M526" i="1"/>
  <c r="A286" i="1" l="1"/>
  <c r="A287" i="1" s="1"/>
  <c r="A315" i="1"/>
  <c r="D101" i="3"/>
  <c r="C101" i="3"/>
  <c r="E101" i="3"/>
  <c r="B102" i="3"/>
  <c r="A103" i="3"/>
  <c r="A8" i="1"/>
  <c r="A316" i="1" l="1"/>
  <c r="A288" i="1"/>
  <c r="D102" i="3"/>
  <c r="E102" i="3"/>
  <c r="C102" i="3"/>
  <c r="B103" i="3"/>
  <c r="A104" i="3"/>
  <c r="A9" i="1"/>
  <c r="A317" i="1" l="1"/>
  <c r="A289" i="1"/>
  <c r="C103" i="3"/>
  <c r="D103" i="3"/>
  <c r="E103" i="3"/>
  <c r="B104" i="3"/>
  <c r="A105" i="3"/>
  <c r="A10" i="1"/>
  <c r="A318" i="1" l="1"/>
  <c r="A290" i="1"/>
  <c r="B105" i="3"/>
  <c r="A106" i="3"/>
  <c r="D104" i="3"/>
  <c r="C104" i="3"/>
  <c r="E104" i="3"/>
  <c r="A11" i="1"/>
  <c r="A319" i="1" l="1"/>
  <c r="A291" i="1"/>
  <c r="B106" i="3"/>
  <c r="A107" i="3"/>
  <c r="E105" i="3"/>
  <c r="D105" i="3"/>
  <c r="C105" i="3"/>
  <c r="A12" i="1"/>
  <c r="A320" i="1" l="1"/>
  <c r="A292" i="1"/>
  <c r="B107" i="3"/>
  <c r="A108" i="3"/>
  <c r="E106" i="3"/>
  <c r="C106" i="3"/>
  <c r="D106" i="3"/>
  <c r="A13" i="1"/>
  <c r="A321" i="1" l="1"/>
  <c r="A293" i="1"/>
  <c r="B108" i="3"/>
  <c r="A109" i="3"/>
  <c r="E107" i="3"/>
  <c r="C107" i="3"/>
  <c r="D107" i="3"/>
  <c r="A14" i="1"/>
  <c r="A322" i="1" l="1"/>
  <c r="A294" i="1"/>
  <c r="B109" i="3"/>
  <c r="A110" i="3"/>
  <c r="D108" i="3"/>
  <c r="E108" i="3"/>
  <c r="C108" i="3"/>
  <c r="A15" i="1"/>
  <c r="A323" i="1" l="1"/>
  <c r="A324" i="1" s="1"/>
  <c r="A295" i="1"/>
  <c r="B110" i="3"/>
  <c r="A111" i="3"/>
  <c r="D109" i="3"/>
  <c r="E109" i="3"/>
  <c r="C109" i="3"/>
  <c r="A16" i="1"/>
  <c r="A325" i="1" l="1"/>
  <c r="A296" i="1"/>
  <c r="B111" i="3"/>
  <c r="A112" i="3"/>
  <c r="D110" i="3"/>
  <c r="C110" i="3"/>
  <c r="E110" i="3"/>
  <c r="A326" i="1" l="1"/>
  <c r="A297" i="1"/>
  <c r="B112" i="3"/>
  <c r="E112" i="3" s="1"/>
  <c r="A113" i="3"/>
  <c r="D111" i="3"/>
  <c r="C111" i="3"/>
  <c r="E111" i="3"/>
  <c r="A17" i="1"/>
  <c r="A327" i="1" l="1"/>
  <c r="A298" i="1"/>
  <c r="B113" i="3"/>
  <c r="A114" i="3"/>
  <c r="C112" i="3"/>
  <c r="D112" i="3"/>
  <c r="A18" i="1"/>
  <c r="A331" i="1" l="1"/>
  <c r="A299" i="1"/>
  <c r="A300" i="1" s="1"/>
  <c r="B114" i="3"/>
  <c r="A115" i="3"/>
  <c r="D113" i="3"/>
  <c r="E113" i="3"/>
  <c r="C113" i="3"/>
  <c r="A19" i="1"/>
  <c r="A332" i="1" l="1"/>
  <c r="A301" i="1"/>
  <c r="A302" i="1" s="1"/>
  <c r="A303" i="1" s="1"/>
  <c r="B115" i="3"/>
  <c r="A116" i="3"/>
  <c r="D114" i="3"/>
  <c r="E114" i="3"/>
  <c r="C114" i="3"/>
  <c r="A333" i="1" l="1"/>
  <c r="A334" i="1" s="1"/>
  <c r="B116" i="3"/>
  <c r="A117" i="3"/>
  <c r="C115" i="3"/>
  <c r="D115" i="3"/>
  <c r="E115" i="3"/>
  <c r="A335" i="1" l="1"/>
  <c r="B117" i="3"/>
  <c r="A118" i="3"/>
  <c r="D116" i="3"/>
  <c r="C116" i="3"/>
  <c r="E116" i="3"/>
  <c r="A20" i="1"/>
  <c r="A336" i="1" l="1"/>
  <c r="A304" i="1"/>
  <c r="B118" i="3"/>
  <c r="A119" i="3"/>
  <c r="E117" i="3"/>
  <c r="C117" i="3"/>
  <c r="D117" i="3"/>
  <c r="A21" i="1"/>
  <c r="A337" i="1" l="1"/>
  <c r="A338" i="1" s="1"/>
  <c r="A305" i="1"/>
  <c r="B119" i="3"/>
  <c r="A120" i="3"/>
  <c r="C118" i="3"/>
  <c r="E118" i="3"/>
  <c r="D118" i="3"/>
  <c r="A22" i="1"/>
  <c r="A339" i="1" l="1"/>
  <c r="A306" i="1"/>
  <c r="B120" i="3"/>
  <c r="A121" i="3"/>
  <c r="E119" i="3"/>
  <c r="D119" i="3"/>
  <c r="C119" i="3"/>
  <c r="A24" i="1"/>
  <c r="A340" i="1" l="1"/>
  <c r="B121" i="3"/>
  <c r="A122" i="3"/>
  <c r="E120" i="3"/>
  <c r="D120" i="3"/>
  <c r="C120" i="3"/>
  <c r="A25" i="1"/>
  <c r="A341" i="1" l="1"/>
  <c r="B122" i="3"/>
  <c r="A123" i="3"/>
  <c r="D121" i="3"/>
  <c r="E121" i="3"/>
  <c r="C121" i="3"/>
  <c r="A26" i="1"/>
  <c r="A342" i="1" l="1"/>
  <c r="A343" i="1" s="1"/>
  <c r="B123" i="3"/>
  <c r="A124" i="3"/>
  <c r="D122" i="3"/>
  <c r="C122" i="3"/>
  <c r="E122" i="3"/>
  <c r="A27" i="1"/>
  <c r="A344" i="1" l="1"/>
  <c r="B124" i="3"/>
  <c r="A125" i="3"/>
  <c r="E123" i="3"/>
  <c r="D123" i="3"/>
  <c r="C123" i="3"/>
  <c r="A28" i="1"/>
  <c r="A345" i="1" l="1"/>
  <c r="B125" i="3"/>
  <c r="A126" i="3"/>
  <c r="D124" i="3"/>
  <c r="E124" i="3"/>
  <c r="C124" i="3"/>
  <c r="A29" i="1"/>
  <c r="A346" i="1" l="1"/>
  <c r="B126" i="3"/>
  <c r="A127" i="3"/>
  <c r="C125" i="3"/>
  <c r="D125" i="3"/>
  <c r="E125" i="3"/>
  <c r="A30" i="1"/>
  <c r="A347" i="1" l="1"/>
  <c r="B127" i="3"/>
  <c r="A128" i="3"/>
  <c r="E126" i="3"/>
  <c r="D126" i="3"/>
  <c r="C126" i="3"/>
  <c r="A31" i="1"/>
  <c r="A348" i="1" l="1"/>
  <c r="B128" i="3"/>
  <c r="A129" i="3"/>
  <c r="E127" i="3"/>
  <c r="D127" i="3"/>
  <c r="C127" i="3"/>
  <c r="A32" i="1"/>
  <c r="A349" i="1" l="1"/>
  <c r="B129" i="3"/>
  <c r="A130" i="3"/>
  <c r="D128" i="3"/>
  <c r="E128" i="3"/>
  <c r="C128" i="3"/>
  <c r="A35" i="1"/>
  <c r="A350" i="1" l="1"/>
  <c r="B130" i="3"/>
  <c r="A131" i="3"/>
  <c r="D129" i="3"/>
  <c r="E129" i="3"/>
  <c r="C129" i="3"/>
  <c r="A36" i="1"/>
  <c r="A351" i="1" l="1"/>
  <c r="B131" i="3"/>
  <c r="A132" i="3"/>
  <c r="E130" i="3"/>
  <c r="D130" i="3"/>
  <c r="C130" i="3"/>
  <c r="A37" i="1"/>
  <c r="A352" i="1" l="1"/>
  <c r="B132" i="3"/>
  <c r="A133" i="3"/>
  <c r="D131" i="3"/>
  <c r="C131" i="3"/>
  <c r="E131" i="3"/>
  <c r="A38" i="1"/>
  <c r="A353" i="1" l="1"/>
  <c r="B133" i="3"/>
  <c r="A134" i="3"/>
  <c r="D132" i="3"/>
  <c r="E132" i="3"/>
  <c r="C132" i="3"/>
  <c r="A39" i="1"/>
  <c r="A361" i="1" l="1"/>
  <c r="B134" i="3"/>
  <c r="A135" i="3"/>
  <c r="D133" i="3"/>
  <c r="E133" i="3"/>
  <c r="C133" i="3"/>
  <c r="A40" i="1"/>
  <c r="A363" i="1" l="1"/>
  <c r="B135" i="3"/>
  <c r="A136" i="3"/>
  <c r="D134" i="3"/>
  <c r="C134" i="3"/>
  <c r="E134" i="3"/>
  <c r="A41" i="1"/>
  <c r="A364" i="1" l="1"/>
  <c r="B136" i="3"/>
  <c r="A137" i="3"/>
  <c r="E135" i="3"/>
  <c r="D135" i="3"/>
  <c r="C135" i="3"/>
  <c r="A42" i="1"/>
  <c r="A366" i="1" l="1"/>
  <c r="A370" i="1" s="1"/>
  <c r="B137" i="3"/>
  <c r="A138" i="3"/>
  <c r="E136" i="3"/>
  <c r="C136" i="3"/>
  <c r="D136" i="3"/>
  <c r="A43" i="1"/>
  <c r="A371" i="1" l="1"/>
  <c r="B138" i="3"/>
  <c r="A139" i="3"/>
  <c r="C137" i="3"/>
  <c r="D137" i="3"/>
  <c r="E137" i="3"/>
  <c r="A44" i="1"/>
  <c r="A372" i="1" l="1"/>
  <c r="B139" i="3"/>
  <c r="A140" i="3"/>
  <c r="C138" i="3"/>
  <c r="E138" i="3"/>
  <c r="D138" i="3"/>
  <c r="A45" i="1"/>
  <c r="A373" i="1" l="1"/>
  <c r="B140" i="3"/>
  <c r="A141" i="3"/>
  <c r="C139" i="3"/>
  <c r="E139" i="3"/>
  <c r="D139" i="3"/>
  <c r="A46" i="1"/>
  <c r="A374" i="1" l="1"/>
  <c r="B141" i="3"/>
  <c r="A142" i="3"/>
  <c r="E140" i="3"/>
  <c r="D140" i="3"/>
  <c r="C140" i="3"/>
  <c r="A47" i="1"/>
  <c r="A375" i="1" l="1"/>
  <c r="B142" i="3"/>
  <c r="A143" i="3"/>
  <c r="D141" i="3"/>
  <c r="E141" i="3"/>
  <c r="C141" i="3"/>
  <c r="A48" i="1"/>
  <c r="A376" i="1" l="1"/>
  <c r="B143" i="3"/>
  <c r="A144" i="3"/>
  <c r="D142" i="3"/>
  <c r="C142" i="3"/>
  <c r="E142" i="3"/>
  <c r="A49" i="1"/>
  <c r="A377" i="1" l="1"/>
  <c r="A378" i="1" s="1"/>
  <c r="B144" i="3"/>
  <c r="A145" i="3"/>
  <c r="E143" i="3"/>
  <c r="D143" i="3"/>
  <c r="C143" i="3"/>
  <c r="A50" i="1"/>
  <c r="A379" i="1" l="1"/>
  <c r="B145" i="3"/>
  <c r="A146" i="3"/>
  <c r="E144" i="3"/>
  <c r="C144" i="3"/>
  <c r="D144" i="3"/>
  <c r="A51" i="1"/>
  <c r="A380" i="1" l="1"/>
  <c r="B146" i="3"/>
  <c r="A147" i="3"/>
  <c r="C145" i="3"/>
  <c r="D145" i="3"/>
  <c r="E145" i="3"/>
  <c r="A52" i="1"/>
  <c r="A381" i="1" l="1"/>
  <c r="B147" i="3"/>
  <c r="A148" i="3"/>
  <c r="C146" i="3"/>
  <c r="D146" i="3"/>
  <c r="E146" i="3"/>
  <c r="B148" i="3" l="1"/>
  <c r="A149" i="3"/>
  <c r="D147" i="3"/>
  <c r="C147" i="3"/>
  <c r="E147" i="3"/>
  <c r="B149" i="3" l="1"/>
  <c r="A150" i="3"/>
  <c r="E148" i="3"/>
  <c r="C148" i="3"/>
  <c r="D148" i="3"/>
  <c r="A53" i="1"/>
  <c r="B150" i="3" l="1"/>
  <c r="A151" i="3"/>
  <c r="D149" i="3"/>
  <c r="E149" i="3"/>
  <c r="C149" i="3"/>
  <c r="A54" i="1"/>
  <c r="B151" i="3" l="1"/>
  <c r="A152" i="3"/>
  <c r="C150" i="3"/>
  <c r="E150" i="3"/>
  <c r="D150" i="3"/>
  <c r="A55" i="1"/>
  <c r="B152" i="3" l="1"/>
  <c r="A153" i="3"/>
  <c r="C151" i="3"/>
  <c r="D151" i="3"/>
  <c r="E151" i="3"/>
  <c r="B153" i="3" l="1"/>
  <c r="A154" i="3"/>
  <c r="C152" i="3"/>
  <c r="D152" i="3"/>
  <c r="E152" i="3"/>
  <c r="A56" i="1"/>
  <c r="B154" i="3" l="1"/>
  <c r="A155" i="3"/>
  <c r="D153" i="3"/>
  <c r="E153" i="3"/>
  <c r="C153" i="3"/>
  <c r="A57" i="1"/>
  <c r="B155" i="3" l="1"/>
  <c r="A156" i="3"/>
  <c r="C154" i="3"/>
  <c r="E154" i="3"/>
  <c r="D154" i="3"/>
  <c r="A58" i="1"/>
  <c r="B156" i="3" l="1"/>
  <c r="A157" i="3"/>
  <c r="D155" i="3"/>
  <c r="C155" i="3"/>
  <c r="E155" i="3"/>
  <c r="A59" i="1"/>
  <c r="B157" i="3" l="1"/>
  <c r="A158" i="3"/>
  <c r="E156" i="3"/>
  <c r="D156" i="3"/>
  <c r="C156" i="3"/>
  <c r="A60" i="1"/>
  <c r="B158" i="3" l="1"/>
  <c r="A159" i="3"/>
  <c r="D157" i="3"/>
  <c r="E157" i="3"/>
  <c r="C157" i="3"/>
  <c r="A61" i="1"/>
  <c r="B159" i="3" l="1"/>
  <c r="A160" i="3"/>
  <c r="C158" i="3"/>
  <c r="E158" i="3"/>
  <c r="D158" i="3"/>
  <c r="A62" i="1"/>
  <c r="B160" i="3" l="1"/>
  <c r="A161" i="3"/>
  <c r="D159" i="3"/>
  <c r="E159" i="3"/>
  <c r="C159" i="3"/>
  <c r="A63" i="1"/>
  <c r="B161" i="3" l="1"/>
  <c r="A162" i="3"/>
  <c r="E160" i="3"/>
  <c r="C160" i="3"/>
  <c r="D160" i="3"/>
  <c r="A64" i="1"/>
  <c r="B162" i="3" l="1"/>
  <c r="A163" i="3"/>
  <c r="E161" i="3"/>
  <c r="C161" i="3"/>
  <c r="D161" i="3"/>
  <c r="A65" i="1"/>
  <c r="B163" i="3" l="1"/>
  <c r="A164" i="3"/>
  <c r="C162" i="3"/>
  <c r="E162" i="3"/>
  <c r="D162" i="3"/>
  <c r="A66" i="1"/>
  <c r="B164" i="3" l="1"/>
  <c r="A165" i="3"/>
  <c r="C163" i="3"/>
  <c r="E163" i="3"/>
  <c r="D163" i="3"/>
  <c r="A67" i="1"/>
  <c r="B165" i="3" l="1"/>
  <c r="A166" i="3"/>
  <c r="D164" i="3"/>
  <c r="E164" i="3"/>
  <c r="C164" i="3"/>
  <c r="A68" i="1"/>
  <c r="B166" i="3" l="1"/>
  <c r="A167" i="3"/>
  <c r="D165" i="3"/>
  <c r="E165" i="3"/>
  <c r="C165" i="3"/>
  <c r="A69" i="1"/>
  <c r="B167" i="3" l="1"/>
  <c r="A168" i="3"/>
  <c r="C166" i="3"/>
  <c r="E166" i="3"/>
  <c r="D166" i="3"/>
  <c r="A70" i="1"/>
  <c r="B168" i="3" l="1"/>
  <c r="A169" i="3"/>
  <c r="D167" i="3"/>
  <c r="E167" i="3"/>
  <c r="C167" i="3"/>
  <c r="A71" i="1"/>
  <c r="B169" i="3" l="1"/>
  <c r="A170" i="3"/>
  <c r="C168" i="3"/>
  <c r="D168" i="3"/>
  <c r="E168" i="3"/>
  <c r="A72" i="1"/>
  <c r="B170" i="3" l="1"/>
  <c r="A171" i="3"/>
  <c r="D169" i="3"/>
  <c r="E169" i="3"/>
  <c r="C169" i="3"/>
  <c r="A73" i="1"/>
  <c r="B171" i="3" l="1"/>
  <c r="A172" i="3"/>
  <c r="C170" i="3"/>
  <c r="E170" i="3"/>
  <c r="D170" i="3"/>
  <c r="A74" i="1"/>
  <c r="B172" i="3" l="1"/>
  <c r="A173" i="3"/>
  <c r="D171" i="3"/>
  <c r="C171" i="3"/>
  <c r="E171" i="3"/>
  <c r="A75" i="1"/>
  <c r="B173" i="3" l="1"/>
  <c r="A174" i="3"/>
  <c r="E172" i="3"/>
  <c r="C172" i="3"/>
  <c r="D172" i="3"/>
  <c r="A76" i="1"/>
  <c r="B174" i="3" l="1"/>
  <c r="A175" i="3"/>
  <c r="E173" i="3"/>
  <c r="D173" i="3"/>
  <c r="C173" i="3"/>
  <c r="A77" i="1"/>
  <c r="B175" i="3" l="1"/>
  <c r="A176" i="3"/>
  <c r="E174" i="3"/>
  <c r="D174" i="3"/>
  <c r="C174" i="3"/>
  <c r="A78" i="1"/>
  <c r="B176" i="3" l="1"/>
  <c r="A177" i="3"/>
  <c r="E175" i="3"/>
  <c r="C175" i="3"/>
  <c r="D175" i="3"/>
  <c r="A79" i="1"/>
  <c r="B177" i="3" l="1"/>
  <c r="A178" i="3"/>
  <c r="E176" i="3"/>
  <c r="D176" i="3"/>
  <c r="C176" i="3"/>
  <c r="A80" i="1"/>
  <c r="B178" i="3" l="1"/>
  <c r="A179" i="3"/>
  <c r="D177" i="3"/>
  <c r="C177" i="3"/>
  <c r="A81" i="1"/>
  <c r="B179" i="3" l="1"/>
  <c r="A180" i="3"/>
  <c r="E178" i="3"/>
  <c r="D178" i="3"/>
  <c r="C178" i="3"/>
  <c r="A82" i="1"/>
  <c r="B180" i="3" l="1"/>
  <c r="A181" i="3"/>
  <c r="E179" i="3"/>
  <c r="C179" i="3"/>
  <c r="D179" i="3"/>
  <c r="A83" i="1"/>
  <c r="B181" i="3" l="1"/>
  <c r="A182" i="3"/>
  <c r="E180" i="3"/>
  <c r="D180" i="3"/>
  <c r="C180" i="3"/>
  <c r="A84" i="1"/>
  <c r="B182" i="3" l="1"/>
  <c r="A183" i="3"/>
  <c r="E181" i="3"/>
  <c r="C181" i="3"/>
  <c r="D181" i="3"/>
  <c r="A85" i="1"/>
  <c r="B183" i="3" l="1"/>
  <c r="A184" i="3"/>
  <c r="E182" i="3"/>
  <c r="C182" i="3"/>
  <c r="D182" i="3"/>
  <c r="A86" i="1"/>
  <c r="B184" i="3" l="1"/>
  <c r="A185" i="3"/>
  <c r="E183" i="3"/>
  <c r="C183" i="3"/>
  <c r="D183" i="3"/>
  <c r="A87" i="1"/>
  <c r="B185" i="3" l="1"/>
  <c r="A186" i="3"/>
  <c r="E184" i="3"/>
  <c r="C184" i="3"/>
  <c r="D184" i="3"/>
  <c r="A88" i="1"/>
  <c r="B186" i="3" l="1"/>
  <c r="A187" i="3"/>
  <c r="E185" i="3"/>
  <c r="D185" i="3"/>
  <c r="C185" i="3"/>
  <c r="A89" i="1"/>
  <c r="B187" i="3" l="1"/>
  <c r="A188" i="3"/>
  <c r="E186" i="3"/>
  <c r="C186" i="3"/>
  <c r="D186" i="3"/>
  <c r="A90" i="1"/>
  <c r="B188" i="3" l="1"/>
  <c r="A189" i="3"/>
  <c r="E187" i="3"/>
  <c r="C187" i="3"/>
  <c r="D187" i="3"/>
  <c r="A91" i="1"/>
  <c r="B189" i="3" l="1"/>
  <c r="A190" i="3"/>
  <c r="E188" i="3"/>
  <c r="C188" i="3"/>
  <c r="D188" i="3"/>
  <c r="A92" i="1"/>
  <c r="B190" i="3" l="1"/>
  <c r="A191" i="3"/>
  <c r="E189" i="3"/>
  <c r="C189" i="3"/>
  <c r="D189" i="3"/>
  <c r="A93" i="1"/>
  <c r="B191" i="3" l="1"/>
  <c r="A192" i="3"/>
  <c r="E190" i="3"/>
  <c r="C190" i="3"/>
  <c r="D190" i="3"/>
  <c r="A94" i="1"/>
  <c r="B192" i="3" l="1"/>
  <c r="A193" i="3"/>
  <c r="E191" i="3"/>
  <c r="C191" i="3"/>
  <c r="D191" i="3"/>
  <c r="A95" i="1"/>
  <c r="B193" i="3" l="1"/>
  <c r="A194" i="3"/>
  <c r="E192" i="3"/>
  <c r="C192" i="3"/>
  <c r="D192" i="3"/>
  <c r="A96" i="1"/>
  <c r="B194" i="3" l="1"/>
  <c r="A195" i="3"/>
  <c r="E193" i="3"/>
  <c r="D193" i="3"/>
  <c r="C193" i="3"/>
  <c r="A97" i="1"/>
  <c r="B195" i="3" l="1"/>
  <c r="A196" i="3"/>
  <c r="E194" i="3"/>
  <c r="D194" i="3"/>
  <c r="C194" i="3"/>
  <c r="A98" i="1"/>
  <c r="B196" i="3" l="1"/>
  <c r="A197" i="3"/>
  <c r="E195" i="3"/>
  <c r="D195" i="3"/>
  <c r="C195" i="3"/>
  <c r="A99" i="1"/>
  <c r="B197" i="3" l="1"/>
  <c r="A198" i="3"/>
  <c r="E196" i="3"/>
  <c r="C196" i="3"/>
  <c r="D196" i="3"/>
  <c r="A100" i="1"/>
  <c r="B198" i="3" l="1"/>
  <c r="A199" i="3"/>
  <c r="E197" i="3"/>
  <c r="D197" i="3"/>
  <c r="C197" i="3"/>
  <c r="A101" i="1"/>
  <c r="B199" i="3" l="1"/>
  <c r="A200" i="3"/>
  <c r="E198" i="3"/>
  <c r="D198" i="3"/>
  <c r="C198" i="3"/>
  <c r="A102" i="1"/>
  <c r="B200" i="3" l="1"/>
  <c r="A201" i="3"/>
  <c r="E199" i="3"/>
  <c r="C199" i="3"/>
  <c r="D199" i="3"/>
  <c r="A103" i="1"/>
  <c r="B201" i="3" l="1"/>
  <c r="A202" i="3"/>
  <c r="E200" i="3"/>
  <c r="D200" i="3"/>
  <c r="C200" i="3"/>
  <c r="A104" i="1"/>
  <c r="B202" i="3" l="1"/>
  <c r="A203" i="3"/>
  <c r="E201" i="3"/>
  <c r="D201" i="3"/>
  <c r="C201" i="3"/>
  <c r="A105" i="1"/>
  <c r="B203" i="3" l="1"/>
  <c r="A204" i="3"/>
  <c r="E202" i="3"/>
  <c r="D202" i="3"/>
  <c r="C202" i="3"/>
  <c r="A106" i="1"/>
  <c r="B204" i="3" l="1"/>
  <c r="A205" i="3"/>
  <c r="E203" i="3"/>
  <c r="D203" i="3"/>
  <c r="C203" i="3"/>
  <c r="A107" i="1"/>
  <c r="B205" i="3" l="1"/>
  <c r="A206" i="3"/>
  <c r="E204" i="3"/>
  <c r="C204" i="3"/>
  <c r="D204" i="3"/>
  <c r="A108" i="1"/>
  <c r="B206" i="3" l="1"/>
  <c r="A207" i="3"/>
  <c r="E205" i="3"/>
  <c r="D205" i="3"/>
  <c r="C205" i="3"/>
  <c r="A109" i="1"/>
  <c r="B207" i="3" l="1"/>
  <c r="A208" i="3"/>
  <c r="E206" i="3"/>
  <c r="C206" i="3"/>
  <c r="D206" i="3"/>
  <c r="A110" i="1"/>
  <c r="B208" i="3" l="1"/>
  <c r="A209" i="3"/>
  <c r="E207" i="3"/>
  <c r="C207" i="3"/>
  <c r="D207" i="3"/>
  <c r="A111" i="1"/>
  <c r="A112" i="1" s="1"/>
  <c r="B209" i="3" l="1"/>
  <c r="A210" i="3"/>
  <c r="E208" i="3"/>
  <c r="C208" i="3"/>
  <c r="D208" i="3"/>
  <c r="A113" i="1"/>
  <c r="B210" i="3" l="1"/>
  <c r="E210" i="3" s="1"/>
  <c r="A211" i="3"/>
  <c r="E209" i="3"/>
  <c r="D209" i="3"/>
  <c r="C209" i="3"/>
  <c r="A114" i="1"/>
  <c r="B211" i="3" l="1"/>
  <c r="A212" i="3"/>
  <c r="C210" i="3"/>
  <c r="D210" i="3"/>
  <c r="A115" i="1"/>
  <c r="D211" i="3" l="1"/>
  <c r="E211" i="3"/>
  <c r="C211" i="3"/>
  <c r="B212" i="3"/>
  <c r="A213" i="3"/>
  <c r="A116" i="1"/>
  <c r="B213" i="3" l="1"/>
  <c r="E213" i="3" s="1"/>
  <c r="A214" i="3"/>
  <c r="E212" i="3"/>
  <c r="C212" i="3"/>
  <c r="D212" i="3"/>
  <c r="A117" i="1"/>
  <c r="C213" i="3" l="1"/>
  <c r="D213" i="3"/>
  <c r="B214" i="3"/>
  <c r="A215" i="3"/>
  <c r="A118" i="1"/>
  <c r="B215" i="3" l="1"/>
  <c r="A216" i="3"/>
  <c r="E214" i="3"/>
  <c r="C214" i="3"/>
  <c r="D214" i="3"/>
  <c r="A119" i="1"/>
  <c r="B216" i="3" l="1"/>
  <c r="A217" i="3"/>
  <c r="E215" i="3"/>
  <c r="D215" i="3"/>
  <c r="C215" i="3"/>
  <c r="A120" i="1"/>
  <c r="B217" i="3" l="1"/>
  <c r="A218" i="3"/>
  <c r="C216" i="3"/>
  <c r="E216" i="3"/>
  <c r="D216" i="3"/>
  <c r="A121" i="1"/>
  <c r="B218" i="3" l="1"/>
  <c r="A219" i="3"/>
  <c r="C217" i="3"/>
  <c r="E217" i="3"/>
  <c r="D217" i="3"/>
  <c r="A122" i="1"/>
  <c r="B219" i="3" l="1"/>
  <c r="A220" i="3"/>
  <c r="C218" i="3"/>
  <c r="E218" i="3"/>
  <c r="D218" i="3"/>
  <c r="A123" i="1"/>
  <c r="B220" i="3" l="1"/>
  <c r="A221" i="3"/>
  <c r="E219" i="3"/>
  <c r="D219" i="3"/>
  <c r="C219" i="3"/>
  <c r="A124" i="1"/>
  <c r="B221" i="3" l="1"/>
  <c r="A222" i="3"/>
  <c r="E220" i="3"/>
  <c r="C220" i="3"/>
  <c r="D220" i="3"/>
  <c r="A125" i="1"/>
  <c r="B222" i="3" l="1"/>
  <c r="A223" i="3"/>
  <c r="E221" i="3"/>
  <c r="D221" i="3"/>
  <c r="C221" i="3"/>
  <c r="A126" i="1"/>
  <c r="B223" i="3" l="1"/>
  <c r="E223" i="3" s="1"/>
  <c r="A224" i="3"/>
  <c r="C222" i="3"/>
  <c r="D222" i="3"/>
  <c r="E222" i="3"/>
  <c r="A127" i="1"/>
  <c r="B224" i="3" l="1"/>
  <c r="A225" i="3"/>
  <c r="D223" i="3"/>
  <c r="C223" i="3"/>
  <c r="A128" i="1"/>
  <c r="B225" i="3" l="1"/>
  <c r="A226" i="3"/>
  <c r="C224" i="3"/>
  <c r="D224" i="3"/>
  <c r="E224" i="3"/>
  <c r="A129" i="1"/>
  <c r="B226" i="3" l="1"/>
  <c r="D226" i="3" s="1"/>
  <c r="A227" i="3"/>
  <c r="C225" i="3"/>
  <c r="E225" i="3"/>
  <c r="D225" i="3"/>
  <c r="A130" i="1"/>
  <c r="E226" i="3" l="1"/>
  <c r="C226" i="3"/>
  <c r="B227" i="3"/>
  <c r="A228" i="3"/>
  <c r="A131" i="1"/>
  <c r="B228" i="3" l="1"/>
  <c r="D228" i="3" s="1"/>
  <c r="A229" i="3"/>
  <c r="D227" i="3"/>
  <c r="C227" i="3"/>
  <c r="E227" i="3"/>
  <c r="A132" i="1"/>
  <c r="E228" i="3" l="1"/>
  <c r="C228" i="3"/>
  <c r="B229" i="3"/>
  <c r="A230" i="3"/>
  <c r="A133" i="1"/>
  <c r="B230" i="3" l="1"/>
  <c r="E230" i="3" s="1"/>
  <c r="A231" i="3"/>
  <c r="D229" i="3"/>
  <c r="C229" i="3"/>
  <c r="E229" i="3"/>
  <c r="A134" i="1"/>
  <c r="B231" i="3" l="1"/>
  <c r="C231" i="3" s="1"/>
  <c r="A232" i="3"/>
  <c r="C230" i="3"/>
  <c r="D230" i="3"/>
  <c r="A135" i="1"/>
  <c r="D231" i="3" l="1"/>
  <c r="E231" i="3"/>
  <c r="B232" i="3"/>
  <c r="A233" i="3"/>
  <c r="A136" i="1"/>
  <c r="B233" i="3" l="1"/>
  <c r="A234" i="3"/>
  <c r="C232" i="3"/>
  <c r="E232" i="3"/>
  <c r="D232" i="3"/>
  <c r="A137" i="1"/>
  <c r="B234" i="3" l="1"/>
  <c r="A235" i="3"/>
  <c r="D233" i="3"/>
  <c r="C233" i="3"/>
  <c r="E233" i="3"/>
  <c r="A138" i="1"/>
  <c r="B235" i="3" l="1"/>
  <c r="A236" i="3"/>
  <c r="C234" i="3"/>
  <c r="E234" i="3"/>
  <c r="D234" i="3"/>
  <c r="A139" i="1"/>
  <c r="B236" i="3" l="1"/>
  <c r="A237" i="3"/>
  <c r="E235" i="3"/>
  <c r="D235" i="3"/>
  <c r="C235" i="3"/>
  <c r="A140" i="1"/>
  <c r="B237" i="3" l="1"/>
  <c r="D237" i="3" s="1"/>
  <c r="A238" i="3"/>
  <c r="E236" i="3"/>
  <c r="D236" i="3"/>
  <c r="C236" i="3"/>
  <c r="A141" i="1"/>
  <c r="E237" i="3" l="1"/>
  <c r="C237" i="3"/>
  <c r="B238" i="3"/>
  <c r="A239" i="3"/>
  <c r="A142" i="1"/>
  <c r="B239" i="3" l="1"/>
  <c r="A240" i="3"/>
  <c r="C238" i="3"/>
  <c r="E238" i="3"/>
  <c r="D238" i="3"/>
  <c r="A143" i="1"/>
  <c r="B240" i="3" l="1"/>
  <c r="A241" i="3"/>
  <c r="D239" i="3"/>
  <c r="C239" i="3"/>
  <c r="E239" i="3"/>
  <c r="A144" i="1"/>
  <c r="B241" i="3" l="1"/>
  <c r="A242" i="3"/>
  <c r="E240" i="3"/>
  <c r="D240" i="3"/>
  <c r="C240" i="3"/>
  <c r="A145" i="1"/>
  <c r="B242" i="3" l="1"/>
  <c r="E242" i="3" s="1"/>
  <c r="A243" i="3"/>
  <c r="C241" i="3"/>
  <c r="E241" i="3"/>
  <c r="D241" i="3"/>
  <c r="A146" i="1"/>
  <c r="C242" i="3" l="1"/>
  <c r="D242" i="3"/>
  <c r="B243" i="3"/>
  <c r="A244" i="3"/>
  <c r="A147" i="1"/>
  <c r="A245" i="3" l="1"/>
  <c r="B244" i="3"/>
  <c r="E243" i="3"/>
  <c r="D243" i="3"/>
  <c r="C243" i="3"/>
  <c r="A148" i="1"/>
  <c r="E244" i="3" l="1"/>
  <c r="D244" i="3"/>
  <c r="C244" i="3"/>
  <c r="A246" i="3"/>
  <c r="B245" i="3"/>
  <c r="A149" i="1"/>
  <c r="D245" i="3" l="1"/>
  <c r="C245" i="3"/>
  <c r="E245" i="3"/>
  <c r="B246" i="3"/>
  <c r="A247" i="3"/>
  <c r="A150" i="1"/>
  <c r="B247" i="3" l="1"/>
  <c r="E247" i="3" s="1"/>
  <c r="A248" i="3"/>
  <c r="D246" i="3"/>
  <c r="E246" i="3"/>
  <c r="C246" i="3"/>
  <c r="A151" i="1"/>
  <c r="C247" i="3" l="1"/>
  <c r="D247" i="3"/>
  <c r="B248" i="3"/>
  <c r="A249" i="3"/>
  <c r="A152" i="1"/>
  <c r="B249" i="3" l="1"/>
  <c r="A250" i="3"/>
  <c r="D248" i="3"/>
  <c r="E248" i="3"/>
  <c r="C248" i="3"/>
  <c r="A153" i="1"/>
  <c r="B250" i="3" l="1"/>
  <c r="A251" i="3"/>
  <c r="E249" i="3"/>
  <c r="D249" i="3"/>
  <c r="C249" i="3"/>
  <c r="A154" i="1"/>
  <c r="B251" i="3" l="1"/>
  <c r="A252" i="3"/>
  <c r="D250" i="3"/>
  <c r="E250" i="3"/>
  <c r="C250" i="3"/>
  <c r="A155" i="1"/>
  <c r="B252" i="3" l="1"/>
  <c r="D252" i="3" s="1"/>
  <c r="A253" i="3"/>
  <c r="D251" i="3"/>
  <c r="C251" i="3"/>
  <c r="E251" i="3"/>
  <c r="A156" i="1"/>
  <c r="C252" i="3" l="1"/>
  <c r="E252" i="3"/>
  <c r="B253" i="3"/>
  <c r="D253" i="3" s="1"/>
  <c r="A254" i="3"/>
  <c r="A157" i="1"/>
  <c r="B254" i="3" l="1"/>
  <c r="D254" i="3" s="1"/>
  <c r="A255" i="3"/>
  <c r="B255" i="3" s="1"/>
  <c r="C253" i="3"/>
  <c r="E253" i="3"/>
  <c r="A158" i="1"/>
  <c r="E254" i="3" l="1"/>
  <c r="C254" i="3"/>
  <c r="D255" i="3"/>
  <c r="E255" i="3"/>
  <c r="C255" i="3"/>
  <c r="A159" i="1"/>
  <c r="A160" i="1" l="1"/>
  <c r="A161" i="1" l="1"/>
  <c r="A162" i="1" l="1"/>
  <c r="A163" i="1" s="1"/>
  <c r="A164" i="1" s="1"/>
  <c r="A165" i="1" s="1"/>
  <c r="A166" i="1" s="1"/>
  <c r="A167" i="1" l="1"/>
  <c r="A168" i="1" l="1"/>
  <c r="A169" i="1" l="1"/>
  <c r="A170" i="1" l="1"/>
  <c r="A171" i="1" l="1"/>
  <c r="A172" i="1" l="1"/>
  <c r="A173" i="1" l="1"/>
  <c r="A174" i="1" l="1"/>
  <c r="A175" i="1" l="1"/>
  <c r="A176" i="1" l="1"/>
  <c r="A177" i="1" l="1"/>
  <c r="A178" i="1" l="1"/>
  <c r="A179" i="1" l="1"/>
  <c r="A180" i="1" l="1"/>
  <c r="A181" i="1" l="1"/>
  <c r="A182" i="1" l="1"/>
  <c r="A183" i="1" l="1"/>
  <c r="A184" i="1" l="1"/>
  <c r="A185" i="1" s="1"/>
  <c r="A186" i="1" l="1"/>
  <c r="A187" i="1" l="1"/>
  <c r="A188" i="1" l="1"/>
  <c r="A189" i="1" s="1"/>
  <c r="A190" i="1" l="1"/>
  <c r="A191" i="1" l="1"/>
  <c r="A192" i="1" l="1"/>
  <c r="A193" i="1" l="1"/>
  <c r="A194" i="1" l="1"/>
  <c r="A195" i="1" l="1"/>
  <c r="A196" i="1" l="1"/>
  <c r="A197" i="1" l="1"/>
  <c r="A198" i="1" l="1"/>
  <c r="A199" i="1" s="1"/>
  <c r="A200" i="1" l="1"/>
  <c r="A201" i="1" l="1"/>
  <c r="A202" i="1" s="1"/>
  <c r="A203" i="1" s="1"/>
  <c r="A204" i="1" l="1"/>
  <c r="A205" i="1" s="1"/>
  <c r="A206" i="1" l="1"/>
  <c r="A207" i="1" s="1"/>
  <c r="A208" i="1" l="1"/>
  <c r="A209" i="1" l="1"/>
  <c r="A210" i="1" l="1"/>
  <c r="A211" i="1" l="1"/>
  <c r="A212" i="1" l="1"/>
  <c r="A213" i="1" l="1"/>
  <c r="A214" i="1" l="1"/>
  <c r="A215" i="1" l="1"/>
  <c r="A216" i="1" l="1"/>
  <c r="A217" i="1" l="1"/>
  <c r="A218" i="1" l="1"/>
  <c r="A219" i="1" l="1"/>
  <c r="A220" i="1" l="1"/>
  <c r="A221" i="1" l="1"/>
  <c r="A222" i="1" l="1"/>
  <c r="A223" i="1" l="1"/>
  <c r="A224" i="1" s="1"/>
  <c r="A225" i="1" s="1"/>
  <c r="A226" i="1" l="1"/>
  <c r="A227" i="1" l="1"/>
  <c r="A228" i="1" l="1"/>
  <c r="A229" i="1" l="1"/>
  <c r="A230" i="1" l="1"/>
  <c r="A231" i="1" s="1"/>
  <c r="A232" i="1" l="1"/>
  <c r="A233" i="1" l="1"/>
  <c r="A234" i="1" l="1"/>
  <c r="A235" i="1" l="1"/>
  <c r="A236" i="1" l="1"/>
  <c r="A237" i="1" s="1"/>
  <c r="A238" i="1" l="1"/>
  <c r="A239" i="1" l="1"/>
  <c r="A241" i="1" l="1"/>
  <c r="A242" i="1" s="1"/>
  <c r="A243" i="1" l="1"/>
  <c r="A244" i="1" l="1"/>
  <c r="A245" i="1" l="1"/>
  <c r="A246" i="1" l="1"/>
  <c r="A247" i="1" s="1"/>
  <c r="A248" i="1" s="1"/>
  <c r="A249" i="1" s="1"/>
  <c r="A250" i="1" s="1"/>
  <c r="A251" i="1" l="1"/>
  <c r="A252" i="1" l="1"/>
  <c r="A253" i="1" l="1"/>
  <c r="A254" i="1" l="1"/>
  <c r="A255" i="1" l="1"/>
  <c r="A256" i="1" l="1"/>
  <c r="A257" i="1" l="1"/>
  <c r="A258" i="1" l="1"/>
  <c r="A259" i="1" l="1"/>
  <c r="A260" i="1" l="1"/>
  <c r="A261" i="1" l="1"/>
  <c r="A262" i="1" l="1"/>
  <c r="A263" i="1" l="1"/>
  <c r="A264" i="1" l="1"/>
  <c r="A265" i="1" l="1"/>
  <c r="A266" i="1" l="1"/>
  <c r="A267" i="1" l="1"/>
  <c r="A268" i="1" l="1"/>
  <c r="A270" i="1" l="1"/>
  <c r="A271" i="1" l="1"/>
  <c r="A272" i="1" l="1"/>
  <c r="A273" i="1" l="1"/>
  <c r="A274" i="1" l="1"/>
  <c r="A275" i="1" l="1"/>
  <c r="A276" i="1" l="1"/>
</calcChain>
</file>

<file path=xl/sharedStrings.xml><?xml version="1.0" encoding="utf-8"?>
<sst xmlns="http://schemas.openxmlformats.org/spreadsheetml/2006/main" count="1704" uniqueCount="829">
  <si>
    <t>REKOD PENDAFTARAN PERMOHONAN JTPKSAS</t>
  </si>
  <si>
    <t>Bil</t>
  </si>
  <si>
    <t xml:space="preserve">Kes </t>
  </si>
  <si>
    <t>PBT</t>
  </si>
  <si>
    <t>Tahun</t>
  </si>
  <si>
    <t>Keputusan</t>
  </si>
  <si>
    <t>Tarikh Kelulusan</t>
  </si>
  <si>
    <t>Tajuk</t>
  </si>
  <si>
    <t>MBSJ</t>
  </si>
  <si>
    <t>MPAJ</t>
  </si>
  <si>
    <t>MPK</t>
  </si>
  <si>
    <t>MBPJ</t>
  </si>
  <si>
    <t>MPHS</t>
  </si>
  <si>
    <t>MBSA</t>
  </si>
  <si>
    <t>MPKL</t>
  </si>
  <si>
    <t>MPKj</t>
  </si>
  <si>
    <t>MPS</t>
  </si>
  <si>
    <t>MPKS</t>
  </si>
  <si>
    <t>MPSpg</t>
  </si>
  <si>
    <t>MDSB</t>
  </si>
  <si>
    <t>MBDK</t>
  </si>
  <si>
    <t>XDE KEPUTUSAN</t>
  </si>
  <si>
    <t>PPC Glomac Sdn. Bhd.</t>
  </si>
  <si>
    <t>BERSETUJU</t>
  </si>
  <si>
    <t>Permohonan Serahbalik Dan Berimilik Semula Di Bawah Seksyen 204D KTN, Di Atas Lot 243, 395 Dan 397 Mukim Sungai Buloh, Daerah Petaling, Seksyen U17, 40160 Shah Alam, Selangor Darul Ehsan.</t>
  </si>
  <si>
    <t>Turf Tech Sdn. Bhd.</t>
  </si>
  <si>
    <t>Permohonan Kelulusan Secara Serentak Bagi Pelan Kebenaran Merancang, Pelan Kerja Tanah, Pelan Jalan Dan Perparitan, Pelan Landskap, Pelan Bangunan Perumahan Di Atas Lot 163, Bandar Selayang, Daerah Gombak, Selangor Darul Ehsan.</t>
  </si>
  <si>
    <t>Sin Heap Lee Development Sdn. Bhd.</t>
  </si>
  <si>
    <t>bil 6/2010</t>
  </si>
  <si>
    <t>Permohonan Kebenaran Merancang Cadangan Serahbalik Dan Berimilikan Semula Tanah Di Bawah Seksyen 204A Kanun Tanah Negara (KTN) Bagi Pembangunan Perumahan, Di Atas Lot PT.1495/1, PT.1495/2, PT.1495/3 Dan PT1495/4, Mukim Cheras, Daerah Hulu Langat, Selangor Darul Ehsan.</t>
  </si>
  <si>
    <t xml:space="preserve">Trans Loyal Development Sdn. Bhd. </t>
  </si>
  <si>
    <t>Permohonan Pindaan Kebenaran Merancang Terhadap Sebahagian Pelan Susunatur Yang Telah Diluluskan (Bil. Surat : (12) Dlm. MPKJ PB/KM1/68-2002) Bagi Cadangan Pembangunan Perumahan Dan Perniagaan, Di Atas Pt 69787 (Sebahagian Lot Asal Lot 41146) Mukim Kajang, Daerah Hulu Langat, Selangor Darul Ehsan.</t>
  </si>
  <si>
    <t>Sunway Termuning Sdn. Bhd.</t>
  </si>
  <si>
    <t>DITANGGUHKAN</t>
  </si>
  <si>
    <t>Permohonan Kebenaran Merancang Untuk Pelan Susunatur Di Atas Lot 1316, 1352, 1355, 1401-1406, 1408-1410, 1412-1413, 1683-1684 Dan Sebahagian Lot 46953 (Lot 1351), Mukim Cheras, Daerah Hulu Langat, Selangor Darul Ehsan.</t>
  </si>
  <si>
    <t>Prisma Cabaran Sdn. Bhd.</t>
  </si>
  <si>
    <t>bil 1/2011</t>
  </si>
  <si>
    <t>Permohonan Kebenaran Merancang Bagi Cadangan Serah Balik Dan Pemberimilikan Semula Tanah, Di Bawah Seksyen 204d, Kanun Tanah Negara, Untuk Pembangunan Sekolah Agama Kiblah, Di Atas Lot 30774 (No. Hakmilik Pn) 43378), Mukim Dengkil, Daerah Sepang, Selangor Darul Ehsan Untuk Tetuan Prisma Cabaran Sdn. Bhd.</t>
  </si>
  <si>
    <t>PKNS dan Spanland Sdn. Bhd.</t>
  </si>
  <si>
    <t>Permohonan Kebenaran Merancang Bagi Pindaan Pelan Susunatur (Bil. : PKNS/SPANLAND(PR)/G/0411PL1-A) bertarikh 31hb. Januari 2008) di atas lot PT 24263 HS(D) 49212 Lot PT 27264 HS (D) 49213, Lot PT 27265 HS(D) 52089 Dan Tanah Kerajaan Milik PKNS, Mukim Rawang, Daerah Gombak, Selangor</t>
  </si>
  <si>
    <t>Dacing Kota Sdn. Bhd.</t>
  </si>
  <si>
    <t xml:space="preserve">Permohonan Kebenaran Merancang Pelan Susunatur Bagi Pembangunan Perumahan Di Atas Tanah Seluas 16.80 Ekar, Mukim Bukit Raja, Daerah Petaling, Seksyen U10, Shah Alam </t>
  </si>
  <si>
    <t>Kenangan Motivasi Sdn. Bhd.</t>
  </si>
  <si>
    <t>bil 5/2010
7/9/2010</t>
  </si>
  <si>
    <t xml:space="preserve">Permohonan Kebenaran Merancang Pelan Susunatur Bagi Pembangunan Perumahan Di Atas Lot Kompartment 32, Tanah Hutan Simpan Bukit Cherakah Seluas 100 Ekar, Mukim Bukit Raja, Daerah Petaling, Seksyen U10, Shah Alam Selangor </t>
  </si>
  <si>
    <t>BASCO Sdn. Bhd.</t>
  </si>
  <si>
    <t xml:space="preserve">Permohonan Kebenaran Merancang Pelan Susunatur Bagi Cadangan Pembangunan Perumahan Dan Perdagangan, Di Atas Tanah Pemberimilikan Seluas 200 Ekar, Seksyen U10, Shah Alam, Mukim Bukit Raja, Daerah Petaling, Selangor Darul Ehsan </t>
  </si>
  <si>
    <t>DITOLAK</t>
  </si>
  <si>
    <t>TPPT Sdn. Bhd.</t>
  </si>
  <si>
    <t>Permohonan Kebenaran Merancang Bagi Cadangan Pelan Induk Di Bukit Serai, Mukim Rawang, Daerah Gombak, Selangor Darul Ehsan</t>
  </si>
  <si>
    <t>Granstep Development Sdn. Bhd.</t>
  </si>
  <si>
    <t>Permohonan Kebenaran Merancang Bagi Cadangan Pembangunan Perumahan Di Atas Lot 1287 (PT 30517, HS(D) 34803) Seluas 11.84 hektar (29.28 ekar), Bandar Ampang, Daerah Hulu Langat, Selangor Darul Ehsan Untuk Tetuan Granstep Development Sdn. Bhd.</t>
  </si>
  <si>
    <t>TARIK DIRI</t>
  </si>
  <si>
    <t>Dijaya Property Sdn. Bhd.</t>
  </si>
  <si>
    <t>Permohonan Pecah Sempadan Dan Tukar Syarat Tanah Secara Serentak Di Bawah Seksyen 124a Kanun Tanah Negara 1965 Dan Pembangunan 90 Unit Rumah Teres Strata Di Bawah Seksyen 6(1a) Akta 318 (Akta Hakmilik Strata 1985) Di Atas Lot 5717 Dan 1953, Mukim Kajang, Daerah Hulu Langat, Selangor Darul Ehsan.</t>
  </si>
  <si>
    <t>Wangmatic Sdn. Bhd.</t>
  </si>
  <si>
    <t>Permohonan Kebenaran Merancang Bagi Tujuan Tukar Syarat Daripada Tiada Kepada Bangunan Perumahan Di Bawah Seksyen 124a, Kanun Tanah Negara Di Atas Lot 2717, Mukim Kajang, Daerah Hulu Langat, Selangor Darul Ehsan</t>
  </si>
  <si>
    <t>Permohonan Kebenaran Merancang Bagi Cadangan Serah Balik Dan Pemberimilikan Semula Tanah Di Bawah Seksyen 204d, Kanun Tanah Negara (Ktn) Untuk Pembangunan Sekolah Agama Kiblah Dan Mahad Tahfiz,                Di Atas Lot 30774 No. Hakmilik Pn 49378 (Pt17124), Mukim Dengkil, Daerah Sepang, Selangor Darul Ehsan.</t>
  </si>
  <si>
    <t>B.U. Developments Sdn. Bhd.</t>
  </si>
  <si>
    <t xml:space="preserve">Permohonan Kebenaran Merancang Bagi Cadangan Pembangunan Perniagaan yang Mengandungi Blok A, Blok B dan Blok C Serta meminda Syarat Nyata Tanah Daripada Bangunan Kediaman Kepada Perniagaan Secara Serentak Di Bawah Seksyen 124A Kanun Tanah Negara (KTN) Di Atas Lot 322 (GM53), Mukim Ulu Kelang, Daerah Gombak, Selangor Darul Ehsan. </t>
  </si>
  <si>
    <t>Majlis Agama Islam Selangor (MAIS).</t>
  </si>
  <si>
    <t>MDHS</t>
  </si>
  <si>
    <t>Permohonan Kebenaran Merancang Bagi Cadangan Pembangunan Pusat Latihan Saudara Baru ( Baitul Hikmah) Di Atas Sebahagian Hakmilik HSD 40183 PT 8789, Mukim Hulu Yam, Daerah Hulu Selangor, Selangor Darul Ehsan.</t>
  </si>
  <si>
    <t>Tanming Indah Sdn. Bhd.</t>
  </si>
  <si>
    <t xml:space="preserve">Permohonan Kebenaran Merancang Bagi Pindaan Terhapadap Pelan Yang Telah Diluluskan (Pelan Bil.MPKj/PB/KM/113-2004) Di Atas Lot 12681, Mukim Kajang, Daerah Hulu Langat, Selangor Darul Ehsan. </t>
  </si>
  <si>
    <t>SMS Development Sdn. Bhd.</t>
  </si>
  <si>
    <t xml:space="preserve">Permohonan Kebenaran Merancang Bagi Cadangan Pelan Susunatur Industri Berkembar 56 Unit Di Atas Lot 19003 Sekxsyen 19, Bandar Rawang, Daerah Gombak, Selangor Darul Ehsan   </t>
  </si>
  <si>
    <t>Tetuan Cheras Hong Soon  Development Sdn. Bhd.</t>
  </si>
  <si>
    <t>Mammoth Empire Land Sdn. Bhd.</t>
  </si>
  <si>
    <t>bil 2/2011</t>
  </si>
  <si>
    <t xml:space="preserve">Permohonan Kebenaran Merancang Bagi Cadangan Pecah Sempadan Mengikut Seksyen 135 (Kanun Tanah Negara 1965) Dan Pembangunan 795 Unit Rumah Teres 3 Tingkat Serta 1 Tingkat Tempat Letak kereta (Permilikan Berstrata Mengikut Seksyen 6, Akta Hakmilik Strata 1985) Di Atas Lot 44012 HSD 222396, Mukim Sungai Buloh, Daerah Petaling, Selangor Darul Ehsan.  </t>
  </si>
  <si>
    <t xml:space="preserve">Permodalan Negeri Selangor Berhad (PNSB) </t>
  </si>
  <si>
    <t>Cadangan Projek Perumahan Dimajukan Secara Usahasama Di Antara Setiausaha Kerajaan Negeri Selangor (Perbadanan) Dengan Syarikat Tetuan Agro Fresh (M) Sdn. Bhd. Pembangunan Perumahan Di Atas Lot 23739 (Dahulu Lot 1999), 23740 (Dahulu Lot 3505) Dan 23741 (Lot 3587) Mukim Sungai Buloh Daerah Petaling Selangor Darul Ehsan.</t>
  </si>
  <si>
    <t>Restu Mantap Sdn. Bhd.</t>
  </si>
  <si>
    <t>Permohonan Kebenaran Merancang Bagi Cadangan Pelan Susunatur Perumahan Di Atas Kompartmen 35, Hutan Simpan Bukit Cherakah, Mukim Bukit Raja, Daerah Petaling, Seksyen U10, Shah Alam, Selangor Darul Ehsan.</t>
  </si>
  <si>
    <t>Madonna Heights Development Sdn. Bhd.</t>
  </si>
  <si>
    <t>Permohonan Kebenaran Merancang Secara Serentak Dengan Menambah Syarat Nyata Tanah (Seksyen 124 (1) (C), Ktn Daripada Tapak Institusi Kepada Tapak Institusi Dan Bangunan Kediaman Bagi Cadangan Skim Perumahan Berpagar (‘Gated Community’) Mengandungi 15 Unit Rumah Sesebuah (Zero Lot) 3 Tingkat Dan 160 Unit Kondominium Termasuk 5 Tingkat Aras Bawah Di Atas Sebahagian Lot 389, Mukim Ulu Kelang, Daerah Gombak Selangor Darul Ehsan.</t>
  </si>
  <si>
    <t>Spectacular Sdn. Bhd.</t>
  </si>
  <si>
    <t>Permohonan Kebenaran Merancang Bagi Pembangunan Skim ‘Gated Community’ Di Bawah Seksyen 6(1a) Akta 318 (Akta Hakmilik Strata 1985) Yang Mengandungi Pembangunan 29 Unit Villa 3 ½ Tingkat Dan 12 Unit Rumah Kos Sederhana 4 Tingkat Di Atas Lot 5, Seksyen 2, Jalan 2, Taman Sri Ukay, Mukim Hulu Kelang, Daerah Gombak, Selangor Darul Ehsan.</t>
  </si>
  <si>
    <t>Jabatan Penjara Malaysia</t>
  </si>
  <si>
    <t>bil 3/2011</t>
  </si>
  <si>
    <t>Cadangan Pembinaan Pusat Latihan Juvana Penjara Malaysia Di Atas     Lot 2238 Mukim Dengkil, Daerah Sepang, Selangor Darul Ehsan.</t>
  </si>
  <si>
    <t>Angel Wing(M) Sdn. Bhd.</t>
  </si>
  <si>
    <t>bil 7/2011</t>
  </si>
  <si>
    <t>Permohonan Kebenaran Merancang Bagi Cadangan Pindaan Pelan Pembangunan Bercampur Di Atas Lot 96, 149, 452, 453 Dan 454 Mukim Hulu Kelang, Daerah Gombak, Selangor Darul Ehsan.</t>
  </si>
  <si>
    <t>Apex Capacity Sdn. Bhd.</t>
  </si>
  <si>
    <t>Permohonan Pembangunan Bercampur Secara Berimilikan Tanah Kerajaan Seluas 29.11 Ekar,  Mukim Bukit Raja, Daerah Petaling, Selangor Darul Ehsan.</t>
  </si>
  <si>
    <t>Tetuan Meseba Sdn. Bhd + lg 4 permohonan</t>
  </si>
  <si>
    <t>Permohonan Kebenaran Merancang Bagi Cadangan Serahbalik dan Berimilik Semula Di Bawah Seksyen 204B, Kanun Tanah Negara Untuk Cadangan Pembangunan Kediaman Sesebuah Di Atas Lot 43818 – 43829, Mukim Cheras, Daerah Hulu Langat, Selangor Darul Ehsan Untuk Tetuan Meseba Sdn. Bhd</t>
  </si>
  <si>
    <t>Tetuan Twin Ridge Sdn. Bhd.</t>
  </si>
  <si>
    <t>perlu rujuk ksas</t>
  </si>
  <si>
    <t>Tetuan Taman TAR Development Sdn. Bhd.</t>
  </si>
  <si>
    <t>Cyberview Sdn. Bhd. (Tetuan Messrs. Myvilla Development Sdn. Bhd.)</t>
  </si>
  <si>
    <t>Permohonan Kebenaran Merancang Bagi Cadangan Pembangunan :
I.  Perumahan Berkembar 2 Tingkat (52 Unit)
Ii.  Perumahan Berkembar 3 Tingkat (164 Unit)
Iii.  Perumahan Sesebuah 3 Tingkat (5 Unit)
Iv.  1 Unit Surau Dan
V.  1 Unit Rumah Pengawal
Di Bawah Skim ‘Guarded &amp; Gated Community’ Mengikut Seksyen 6(1a) Akta 318 (Akta Hakmilik Strata 1985) Di Atas Pt 26774 Seluas 34.86 Ekar, Jalan B15 (Baru) Cyberjaya, Mukim Dengkil, Daerah Sepang, Selangor Darul Ehsan.</t>
  </si>
  <si>
    <t>Triple Esteem Sdn. Bhd.</t>
  </si>
  <si>
    <t>Permohonan Kebenaran Merancang Bagi Membina 1 Unit Rumah Sesebuah 3 Tingkat (Termasuk 1 Separa Bawah Tanah) Di Atas Lot  6842 (4784), Jalan Teberau 1, Taman Ukay Heights, Bandar Ulu Klang, Daerah Gombak, Selangor Darul Ehsan</t>
  </si>
  <si>
    <t>Graham Murray Davidson</t>
  </si>
  <si>
    <t xml:space="preserve">Permohonan Kebenaran Merancang Secara Serentak Dengan Tukar Syarat Nyata Tanah Daripada Tiada Kepada Kediaman bagi Membina Sebuah Banglo 3 Tingkat Beserta Bawah Tanah Dan Satu Kolam Renang Di Atas Lot 1614 Taman Ukay Heights, Mukim Ulu Kelang, Daerah Gombak, Selangor </t>
  </si>
  <si>
    <t>Paul Leslie Smith</t>
  </si>
  <si>
    <t xml:space="preserve">Permohonan Kebenaran Merancang Secara Serentak Dengan Tukar Syarat Nyata Tanah Daripada Tiada Kepada Kediaman bagi Meroboh Dan Membina Semula Sebuah Banglo 3 Tingkat Beserta Bawah Tanah Dan Satu Kolam Renang Di Atas Lot 1615 Taman Ukay Heights, Mukim Ulu Kelang, Daerah Gombak, Selangor </t>
  </si>
  <si>
    <t>Ilona Russell Nee Iona Finnigan</t>
  </si>
  <si>
    <t xml:space="preserve">Permohonan Kebenaran Merancang Secara Serentak Dengan Tukar Syarat Nyata Tanah Daripada Tiada Kepada Kediaman bagi Meroboh Dan Membina Semula Sebuah Banglo 3 Tingkat Beserta Bawah Tanah Dan Satu Kolam Renang Di Atas Lot 1616 Taman Ukay Heights, Mukim Ulu Kelang, Daerah Gombak, Selangor </t>
  </si>
  <si>
    <t>SK Land &amp; Property Sdn. Bhd.</t>
  </si>
  <si>
    <t xml:space="preserve">Permohonan Kebenaran Merancang Pelan Susunatur Bagi Cadangan Membina Sebuah Bangunan ‘Cold Room’ 5 Tingkat Di Atas Lot PT 31117 (Lot 1713), Mukim Batu, Daerah Gombak, Selangor Darul Ehsan </t>
  </si>
  <si>
    <t>x</t>
  </si>
  <si>
    <t>Tenterajaya Sdn. Bhd. (Aman Kemensah Sdn. Bhd.)</t>
  </si>
  <si>
    <t xml:space="preserve">Permohonan Kebenaran Merancang Bagi Tujuan Penyerahan Balik Dan Pemberimilikan Semula Di Bawahseksyen 204, Ktn Untuk Pembangunan Perumahan Skim Komuniti Berpagar Di Bawah Seksyen 6 (1a) Akta 318 (Akta Hakmilik Strata 1985) Di Atas Lot 584, 585 Dan 599 Seluas 14.72 Ekar Mukim Ulu Klang Daerah Gombak, Selangor Darul Ehsan </t>
  </si>
  <si>
    <t>Twin Ridge Sdn. Bhd.</t>
  </si>
  <si>
    <t xml:space="preserve">Permohonan Pindaan Kebenaran Merancang Ke Atas Pelan Susunatur Yang Telah Diluluskan No. Rujukan Bil.(73)dlm MPAJ 11/2/91 Bertarikh 26 Oktober 2007 Bagi Cadangan Pembangunan Perumahan (Guarded Community) Di Atas Sebahagian Lot 424 Dan 542, Mukim Hulu Kelang, Daerah Gombak, Selangor Darul Ehsan </t>
  </si>
  <si>
    <t>Majlis Agama Islam Selangor.</t>
  </si>
  <si>
    <t>Permohonan Kebenaran Merancang (Pindaan) Mengikut Seksyen 21 Akta 172 Bagi Kelulusan Pelan Susunatur Ke Atas Cadangan Merekabentuk, Membina dan Menyiapkan Pusat Pemulihan Dadah Tegar Serta Kemudahan Infrastruktur Di Atas Sebahagian Lot PT 20304 (HSD 44501) Seluas 31.851 Ekar, Tanah Milik Kerajaan, Mukim Serendah, Daerah Hulu Selangor</t>
  </si>
  <si>
    <t>Taman TAR Development Sdn. Bhd.</t>
  </si>
  <si>
    <t xml:space="preserve">Cadangan Pembangunan Perumahan 88 Lot Banglo Di Atas HS(D) 18814 PT 11527 (Lot Lama 11641), Taman Tun Abdul Razak, Mukim Hulu Klang, Daerah Gombak, Selangor Darul Ehsan. </t>
  </si>
  <si>
    <t>Sunrise Alliance Sdn. Bhd.</t>
  </si>
  <si>
    <t xml:space="preserve">Permohonan Kebenaran Bagi Tujuan Serah Balik Dan Pemberimilikan Semula Di Bawah Seksyen 204A Untuk Cadangan Bangunan Perniagaa Di Atas Lot PT 24376 Mukim Kajang Daerah Hulu Langat, Selangor Darul Ehsan. </t>
  </si>
  <si>
    <t>Bras Sanctuary Property Sdn. Bhd.</t>
  </si>
  <si>
    <t>Permohonan Kebenaran Merancang Kepada Pelan Yang Telah Diluluskan  Oleh Majlis Perbandaran Selayang Bagi Cadangan Pembangunan 60 Unit Lot Sesebuah Skim “ Gated Community” Di bawah Seksyen 6(1A) Akta 318 (Hakmilik Strata 1985) Di atas Lot 5070 (Fasa 5A) Templer Park Resort, Mukim Rawang, Daerah Gombak.</t>
  </si>
  <si>
    <t>Mines Golf City Sdn. Bhd.</t>
  </si>
  <si>
    <t>Permohonan Kebenaran Merancang Mengikut Seksyen 21(1) Akta 172 Untuk Tujuan Pembangunan Sebuah Resort Golf 18 Lubang Di atas Lot 2746, 2747, 2748, 2749, 2750 Dan 2849, Bagi Fasa 1 dan Pelan Konsep Bagi Fasa 2, Mukim Batang Kali, Daerah Hulu Selangor, Selangor Darul Ehsan.</t>
  </si>
  <si>
    <t xml:space="preserve">Bluewater Development Berhad </t>
  </si>
  <si>
    <t xml:space="preserve">Permohonan Kebenaran Merancang Bagi Pelan Susunatur Perumahan Serta Tujuan Serah Balik Dan Pemberimilikan Semula Tanah Di Bawah Seksyen 204a Daripada Tiada Kepada Bangunan (Kediaman) Kanun Tanah Negara Di Atas Lot 8845, Mukim Kajang, Daerah Hulu Langat, Selangor Darul Ehsan </t>
  </si>
  <si>
    <t>Euthenia Land Sdn. Bhd.</t>
  </si>
  <si>
    <t>Permohonan Kebenaran Merancang Bagi Serah Balik Dan Pemberimilikan Semula Tanah Di Bawah Seksyen 204A, Kanun Tanah Negara (KTN), Daripada Pertanian Kepada Bangunan, Mukim Kajang, Daerah Hulu Langat, Selangor Darul Ehsan.</t>
  </si>
  <si>
    <t>Lucky Bright Star Sdn. Bhd.</t>
  </si>
  <si>
    <t>Permohonan Kebenaran Bagi Pelan Susunatur Perumahan Strata Secara Komuniti Berpengawal Dan Berpagar Di Bawah Seksyen 6 1A Akta 318 ( Akta Hakmilik Strata 1985 ) Di Atas Lot 1108 ( Lot Lama PT 243740 ) Pekan Kajang, Daerah Hulu Langat, Selangor Darul Ehsan.</t>
  </si>
  <si>
    <t>Sierra Ukay Sdn. Bhd.</t>
  </si>
  <si>
    <t>Permohonan Kebenaran Merancang Mengikut Seksyen 21, Akta 172, Bagi Cadangan Pindaan Pelan Susunatur Untuk Tujuan Tukar Syarat Dan Pecah Sempadan Tanah Di Bawah Seksyen 124A, Kanun Tanah Negara (KTN) Daripada Pertanian Kepada Bangunan , Di Atas Lot 15687 Seluas 90.56 Ekar, Mukim Hulu Klang, Daerah Gombak, Selangor Darul Ehsan.</t>
  </si>
  <si>
    <t>Angkasa Gagah Sdn. Bhd.</t>
  </si>
  <si>
    <t>bil 6/2013</t>
  </si>
  <si>
    <t>Permohonan Pelan Pembangunan Perumahan Bercampur Di Atas Lot 16833 (PT 4609), 16834 (PT 4610), 16835 (PT 4611) Dan 16836 Dan 16837, Taman Melawati, Mukim Setapak, Daerah Gombak, Selangor Darul Ehsan.</t>
  </si>
  <si>
    <t>MDS Ventures Sdn. Bhd.</t>
  </si>
  <si>
    <t>Permohonan Kebenaran Merancang Bagi Tujuan Serah Balik Kurnia Semula Di Bawah Seksyen 197 dan 79 Kanun Tanah Negara (KTN) Untuk Pembangunan 8 Unit Rumah Sesebuah (2 Tingkat Dan 1 Tingkat Separa Bawah Tanah ) Di Atas Lot PT 360, PT 361, PT 362, PT 584, PT 585, PT 586, PT 587 Dan Sebahagian Tanah Kerajaan, Jalan 5/64, Seksyen 19, Bandar Petaling Jaya, Daerah Petaling, Selangor Darul Ehsan.</t>
  </si>
  <si>
    <t>Pn. Lum Mun Yee</t>
  </si>
  <si>
    <t xml:space="preserve">Permohonan Kebenaran Merancang Bagi Cadangan Pembangunan Satu Unit Rumah Banglo 2 Tingkat Dan 1 Aras Bawah (Basement), Di Atas Lot 16700 Dan Lot 16701, Taman Melawati, Bandar Ulu Kelang, Mukim Setapak, Daerah Gombak, Selangor Darul Ehsan. </t>
  </si>
  <si>
    <t xml:space="preserve">Permohonan Kebenaran Merancang Pelan Susunatur Bagi Cadangan Membina Sebuah Bangunan 'Cold Room' 5 Tingkat Di Atas Lot Pt 31117 (1713), Mukim Batu, Daerah Gombak, Bandar Baru Selayang, Selangor Darul Ehsan Untuk Tetuan Sk Land &amp; Property Sdn.Bhd. </t>
  </si>
  <si>
    <t xml:space="preserve"> </t>
  </si>
  <si>
    <t>Ketapang Reality Sdn. Bhd.</t>
  </si>
  <si>
    <t>Permohonan Pindaan Pelan Susunatur Yang Telah Diluluskan ( Bernombor Rujukan Bil. 11/5/350 Bertarikh 16 Februari 2001 ) Bagi Cadangan Pembangunan Perumahan Di Atas Lot 115283, Mukim Hulu Kelang, Daerah Gombak, Selangor Darul Ehsan.</t>
  </si>
  <si>
    <t>Seriemas Development Sdn. Bhd.</t>
  </si>
  <si>
    <t>Permohonan Kebenaran Merancang Pelan Susunatur Bagi Pembangunan Kediaman Di Atas Lot PT 69786, Mukim Kajang, Ladang Bangi, Daerah Hulu Langat, Selangor Darul Ehsan.</t>
  </si>
  <si>
    <t>Berjayacity Sdn. Bhd.</t>
  </si>
  <si>
    <t>Permohonan Kebenaran Merancang Pelan Susunatur Bagi Cadangan Pecah Sempadan Dan Menukar Syarat Tanah Secara Serentak Di Bawah Seksyen 124A Kanun Tanah Negara KTN 1965 Di Atas Sebahagian Lot 25 Dan Sebahagian Lot 26, Mukim Sungai Tinggi, Daerah Hulu Selangor Darul Ehsan</t>
  </si>
  <si>
    <t>Projek Lebuhraya Utara Selatan(PLUS)</t>
  </si>
  <si>
    <t xml:space="preserve">Permohonan Kebenaran Merancang Pembangunan Plaza Tol Sungai Buaya Di Kilometer 434.7, Lebuhraya Utara – Selatan (PLUS), Mukim Serendah, Daerah Hulu Selangor.  </t>
  </si>
  <si>
    <t>Temasik Premium Sdn. Bhd.</t>
  </si>
  <si>
    <t>Permohonan Kebenaran Merancang Bagi Cadangan Pembangunan Kondominium Yang Mengandungi  :
a. Blok A Setinggi 26 Tingkat ( Berjumlah 182 Unit ) Serta Kemudahan (Dewan Serbaguna, Gymnasium, Bilik Baca, Dobi, Pasar Mini, Tempat Rehat/Cafe, Tadika) Dan 5 Tingkat Bawah Aras Jalan Untuk Tempat Letak Kereta.
b. Blok B Setinggi 19 Tingkat (Berjumlah 126 Unit) Serta Kemudahan (Dewan Serbaguna, Gymnasium, Bilik Baca, Dobi, Pasar Mini, Tempat Rehat/Cafe, Tadika) Dan 5 Tingkat Bawah Aras Jalan Untuk Tempat Letak Kereta.
Di atas Lot PT1073 Dan Lot 1074, Bandar Ulu Kelang, Daerah Gombak, Selangor Darul Ehsan.</t>
  </si>
  <si>
    <t>Dream Land Development Sdn. Bhd.</t>
  </si>
  <si>
    <t xml:space="preserve">Permohonan Kebenaran Merancang Bagi Tujuan Serah Balik Dan  Pemberimilikan Semula Tanah Di Bawah Seksyen 204A Kanun Tanah Negara  (KTN) Daripada Pertanian Kepada Bangunan (Kediaman) Di Atas Lot 1449,  Mukim Cheras, Daerah Hulu Langat, Selangor Darul Ehsan. </t>
  </si>
  <si>
    <t>Juta Development Sdn. Bhd.</t>
  </si>
  <si>
    <t xml:space="preserve">Permohonan Kebenaran Merancang Bagi Tujuan Serah Balik Dan Pemberimilikan Semula Tanah Di Bawah Seksyen 204A Kanun Tanah Negara (KTN) Daripada Pertanian Kepada Bangunan (Kediaman) Di Atas Lot 1450, Dan 1564 Mukim Cheras, Daerah Hulu Langat, Selangor Darul Ehsan. </t>
  </si>
  <si>
    <t>Ketapang Realty Sdn. Bhd.</t>
  </si>
  <si>
    <t>Permohonan Pindaan Kebenaran Merancang Pelan Susunatur Yang Telah Diluluskan (Bernombor Rujukan Bil. 11/5/350 Bertarikh 16hb. Februari, 2007) Bagi Cadangan Pembangunan Perumahan Di Bawah Seksyen 6(1), Akta 318 (Gated Community) Di Atas Lot 15283, Seksyen 2, Bandar Hulu Kelang, Daerah Gombak, Selangor Darul Ehsan.</t>
  </si>
  <si>
    <t>Superior Dignity Sdn. Bhd.</t>
  </si>
  <si>
    <t xml:space="preserve">Permohonan Kebenaran Merancang Bagi Pembangunan Skim “ Gated Community “ Di Bawah Seksyen 6(1A) Akta 318 ( Akta Hakmilik Strata 1985) Di Atas Lot 1224, 1234 Dan 1235, Kemensah, Mukim Hulu Kelang, Daerah Gombak, Selangor Darul Ehsan. </t>
  </si>
  <si>
    <t>Kundang Properties Sdn. Bhd.</t>
  </si>
  <si>
    <t xml:space="preserve">Permohonan Kebenaran Merancang Mengikut Seksyen 21, Akta 172 Bagi Tujuan Serah Balik Dan Kurnia Semula Di Bawah Seksyen 204D (KTN) Di Atas Lot 3451, Lot 3420, Lot 1442, Lot 1383, Lot 1444, Sebahagian Lot 1245 Dan Lot 1381, Mukim Rawang, Daerah Gombak, Selangor Darul Ehsan. </t>
  </si>
  <si>
    <t>Permohonan Kebenaran Merancang Untuk Tujuan Menukar Syarat Kegunaan Tanah Dan Pecah Sempadan Tanah Secara Serentak Di Bawah Seksyen 124A Kanun Tanah Negara (KTN) Daripada Perindustrian Kepada bangunan (Perumahan Dan Perniagaan ) Di Atas Lot 7989, Mukim Semenyih, Daerah Hulu Langat, Selangor Darul Ehsan.</t>
  </si>
  <si>
    <t>Berjaya City Sdn. Bhd.</t>
  </si>
  <si>
    <t>Cadangan Pendirian Kompleks Pemasangan Kereta Dan Kolej Automotif (Plot IS 3 Dan IS 4) Di Atas Sebahagian Lot 26 (Geran 39947), Mukim Sungai Tinggi, Daerah Hulu Selangor, Selangor Darul Ehsan.</t>
  </si>
  <si>
    <t>Kagumas Culinary Academy (M) Sdn. Bhd.</t>
  </si>
  <si>
    <t>Permohonan Kebenaran Merancang Bagi Cadangan Menukar Syarat Tanah Daripada Pertanian Kepada Bangunan Kagumas Culinary Academy Dan Pecah Sempadan Tanah Di Bawah Seksyen (124A) KTN Di Atas Lot 1451 &amp; 1452, Mukim Beranang, Daerah Hulu Langat, Selangor Darul Ehsan.</t>
  </si>
  <si>
    <t>Lembah Langat Development Sdn. Bhd.</t>
  </si>
  <si>
    <t>Setia Ecohill Sdn. Bhd.</t>
  </si>
  <si>
    <t xml:space="preserve">Permohonan Kebenaran Merancang untuk Tujuan Serahbalik Dan Berimilik Semula Tanah Di bawah Seksyen 204B Kanun Tanah Negara (KTN) Daripada Perindustrian Dan Bangunan Kepada Bangunan Bagi Cadangan Pembangunan Perumahan Bercampur Dan Perniagaan Di Atas lot 650 dan PT 33987, Mukim Semenyih, Daerah Hulu Langat, Selangor Darul Ehsan. </t>
  </si>
  <si>
    <t>Elite Harmony Development Sdn. Bhd. (Peridot Dev)</t>
  </si>
  <si>
    <t>Permohonan Kebenaran Merancang Pelan Susunatur Skim Perumahan Komuniti Berpagar Di Bawah Seksyen 6 (1A ) Akta Hakmilik Strata 1985 (Akta 318) Bagi Cadangan Pembangunan Perumahan Yang Mengandungi 29 unit rumah berangkai ( Link Houses ) dan 1 unit rumah sesebuah serta tukar Syarat Tanah Daripada Pertanian Kepada Kediaman Secara Serentak Di bawah seksyen 204A ( Kanun Tanah Negara ) Di Atas Lot 1375, Mukim Ulu Kelang, Daerah Gombak, Selangor Darul Ehsan.</t>
  </si>
  <si>
    <t>Noble Land Development Sdn. Bhd.</t>
  </si>
  <si>
    <t>Permohonan Kebenaran Merancang Bagi Tujuan Penyerahan Dan Pemberimilikan Semula Tanah Di Bawah Seksyen 204D, Kanun Tanah Negara Serentak Dengan Cadangan Pembangunan Skim Perumahan 19 Unit Rumah Sesebuah 2 ½ Tingkat Beserta Satu Unit Dewan Komuniti Di Bawah Satu Badan Pengurusan, ( SeksyeN 6, Akta Hakmilik Strata 1985, Act 318) Di Atas PT 12822 ( Lot 1005), PT 323 (Lot 1047), PT 324 ( Lot 233) Dan PT 325 ( Lot232 ) Jalan 5/69, Seksyen 5, Bandar Petaling Jaya, Daerah Petaling, Selangor Darul Ehsan.</t>
  </si>
  <si>
    <t>Sime Darby Property Berhad</t>
  </si>
  <si>
    <t xml:space="preserve">Permohonan Kebenaran Merancang Pindaan Pelan Susunatur Bagi Cadangan Pembangunan Perumahan Yang Terdiri Daripada 39 Unit Rumah Sesebuah Dan 36 Unit Rumah Berkembar Di Atas Lot PT 27830 HS(D) 271540 ( Fasa H1) Seluas 24.07 Ekar Dan Memindahkan 1 Unit Pencawang Elektrik Dari No. 25, Jalan Persiaran Metafasa ( Fasa H3 ) Ke Fasa H1, Denai Alam, Seksyen U16, Shah Alam, Mukim Bukit Raja, Daerah Petaling, Selangor Darul Ehsan </t>
  </si>
  <si>
    <t>Spectacular Heights Sdn. Bhd.</t>
  </si>
  <si>
    <t xml:space="preserve">Permohonan Kebenaran Merancang Untuk Tujuan Penyerahan Balik Dan Pemberimilikan Semula Di Bawah Seksyen 204A, Kanun Tanah Negara (KTN) Bagi Pembangunan Skim ‘Gated Community’ Di Bawah Seksyen 6(1A) Akta 318 (Akta Hakmilik Strata 1985), 70 Unit Kondominium 17 Tingkat (Termasuk 3 Tingkat Podium Tempat Letak Kereta Dan Kemudahan-Kemudahan Berkaitan) Di Atas Lot 5, Seksyen 2, Jalan 2, Taman Seri Ukay, Mukim Ulu Kelang, Daerah Gombak Selangor Darul Ehsan. </t>
  </si>
  <si>
    <t>Pinggir Mentari Sdn. Bhd.</t>
  </si>
  <si>
    <t>05.10.2016</t>
  </si>
  <si>
    <t>Cadangan Permohonan Pelan Susunatur Bagi Cadangan Pembangunan Perumahan, Rumah Kelab Dan Komersil Di atas Sebahagian Lot 18056 Dan Lot 1048, Mukim Rawang, Daerah Gombak, Selangor Darul Ehsan.</t>
  </si>
  <si>
    <t>Marvelane Home Sdn. Bhd.</t>
  </si>
  <si>
    <t>MPSJ</t>
  </si>
  <si>
    <t xml:space="preserve">Cadangan Pembangunan Perumahan Di Atas Lot 1086, 1088 Dan 1103 Di Putra Heights, Mukim damansara, Daerah Petaling, Selangor Darul Ehsan.  </t>
  </si>
  <si>
    <t>Pembangunan Rasa Selesa Sdn. Bhd.</t>
  </si>
  <si>
    <t>Perrmohonan Kebenaran Merancang Mengikut Seksyen 21 Akta 172 Bagi Tujuan Tukar Syarat Dan Pecah Sempadan Secara Serentak Di Bawah Seksyen 124-A Kanun Tanah Negara Bagi Cadangan Pembangunan      136 Unit Garden Villa Yang Mempunyai 30 Unit Jenis A (4 Tingkat) 82 Unit Jenis B (4 Tingkat) dan 24 Unit Jenis C (5 Tingkat) Di Atas Lot 1527            (GM 1112) Mukim Cheras, Daerah Hulu Langat, Selangor Darul Ehsan.</t>
  </si>
  <si>
    <t>UEM Land Berhad</t>
  </si>
  <si>
    <t>Permohonan Kebenaran Merancang Secara Serah Balik Dan Kurnia Semula Di Bawah Seksyen 204A KTN Di Atas Lot 18370 ( PT 21628 ) Seluas 448.61 Ekar, Mukim Semenyih, Daerah Hulu Langat, Selangor Darul Ehsan.</t>
  </si>
  <si>
    <t>Tetuan : Pangkat Unggul Sdn. Bhd.</t>
  </si>
  <si>
    <t>bil 3/2013
1/3/2013</t>
  </si>
  <si>
    <t>Permohonan Kebenaran Merancang Bagi Tukar Syarat Kategori Kegunaan Tanah Daripada Pertanian Kepada Bangunan dan Ttukar Syarat Nyata Daripada Tanaman Getah Kepada Bangunan Kediaman Di bawah Seksyen 124 (1) (a) &amp; (c) (KTN), Di atas Lot 1098, Mukim Cheras, Daerah Hulu Langat, Selangor Darul Ehsan.</t>
  </si>
  <si>
    <t>Tetuan : Kajang Resources Corp. Sdn. Bhd.</t>
  </si>
  <si>
    <t xml:space="preserve">Permohonan Kebenaran Merancang Pelan Sususnatur Secara Serah Balik Dan Berimilik Semula Mengikut Seksyen 197 &amp; 76 Kanun Tanah Negara Di Atas lot 2120, 2121, 2122, 2217, 2230, 2231, 2822,  2823, PT 10952, PT 10953 Dan Sebahagian Tanah Kerajaan, Mukim Semenyih, Daerah Hulu langat, Selangor Darul Ehsan.   </t>
  </si>
  <si>
    <t>Puan Rahmah Binti Dato' Hj. Abdul Rahman</t>
  </si>
  <si>
    <t xml:space="preserve">Permohonan Mendapatkan Kelulusan Daripada Jawatankuasa Teknikal Pembangunan Kawasan Sensitif Alam Sekitar (JKTPKSAS) Negeri Selangor Ke Atas Permohonan Kebenaran Merancang Bagi Mendirikan Sebuah Rumah Kediaman 3 Tingkat Di Atas Lot 21582 (PT 3148 Seksyen 2), Jalan 14/3, Taman Tun Abdul Razak, Bandar Ulu Klang, Daerah Gombak, Selangor Darul Ehsan. </t>
  </si>
  <si>
    <t>Tetuan : Gapadu Harta Sdn. Bhd.</t>
  </si>
  <si>
    <t>Permohonan Kebenaran Merancang Secara Serentak Bagi Cadangan Pelan Tatatur Perumahan Untuk Tujuan Penyerahan Dan Pemberimilikan Semula Tanah Di Bawah Seksyen 197/76 Kanun Tanah Negara Di Atas Lot Pt 3902 Hingga Lot Pt 4062 (Semuanya 161 Lot Seluas 32.54 Ekar) Dan Sebahagian Tanah Kerajaan (23.47 Ekar) Di Seksyen 2, Bandar Ulu Kelang, Daerah Gombak, Selangor Darul Ehsan.</t>
  </si>
  <si>
    <t>Tetuan : Riverside Hills Sdn. Bhd.</t>
  </si>
  <si>
    <t>Permohonan Kebenaran Merancang Untuk Tujuan Serahbalik Dan Berimilik Semula Tanah Di Bawah Seksyen 204b, Kanun Tanah Negara (Ktn) Daripada Tiada Kepada Bangunan Bagi Cadangan Pembangunan Bercampur Dan Perniagaan, Di Atas Lot 35, Lot 1252 Dan Sebahagian Lot 1365, Mukim Beranang, Daerah Hulu Langat, Selangor Darul Ehsan.</t>
  </si>
  <si>
    <t>Tetuan : Permodalan Negeri selangor Berhad</t>
  </si>
  <si>
    <t>Permohonan Kebenaran Merancang Bagi Cadangan Pindaan Ke Atas Pelan Susunatur Yang Telah Diluluskan Mpkj/Pb/Km/178.2001 Tarikh 31.3.2003 Untuk Tujuan Serahbalik Tanah Di Bawah Seksyen 197 Dan Berimilik Semula Tanah Di Bawah Seksyen 76 Ktn Bagi Cadangan Pembangunan Perumahan Bercampur Di Atas Pt 16442-16461, Pt 16462-16481, Pt 16482-16501, Pt 16502-16521, Pt 16522-16541, Pt 16542-16562, Pt 16563-16582, Pt 16583-16602, Pt 16603-16622, Pt 16623-16642, Pt 16643-16662, Pt 16663-16682, Pt 16683-16702, Pt 16703-16722, Pt 16723-16742, Pt 16743-16762, Pt 16763-16782, Pt 16783-16802, Pt 16803-16820 Dan Sebahagian Lot 1906, Mukim Semenyih, Daerah Hulu Langat, Selangor Darul Ehsan.</t>
  </si>
  <si>
    <t>Tetuan : Kajang Tropicana Heights</t>
  </si>
  <si>
    <t>Permohonan Kebenaran Merancang Bagi Tujuan Serah Balik dan Pemberimilikan Semula Tanah Di Bawah Seksyen 204B Kanun Tanah Negara (KTN) daripada Padang Golf &amp; Perniagaan Kepada Pembangunan Bercampur (Bangunan Perniagaan dan Kediaman) di atas Lot PT 14536, PT 14537, PT 14533 Bandar Batu 18 Semenyih dan Lot 32 &amp; Lot 1258, Mukim Semenyih, Daerah Hulu Langat, Selangor.</t>
  </si>
  <si>
    <t xml:space="preserve">Pemilik Tanah : Perbadanan Kemajuan Pertanian Selangor  
Pemaju Tanah : Tetuan Malaysia Botanical Gardens Resort Sdn. Bhd.  </t>
  </si>
  <si>
    <t>Cadangan Pembangunan Sebuah Resort Peranginan Di Atas Tapak Seluas 12.48 Ekar Serta Taman Botani Di Atas Tapak Seluas 183.92 Ekar Di Atas Lot 8993 (PT 2910) Seluas 201.91 Ekar, Mukim Batang Kali, Daerah Hulu Selangor, Selangor Darul Ehsan.</t>
  </si>
  <si>
    <t>Tetuan : Reliance Project Development Sdn. Bhd.</t>
  </si>
  <si>
    <t>Permohonan Kebenaran Merancang Bagi Tujuan Tukar Syarat &amp; Pecah Sempadan Serentak Daripada Pertanian Kepada Perumahan Di Bawah Seksyen 124a Kanun Tanah Negara (Ktn) Bagi Cadangan Pembangunan Pangsapuri Di Atas Lot 1435, Mukim Cheras, Daerah Hulu Langat, Selangor Darul Ehsan.</t>
  </si>
  <si>
    <t>Tetuan : Tristar Acres Sdn. Bhd.</t>
  </si>
  <si>
    <t>bil 7/2013</t>
  </si>
  <si>
    <t>Permohonan Kebenaran Merancang Cadangan Pembangunan Berstrata Di Bawah Akta Hakmilik Strata 1985 Serentak Dengan Permohonan Serah Balik Dan Kurnia Semula Tanah Di Bawah Seksyen 197 Dan 76, Ktn 1965 Di Atas Lot 1780, Lot 2009, Lot 2010, Lot 1541, Lot 1125 (Lot Baru Lot 6455, Lot 6458, Lot 6460 Dan Lot 6462), Lot 1511, Lot 1108, Lot 1109, Lot 1107 (Lot Baru Lot 6452 Dan Lot 6453) Dan Lot 2017, Kampung Sungai Buah, Mukim Dengkil, Daerah Sepang, Selangor Darul Ehsan.</t>
  </si>
  <si>
    <t>Tetuan : MDS Ventures Sdn. Bhd.(Lot 577 &amp; 578)</t>
  </si>
  <si>
    <t>Permohonan Kebenaran Merancang Bagi Tujuan Serah Balik Kurnia Semula Di Bawah Sesyen 204b Kanun Tanah Negara Untuk Pembangunan 4 Unit Rumah Sesebuah (2 Tingkat Dan 1 Tingkat Separa Bawah Tanah) Di Atas Lot 577 Dan Lot 578 Jalan 5/66, Mukim Bandar Petaling Jaya Daerah Petaling, Selangor  Darul Ehsan.</t>
  </si>
  <si>
    <t>Tetuan : Dr. N. Krishna Moorty A/L S.A Navaratnam</t>
  </si>
  <si>
    <t>Permohonan Kebenaran Merancang Bagi Cadangan Membina Sebuah Rumah Sesebuah 3 Tingkat Dengan 2 Aras Bawah Tanah Di Atas Lot PT 48 (N0 11) Jalan 16/9, Seksyen 16, Petaling Jaya, Mukim Bandar Petaling Jaya, Daerah Petaling, Selangor Darul Ehsan.</t>
  </si>
  <si>
    <t>Tetuan : Tebing Murni Sdn. Bhd.</t>
  </si>
  <si>
    <t>bil 3/2014</t>
  </si>
  <si>
    <t xml:space="preserve">Permohonan Kebenaran Merancang Bagi Pembangunan (Apartment Dan Town Villa) Di Atas Lot PT 76295, Mukim Kajang, Daerah Hulu Langat, Selangor Darul Ehsan. </t>
  </si>
  <si>
    <t>Tetuan : Segar Raya Development Sdn. Bhd.</t>
  </si>
  <si>
    <t xml:space="preserve">Permohonan Kebenaran Merancang Bagi Cadangan Pembangunan Perumahan Di Atas Tanah Seluas 22.35 Ekar (Bersebelahan Taman Bukit Teratai), Mukim Ampang, Daerah Hulu Langat, Selangor Darul Ehsan. </t>
  </si>
  <si>
    <t>Tetuan : Chantelle Heights  Sdn. Bhd.</t>
  </si>
  <si>
    <t>Permohonan Kebenaran Merancang Bagi Cadangan Pembangunan Perumahan Di Atas Plot D &amp; E, Mukim Rawang, Daerah Gombak, Selangor Darul Ehsan.</t>
  </si>
  <si>
    <t>Tetuan : Pn. Rahmah Binti Abdul Rahim</t>
  </si>
  <si>
    <t>Tetuan : Perbadanan Kemajuan Pertanian Selangor</t>
  </si>
  <si>
    <t>Tetuan : Sime Darby Ampar Tenang Sdn. Bhd.</t>
  </si>
  <si>
    <t xml:space="preserve">Permohonan Serentak Kebenaran Merancang Cadangan Pembangunan Bercampur Mengikut Seksyen 21, Akta 172 Melalui Serah Balik Dan Beri Milik  Semula Tanah Di Bawah Seksyen 204D, Kanun Tanah Negara, Di Atas Lot-Lot 3859, 6919, 4960, 3173, 4639, 4705, 4641, 3726, 3895, 4640, 31484, 7718, 20996, 6172, 31485, 4217, 27977, 27999 Dan Sebahagian Tanah Kerajaan, Mukim Dengkil, Daerah Sepang, Selangor Darul Ehsan. </t>
  </si>
  <si>
    <t>Tetuan Kuala Lumpur Metro (M) Sdn. Bhd.</t>
  </si>
  <si>
    <t xml:space="preserve">Permohonan Pindaan Kebenaran Merancang Bagi Cadangan Penyerahan Balik Dan Pemberimilikan Semula Di Bawah Seksyen 204a, Kanun Tanah Negara 1965 Dan Pembangunan 160 Unit Rumah  Sesebuah Strata Dan Sebuah Rumah Kelab Di Bawah Seksyen 6(1a) Akta 318 (Akta Hakmilik Strata 1985) Di Atas Lot 5717 &amp; 1953, Mukim Kajang, Daerah Hulu Langat, Selangor Darul Ehsan. </t>
  </si>
  <si>
    <t>Tetuan Ong Aun Kung</t>
  </si>
  <si>
    <t xml:space="preserve">Permohonan Kebenaran Merancang Bagi Cadangan Membina Sebuah Rumah ( 2 Tingkat Dan 1 Tingkat Separa Bawah Tanah ) Di Atas Lot 560, Jalan 5/66, Mukim Bandar Petaling Jaya, Daerah Petaling, Selangor Darul Ehsan.       </t>
  </si>
  <si>
    <t>Tetuan Forward Esteem Sdn. Bhd.</t>
  </si>
  <si>
    <t xml:space="preserve">Permohonan Kebenaran Merancang Untuk Membina 3 Blok 'Servis Apartment 32-33 Tingkat Terdiri Daripada 24-25 Tingkat 'Servis Apartment', 7 Tingkat Podium Tempat Letak Kereta, 1 Tingkat Kemudahan Dan 1 Tingkat Basement Tempat Letak Kereta Melalui Serah Balik Dan Berimilikan Semula Tanah Di Bawah Seksyen 204 A Kanun Tanah Negara Di Atas Lot 847, Mukim Hulu Klang, Daerah Gombak, Selangor Darul Ehsan. </t>
  </si>
  <si>
    <t>Tetuan Dominion Park Sdn. Bhd.</t>
  </si>
  <si>
    <t>bil 6/2014</t>
  </si>
  <si>
    <t xml:space="preserve">Permohonan Kebenaran Merancang Bagi Tujuan Meminda Syarat Nyata Di Bawah Seksyen 124(1)(C), Kanun Tanah Negara Serentak Dengan Pembangunan Perumahan 32 Unit Rumah Berkembar, 16 Unit Rumah Sesebuah Biasa Dan 51 Unit Rumah Sesebuah 'Zero Lot Boundary’ Beserta Satu Rumah Kelab Di Bawah Skim 'Gated Community’ Di Bawah Seksyen 6 (1a) Akta 318 (Akta Hakmilik Strata 1985) Di Atas Lot 21690 (Pn 16052), Bandar Ulu Kelang, Daerah Gombak, Selangor Darul Ehsan </t>
  </si>
  <si>
    <t>Tetuan Metro - I Corporation Sdn. Bhd.</t>
  </si>
  <si>
    <t>bil 7/2014</t>
  </si>
  <si>
    <t>Permohonan Kebenaran Merancang Pelan Susunatur Secara Serentak Dengan Penyerahan Balik Dan Pemberimilikan Semula (Seksyen 204d Ktn) Bagi Pembangunan Kediaman (Aman Heights Fasa 2) Di Atas Pt 1752 Dan Pt 1753 (Keluasan 3.52 Ekar), Bandar Sungai Buloh, Daerah Gombak, Selangor Darul Ehsan</t>
  </si>
  <si>
    <t>Tetuan Mammoth Empire Land Sdn. Bhd.</t>
  </si>
  <si>
    <t>Permohonan Kebenaran Merancang Bagi Pindaan Ke Atas Pelan Lulus Bil.21 DLM.MBPJ/040100/T/P23/PJU8/5822/2010 Untuk Cadangan Pembangunan Perumahan Yang Mengandungi:
(1)  633 Unit Rumah Teres 3 Tingkat, 17 Unit Rumah Teres 2 Tingkat Dan 1 Tingkat Podium Tempat Letak Kereta;
(2)  19 Unit Rumah Bandar Bandar 3 Tingkat Dan 1 Tingkat Podium Tempat Letak Kereta
(3)  81 Unit Kondominium (2 blok 11-16 tingkat) dan 2 Tingkat Podium Tempat Letak Kereta;
(Permilikan Berstrata Mengikut Seksyen 6(1A), Akta Hakmilik Strata 1985) di atas lot PT 48042 (HSD 267032), (Lot Lama : Sebahagian Lot 44012 HSD 222396, jalan PJU 8/1, Damansara Perdana, Mukim Sungai Buloh, Daerah Petaling, Selangor Darul Ehsan</t>
  </si>
  <si>
    <t>Tetuan Kementerian Pelajaran Malaysia</t>
  </si>
  <si>
    <t>bil 5/2014</t>
  </si>
  <si>
    <t>Permohonan Kebenaran Merancang Bagi Cadangan Membina Dan Menyiapkan Projek IBS Bagi Sekolah Kebangsaan Ukay Sering, Gombak (B), Di Atas Lot 22248 Yang Mengandungi 30 Bilik Darjah Dan Kemudahan Berkaitan Di Daerah Gombak, Selangor Darul Ehsan.</t>
  </si>
  <si>
    <t>Tetuan Cempaka Group Sdn. Bhd.</t>
  </si>
  <si>
    <t>Permohonan Pengecualian Dari Merujuk Kepada Jawatankuasa Teknikal Pembangunan Kawasan Sensitif Alam Sekitar (KSAS) Bagi Cadangan Pembangunan Di Atas Lot 1664, Mukim Cheras, Daerah Hulu Langat, Selangor Darul Ehsan.</t>
  </si>
  <si>
    <t>Tetuan Medius Developments Sdn. Bhd.</t>
  </si>
  <si>
    <t xml:space="preserve">Cadangan Pelan Induk Bagi Pembangunan Perumahan Dan Perniagaan Di Atas Lot 12165 (PT 9233 ), Mukim Rawang, Daerah Gombak, Selangor Darul Ehsan </t>
  </si>
  <si>
    <t>Tetuan Pertanian Taman Equine Sdn. Bhd.</t>
  </si>
  <si>
    <t>bil 1/2015</t>
  </si>
  <si>
    <t>Permohonan Kebenaran Merancang Pendirian Bangunan Bagi Cadangan Pembangunan Pangsapuri Kos Bebas Berjumlah 700 Unit Diatas Lot PT 56723 (H.S(D) 241758, Yang Dahulunya Dikenali Sebagai Sebahagian PT 27426, Jalan Equine, Taman Equine, Bandar Putra Permai, Mukim Petaling, Daerah Petaling, Selangor Darul Ehsan.</t>
  </si>
  <si>
    <t>vibrant corridor &amp; tristar acres</t>
  </si>
  <si>
    <t>Tetuan Sunway Temuning Sdn. Bhd.</t>
  </si>
  <si>
    <t>Permohonan Kebenaran Merancang Pelan Susunatur Untuk Cadangan Perumahan Dan Perniagaan Secara Serah Balik Dan Pemberimilikan Semula Di Bawah Seksyen 204B, Kanun Tanah Negara 1965 Di Atas Lot 64354 (Lot Asal 1352 ), Lot 64355 (Lot Asal 1355), Lot 1402, Lot 1404, Lot 64356 (Lot Asal 1405) Lot 1406, Lot 1410 Dan Lot 44910 (Lot Asal PT 52261) Mukim Cheras, Daerah Hulu Langat, Selangor Darul Ehsan.</t>
  </si>
  <si>
    <t>Tetuan Gett Property Sdn. Bhd.</t>
  </si>
  <si>
    <t>Permohonan Kebenaran Merancang Bagi Cadangan Pembangunan 42 Unit Rumah Berkembar Berpagar Dan Berpengawal, Seksyen 6(1a) Akta Hakmilik Strata 1985(Akta 318) Di Atas Lot 13927 (Grn 60754), Mukim Semenyih, Daerah Hulu Langat, Selangor Darul Ehsan.</t>
  </si>
  <si>
    <t>Tetuan BHL Land Sdn. Bhd.</t>
  </si>
  <si>
    <t>Permohonan Kebenaran Merancang Pelan susunatur Bagi Cadangan Pembangunan Perumahan Berstrata Di Atas PT 36927 (HS (D) 296126), Seksyen U10, Mukim Bukit Raja, Daerah Petaling, Selangor Darul Ehsan.</t>
  </si>
  <si>
    <t>Tetuan Curah Bahagia Sdn. Bhd.</t>
  </si>
  <si>
    <t>Permohonan Kebenaran Merancang Bagi Cadangan Pembangunan Bercampur Di Atas Sebahagian Lot 15296 (PT 14250) Dan Lot 15295 (PT 14251), Mukim Ulu Kelang, Daerah Gombak, Selangor Darul Ehsan</t>
  </si>
  <si>
    <t>Tetuan En. Jaflus Bin Abdul Jalil, En. Nasrudin Bin Ali Dan  En. Baharum Bin Mohd. Din</t>
  </si>
  <si>
    <t>Permohonan Kebenaran Merancang Bagi Tujuan Serah Balik Dan Berimilik Semula Di Bawah Seksyen 204B Kanun Tanah Negara Bagi Cadangan  Pembangunan Pangsapuri Kos Tinggi Di Atas Lot 2754 Dan Lot 2755, Mukim Setapak, Daerah Gombak, Selangor Darul Ehsan.</t>
  </si>
  <si>
    <t>Tetuan Wiradani Development Sdn. Bhd.</t>
  </si>
  <si>
    <t xml:space="preserve"> Permohonan Kebenaran Merancang Untuk Pembangunan Bercampur Yang Terdiri Daripada :
i. 1 Blok Kedai Pejabat 3 Dan 4 Tingkat Berstrata ( 46 Unit ).
ii. 1 Blok Pangsapuri Perkhidmatan 40 Tingkat ( 256 Unit ) Dan Kemudahan Awam
Di Atas Lot 9525,  Mukim Ampang, Daerah Hulu Langat, Selangor Darul Ehsan.</t>
  </si>
  <si>
    <t>Tetuan Ligamas Sdn bhd</t>
  </si>
  <si>
    <t>Permohonan Kebenaran Merancang Bagi Cadangan Pindaan Perumahan Di Atas Pelan Susunatur Perumahan Yang Telah Diluluskan Pelan Bil. PKNS/LIGAMAS/PR/B.Kali/4F, Di Dalam Surat JPBDSEL./07/01/01/00006-T(6) Bertarikh 10 Jun 2005, Di Atas Lot 11753, Di Sebahagian Seksyen 4, Mukim Batang Kali, Daerah Hulu Selangor, Selangor Darul Ehsan.</t>
  </si>
  <si>
    <t>Tetuan Bras Sanctuary Sdn. Bhd</t>
  </si>
  <si>
    <t>Tetuan Mediarama Sdn. Bhd.</t>
  </si>
  <si>
    <t>Permohonan Pindaan Kebenaran Merancang Ke Atas Pelan Susunatur Yang Telah Diluluskan (MOHS/TP/52/2013 Bertarikh 12 Ogos 2013) Bagi Cadangan Perubahan Material Kegunaan Tanah Persendirian Untuk Mendirikan Bangunan Kem Program Latihan Khidmat Negara (PLKN) Diatas Lot 2484, 2603, 2604, 2610, Dan 2619Mukim Batang Kali, Daerah Hulu Selangor, Selangor Darul Ehsan.</t>
  </si>
  <si>
    <t>Persatuan Telugu Malaysia</t>
  </si>
  <si>
    <t>Permohonan Kebenaran Merancang Bagi Tujuan Serah Balik Kurnia Semula Bawah Seksyen 204B Kanun Tanah Negara Untuk Kegunaan Institusi Bagi Cadangan Meroboh Dan Membina Sebuah Kediaman Asrama 5 Tingkat Di Atas Lot 3472 (GM4575) Dan Lot 3474 (GM4577), Jalan Monorail, Mukim Serendah, Daerah Hulu Selangor, Selangor Darul Ehsan.</t>
  </si>
  <si>
    <t>Aman kemesah Sdn. Bhd.</t>
  </si>
  <si>
    <t>Permohonan Pindaan Kebenaran Merancang Ke Atas Pelan Susunatur Yang Telah Diluluskan [Pelan Bil. 11/2/2/3.2012 Bertarikh 24/04/12] Untuk Pembangunan Perumahan Skim ‘Gated Community’ Di Bawah Seksyen 6 (1A) Akta 318 (Akta Hakmilik Strata 1985) Di Atas Lot PT 18223 (Lot 584, 585 Dan 599) Seluas 14.72 Ekar Mukim Ulu Klang Daerah Gombak, Selangor Darul Ehsan.</t>
  </si>
  <si>
    <t>Havana Avenue Sdn. Bhd.</t>
  </si>
  <si>
    <t>Permohonan Kebenaran Merancang Secara Serentak Mengikut Seksyen 21, Akta Perancangan Bandar Dan Desa (1976) Bagi Cadangan Serah Balik Dan Pemberimilikan Semula Tanah Mengikut Seksyen 204D, Kanun Tanah Negara 1965 Untuk Pembangunan Perumahan Berstrata Mengikut Seksyen 6(1A) Akta Hakmilik Strata 1985, Di atas Lot 1211 Dan Lot 41645, Jalan Palma Utama, Mukim Cheras, Daerah Hulu Langat, Selangor Darul Ehsan.</t>
  </si>
  <si>
    <t>Darul Omni Sdn. Bhd.</t>
  </si>
  <si>
    <t>bil 9/2015</t>
  </si>
  <si>
    <t xml:space="preserve">Permohonan Pindaan Pelan Kerja Tanah Yang Telah Diluluskan (Mpsj.287/8/03/Ew/Z3/3(10a) Bertarikh 23 September 2003) Dari Pembangunan Pangsapuri Kos Sederhana , Pangsapuri Kos Sederhana Rendah, Pangsapuri Kos Rendah Kepada Cadangan Pembangunan Skim “Gated Community “Di Bawah Seksyen 6 (1a) Akta 318 (Akta Hakmilik Strata 1985) Dan 1 Unit Pencawang Elektrik Diatas Lot 86248 Dan 86249 Fasa 4, Taman Mutiara Indah, Mukim Petaling, Daerah Petaling, Selangor Darul Ehsan </t>
  </si>
  <si>
    <t>Cash Band (M) Berhad</t>
  </si>
  <si>
    <t xml:space="preserve">Permohonan Bagi Tujuan Perakuan Pelan Induk Bagi Cadangan Perumahan Bercampur Berstrata Diatas Lot 614 Dan Lot 11, Pekan Templer, Daerah Gombak, Selangor Darul Ehsan. </t>
  </si>
  <si>
    <t>Granstep Deveploment Sdn. Bhd.</t>
  </si>
  <si>
    <t>Permohonan Kebenaran Merancang Pembangunan 2 Skim Perumahan Berpagar Di Bawah Seksyen 6(1A) Akta 318 (Akta Hakmilik Strata 1985) KTN Bagi Membina :
1.) Skim 1 (Fasa 1,2 &amp; 3) Yang Mengandungi
A. 2 Unit Rumah Berkembar (45’ x 65’)
B. 26 Unit Rumah Berkembar (50’ X 60’)
C. 13 Unit Rumah Teres Superlink (22’ X 70’)
D. 39 Unit Rumah Teres Superlink (24’ X 70’)
E. 2 Blok Pangsapuri 19 Tingkat (304 Unit) Berserta 2 Unit Kedai
F. 1 Blok Pangsapuri 24 Tingkat (240 Unit) Berserta 2 Kedai
G. 1 Unit Rumah Kelab &amp; 3 Unit Pondok Pengawal
2.) Skim 2 (Fasa 4) Yang Mengandungi
A. 1 Blok Pangsapuri (Rumah Selangorku) 18 Tingkat (144 Unit)
B. 1 Unit Pondok Pengawal
Dan Pembangunan Akan Datang (Fasa 5) Serta Kemudahan Berkaitan Di Atas Lot 1287 (PT 30517 HS(D) 34803), Mukim Ampang, Daerah Hulu Langat, Selangor Darul Ehsan.</t>
  </si>
  <si>
    <t>Tetuan Scotia Commerce Sdn Bhd</t>
  </si>
  <si>
    <t>Permohonan Kebenaran Merancang Bagi Cadangan Pembangunan Perdagangan :
Fasa 1   a. Suite Pejabat 10 Tingkat
b. Menara Pejabat 25 Tingkat
c. Pusat Beli-Belah 3 Tingkat
d. Podium Tempat Letak Kereta 6 Tingkat
e. Besmen Tempat Letak Kereta 6 Tingkat
Fasa 2   f. Suite Pejabat 8 Tingkat
g. Menara Pejabat 29 Tingkat Termasuk 4 Tingkat Podium Tempat Letak Kereta
h. Pusat Beli-Belah 3 Tingkat
i. Podium Tempat Letak Kereta 3 Tingkat
Serta Kemudahan-Kemudahan Berkaitan Di Atas Lot 850 Batu 6¼ Ulu Kelang Road, Mukim Ulu Klang, Daerah Gombak, Selangor Darul Ehsan</t>
  </si>
  <si>
    <t>Tetuan Pusaka Padu</t>
  </si>
  <si>
    <t>Permohonan Kebenaran Merancang Bagi Pembangunan 1 Unit Rumah Sesebuah, 32 Unit Rumah Berkembar &amp; 163 Unit Rumah Teres Serta Cadangan Komuniti Berpagar Dan Berpengawal Di Bawah Seksyen 6(1A) Akta 318 (Akta Hakmilik Strata 1985), Kanun Tanah Negara (KTN), Di Atas Lot 188, Mukim Hulu Langat, Daerah Hulu Langat, Selangor Darul Ehsan.</t>
  </si>
  <si>
    <t>Tetuan Hwa Hwee Development Sdn. Bhd.</t>
  </si>
  <si>
    <t>Permohonan Kebenaran Merancang Mengikut Seksyen 21 Akta 172 Bagi Cadangan Pembangunan Yang Mengandungi :
a) 1 Unit Industri Sesebuah (Gudang) – 4 Tkt – Jenis A
b) 4 Unit Industri Berkembar (Gudang) – 4 Tkt – Jenis B
c) 5 Unit Industri Berkembar (Gudang) – 4 Tkt – Jenis C
d) 1 Unit Industri Berkembar (Gudang) – 4 Tkt – Jenis D
e) 1 Unit Pencawang Elektrik Dua Ruang,
Melalui Pecah Sempadan Tanah Di Bawah Seksyen 137 KTN Di Atas PT 9604 (Lot 9604), Mukim Batu, Daerah Gombak, Selangor Darul Ehsan.</t>
  </si>
  <si>
    <t>Tetuan Boustead Plantation Berhad</t>
  </si>
  <si>
    <t xml:space="preserve">Permohonan Kebenaran Merancang Mengikut Seksyen 21, Akta Perancangan Bandar Dan Desa (Akta 172), Bagi Cadangan Projek Pembangunan Kompleks Logistik Tentera Darat Di Atas Sebahagian Lot 37, Sebahagian Lot 932, Sebahagian Lot 1809, Sebahagian Lot 705,Sebahagian Lot 706, Sebahagian Lot 707, Sebahagian Lot 708, Dan Sebahagian Lot 709, Dan Penyerahan Balik Dan Pemberimilikan Semula Di Bawah Seksyen 204D, Kanun Tanah Negara, Mukim Beranang, Daerah Hulu Langat, Selangor Darul Ehsan. </t>
  </si>
  <si>
    <t>Tetuan Foster Estate Sdn. Bhd.</t>
  </si>
  <si>
    <t>bil 1/2016</t>
  </si>
  <si>
    <t xml:space="preserve">Permohonan Kebenaran Merancang Secara Serentak Mengikut Seksyen 21 (Akta Perancangan Bandar Dan Desa 1976) Bagi Tujuan Penyerahan Balik Dan Pemberimilikan Semula Tanah Mengikut Seksyen 204D (Kanun Tanah Negara 1965) Untuk Pembangunan Mengandungi :-
1) 2 Blok 56-71 Tingkat Pejabat, Hotel Dan Kedai ;
2) 32 Blok 9-66 Tingkat Menara Pejabat/Retail ;
3) 1 Blok Stadium Tertutup
4) 2 Blok Auditorium ;
5) 1 Blok Ski Dome ;
6) 1 Blok 2 Tingkat Taman Tema Tertutup ;
7) 1 Blok 3 Tingkat Kompleks Membeli Belah ;
8) Taman Tema Air ;
9) 144 Unit Kedai Pejabat 2-4 Tingkat ;
10) 1 Blok Dewan Konvensyen ;
Di Atas 3 Tingkat Lower Ground Yang Mengandungi Ruang Perniagaan, Kompleks Bankuet, Konvensyen, Dewan Konsert, Ruang Pameran Dan Tempat Letak Kereta Serta 2 Aras Basement Tempat Letak Kereta Diatas Lot-Lot PT48532 (HS(D)280465), Lot 72102 (PN) 96670 (Lot Lama PT 45310 (HS(D)216331) Dan Lot PT44018 (HS(D)222402), Jalan PJU 8/8, Damansara Perdana, Mukim Sungai Buloh, Daerah Petaling, Selangor Darul Ehsan. </t>
  </si>
  <si>
    <t>Tetuan Perodua Sales Sdn. Bhd.</t>
  </si>
  <si>
    <t xml:space="preserve">Permohonan Kebenaran Merancang Bagi Cadangan Tambahan Tempat Simpanan Kereta Perodua Secara Terbuka Dan Lain-Lain Kemudahan Berkaitan Serta Permohonan Serah Balik Kurnia Semula Tanah Di Bawah Seksyen 204B, KTN Di Atas PT 16027 (Lot 6346), Mukim Bandar Serendah, Daerah Hulu Selangor, Selangor Darul Ehsan. </t>
  </si>
  <si>
    <t>Tetuan Klanggroup Properties Management Sdn. Bhd.</t>
  </si>
  <si>
    <t xml:space="preserve">Permohonan Kebenaran Merancang Pelan Susunatur Bagi Membina :-
1) 438 Unit Kondominium Di Parcel 1,
2) 387 Unit Kondominium Di Parcel 2,
3) 390 Unit Kondominium Di Parcel 3,
4) 244 Unit Rumah Selangorku Jenis A Dan 366 Unit Rumah Selangorku Jenis B, C Dan D Di Parcel 4,
Di Atas Lot 4595, 4596, Dan 4597 Bandar Ampang, Daerah Hulu Langat, Selangor Darul Ehsan.  </t>
  </si>
  <si>
    <t>Tetuan Pintar Arif Sdn. Bhd.</t>
  </si>
  <si>
    <t xml:space="preserve">Permohonan Kebenaran Merancang Bagi Cadangan Pembangunan Perumahan Yang Mengandungi:-
A. Blok A – 1 Blok Pangsapuri 16 Tingkat (126 Unit)
B. Blok B – 1 Blok Pangsapuri 14 Tingkat (98 Unit)
C. Blok C – 1 Blok Pangsapuri (Rumah Mampu Milik – Jenis C 12 Tingkat (60 Unit) Di Atas Podium Tempat Letak Kereta 4-5 Tingkat Beserta 18 Unit Pangsapuri (Jenis Duplex)
Di Atas Lot 18621 – Lot 18648 Dan Sebahagian Tanah Kerajaan Seluas 4.82 Ekar, Jalan Ukay Perdana 3/2, Taman Ukay Perdana, Ulu Kelang, Bandar Ulu Kelang, Daerah Gombak, Selangor Darul Ehsan. </t>
  </si>
  <si>
    <t>Pengurusan Aset Air Bhd.</t>
  </si>
  <si>
    <t>Cadangan Pembangunan Loji RawatanAir Langat 2 Dan Sistem Pengagihan Air Di Negeri Selangor Darul Ehsan / Wilayah Persekutuan
-Permohonan Kebenaran Merancang Bagi Pembangunan Kolam Air Ampang Di Atas Sebahagian Lot 947, Lot 47724 Dan Sebahagian Simpanan Jalan / Tanah Kerajaan Di Mukim Ampang, Daerah Hulu Langat, Selangor Darul Ehsan.</t>
  </si>
  <si>
    <t>Tetuan Pembinaan Jaya Megah</t>
  </si>
  <si>
    <t>Permohonan Kebenaran Merancang Bagi Cadangan Pindaan Pelan Terhadap Pelan Susunatur Perumahan Dan Perniagaan Yang Telah Diluluskan (Bil. (10) Dlm. MPS 3/3-120/546 Pind-5 Jld. 1 Bertarikh 16 Julai 2013) Di Atas Lot 982, Sebahagian Lot 1286 Dan Sebahagian Lot 934, Mukim Rawang, Daerah Gombak, Selangor Darul Ehsan.</t>
  </si>
  <si>
    <t>Tetuan Pura Development Sdn. Bhd.</t>
  </si>
  <si>
    <t>Tetuan : Tppt Sdn. Bhd. (Temasek Eksklusif Sdn. Bhd.)</t>
  </si>
  <si>
    <t>Cadangan Permohonan Kelulusan Pindaan Pelan Induk Bukit Serai Di Atas Lot-Lot 3804, Lot 35190 (3805), Lot 3806, Lot 3807, Lot 35193 (3808), Lot 35192 (3812), Lot 35191 (3813), Lot 35182 (3814), Lot 35183 (3815), Lot 3817, Lot 35188 (3818), Lot 35185 (3819), Lot 35184 (3820), Lot 3821, Lot 35189 (3822), Lot 3823, Lot 3825 Hingga Lot 3829, Lot 35180 (3831), Lot 35181(3832), Lot 35179 (3833), Lot 3836 Hingga Lot 3838, Lot 4158 Hingga Lot 4180, Lot 4182 Hingga Lot 4192, Lot 4195, Lot 4196, Lot 4284 Hingga Lot 4288, Lot 4494 Hingga Lot 4513, Lot 4515 Hingga Lot 4556, Lot 4379, Lot 4822 Hingga Lot 4825, Lot 26367 Hingga Lot 26370, Lot 84171 Hingga Lot 84174, Lot 84184 Hingga Lot 84186, Lot 84298, Lot 84299, Lot 84306, Lot 84311, Lot 84500 Dan Di Atas Sebahagian Tanah Kerajaan, Mukim Rawang, Daerah Gombak, Selangor Darul Ehsan.</t>
  </si>
  <si>
    <t xml:space="preserve">Tetuan : Remedia Sdn. Bhd. </t>
  </si>
  <si>
    <t xml:space="preserve">Permohonan Kebenaran Merancang Bagi Membina 6 Unit Rumah Kediaman Sesebuah :-
i. 4 Unit Rumah Kediaman 3 Tingkat Dengan 2 Tingkat Aras Tanah Dan 1 Tingkat Aras Bawah Tanah
ii. 1 Unit Rumah Kediaman 5 Tingkat Dengan 2 Tingkat Aras Atas Tanah Dan 3 Tingkat Aras Bawah Tanah.
iii. 1 Unit Rumah Kediaman 3 Tingkat Dengan 3 Tingkat Aras Atas Tanah
Dan Permohonan Serah Balik Dan Kurnia Semula Di Bawah Seksyen 204d Kanun Tanah Negara, Di Atas Lot 165 Dan Lot 166, Jalan 5/66, Seksyen 19, Bandar Petaling Jaya, Mukim Petaling, Daerah Petaling, Selangor Darul Ehsan. </t>
  </si>
  <si>
    <t>Tetuan : Boustead Balau Sdn. Bhd.</t>
  </si>
  <si>
    <t xml:space="preserve">Permohonan Kebenaran Merancang Pelan Susunatur Dan Permohonan Penyerahan Balik Di Bawah Seksyen 197 Kanun Tanah Negara Ke Atas Lot 129, 574, Sebahagian Dari Lot 656, Lot 977 Dan Lot 1671, Mukim Semenyih, Lot 37, 1808 Dan Sebahagian Dari Lot 1809, Mukim Beranang, Taman Mutiara Hills, Daerah Hulu Langat, Selangor Darul Ehsan, Dan Pemberimilikan Semula Tanah Di Bawah Seksyen 76 Kanun Tanah Negara. </t>
  </si>
  <si>
    <t>Tetuan Genting Developments Sdn. Bhd.</t>
  </si>
  <si>
    <t xml:space="preserve">Permohonan Kebenaran Merancang Pendirian Bangunan Bagi Cadangan Membina 2 Unit Rumah Sesebuah Di Atas Pt 3690, Genting Highlands, Mukim Batang Kali, Daerah Hulu Selangor, Selangor Darul Ehsan. </t>
  </si>
  <si>
    <t>Tetuan Lembaga Pengelola Sekolah, Sek. Jenis 
Keb. (Tamil) Castlefield Puchong.</t>
  </si>
  <si>
    <t xml:space="preserve">Permohonan Kebenaran Merancang Pendirian Bangunan Bagi Cadangan Pembangunan Sebuah Sekolah Jenis Kebangsaan (Tamil) Castlefield Yang Mengandungi Fasa 1: Blok Bangunan 4 Tingkat Pentadbiran &amp; Akademik, 1 Unit Pondok Pengawal, 1 Unit Rumah Sampah, 1 Unit Rumah Pam,  1 Unit Pencawang TNB, Fasa 2: Dewan Serbaguna Dan Padang Di Atas Lot 133, Jalan Wawasan 4/12, Pusat Bandar Puchong, Mukim Petaling, Daerah Petaling, Selangor Darul Ehsan. </t>
  </si>
  <si>
    <t>Tetuan Kementerian Pertahanan Malaysia</t>
  </si>
  <si>
    <t>06.06.2017</t>
  </si>
  <si>
    <t xml:space="preserve">Permohonan Kebenaran Merancang Mengikut Seksyen 21, Akta Perancangan Bandar Dan Desa (Akta 172), Bagi Cadangan Projek Pembangunan 91 Rejimen Askar Jurutera Diraja Dan 92 SKN Rejimen Askar Jurutera Diraja Di Atas PT 24, Mukim Buloh Telor Dan PT 794, Bandar Kuala Kubu Bharu, Daerah Ulu Selangor, Selangor Darul Ehsan. </t>
  </si>
  <si>
    <t>Tetuan Salak Land Sdn. Bhd.</t>
  </si>
  <si>
    <t>MDKL</t>
  </si>
  <si>
    <t>Permohonan Kebenaran Merancang Mengikut Seksyen 21, Akta 172, Bagi Tujuan Serah Milik Dan Berimilik Semula Tanah Di Bawah Seksyen 204D, Kanun Tanah Negara, Di Atas PT 8959 HS(D) 5289, Mukim Tanjung Dua Belas, Daerah Kuala Langat, Selangor Darul Ehsan.</t>
  </si>
  <si>
    <t>Tetuan Seriemas Development Sdn. Bhd.</t>
  </si>
  <si>
    <t xml:space="preserve">Permohonan Kebenaran Merancang Bagi Pelan Susunatur Untuk Cadangan Pembangunan Bercampur Di Atas Lot 1913, Ladang Bangi, Mukim Semenyih, Daerah Hulu Langat, Selangor Darul Ehsan. </t>
  </si>
  <si>
    <t>Tetuan Star View Summit Sdn. Bhd.</t>
  </si>
  <si>
    <t>Permohonan Kebenaran Merancang bagi Cadangan Membina I) 4 Blok Pangsapuri 28 Tingkat (608 unit) Dan 1 Blok Pangsapuri Rumah Selangorku Jenis C 31 Tingkat (261 Unit) Termasuk Podium Kemudahan &amp; Tempat Letak Kereta Bertingkat Di Atas Sebahagian PT 9772 &amp; Sebahagian PT9775, Taman Mulia Jaya, Seksyen 15, Mukim Ampang, Daerah Hulu Langat, Selangor Darul Ehsan</t>
  </si>
  <si>
    <t>tak lengkap &amp; bundle diambil semula</t>
  </si>
  <si>
    <t>Tetuan Pertubuhan Akhlak Maitreya Malaysia</t>
  </si>
  <si>
    <t>Permohonan Kebenaran Merancang Di Bawah Seksyen 21 (1) Akta 172 Bagi Tujuan Tukar Syarat Tanah Dan Pecah Sempadan Di Bawah Seksyen 124A KTN Untuk Cadangan Membina Sebuah Pusat Pengajian Akhlak Dan Seni Kasih Alam Semesta (Institusi) Yang Mengandungi :-
A) Aras Bawah Tanah (2 Tingkat) – Ruang Makan
B) Aras Bawah – Dewan Perhimpunan
C) ArasI  – Dewan Kuliah
D) Aras II – Bilik Mesyuarat Dan Perpustakaan
E) Aras III – Asrama
F) Aras IV – Asrama
G) Aras V – Asrama
H) Aras VI – Asrama
Di Atas Sebahagian Lot 654, Mukim Kerling, Daerah Hulu Selangor, Selangor Darul Ehsan.</t>
  </si>
  <si>
    <t>Tetuan Kemaris Residences Sdn. Bhd.</t>
  </si>
  <si>
    <t>19.06.2017</t>
  </si>
  <si>
    <t>Permohonan Pindaan Kebenaran Merancang Bagi Pelan Yang Telah Diluluskan Oleh Jawatankuasa Teknikal Kawasan Sensitif Alam Sekitar (JTPKSAS) Bagi Cadangan Pembangunan Perumahan Bercampur Di Bawah Akta Hakmilik Strata, 1985 (Akta 318) Sejumlah 700 Unit Yang Mengandungi :
FASA 1 (101 UNIT)
a) Rumah Teres 3 Tingkat Sejumlah 101 Unit Terdiri Dari Jenis A (23’x70’) 61 Unit, Jenis A1 (31’x70’) 6 Unit, Jenis A2 (23’x75’) 12 Unit, Jenis A3 (34’x75’) 4 Unit, Jenis A4 (35’x81’) 1 Unit, Jenis A5 (24’x81’) 2 Unit, Jenis B (23’x75’) 11 Unit, Jenis B1 (34’x75’) 2 Unit, Jenis B2 (24’x81’) 1 Unit, Dan Jenis B3 (35’x81’) 1 Unit
b) 1 Unit Surau Di Aras Tanah
c) 1 Unit Bilik Utiliti Di Aras Tanah
d) 1 Unit Pondok Pengawal Di Laluan Masuk Utama
FASA 2 (599 Unit)
a) Menara A, 26 Tingkat 374 Unit (Pangsapuri Kos Bebas Jenis A, 136 Unit; Jenis B, 47 Unit; Jenis C, 186 Unit; Jenis A1, 2 Unit; Jenis B1, 1 Unit; Dan Jenis C1, 2 Unit) Di Tingkat 3 – Tingkat 26 (24 Tingkat)
b) Menara B, 24 Tingkat 171 Unit (Pangsapuri Kos Bebas Jenis D, 86 Unit; Jenis E, 83 Unit; Jenis D1, 2 Unit) Di Tingkat 3 – Tingkat 24 (22 Tingkat)
c) Pangsapuri Kos Bebas Jenis F, 15 Unit Di Tingkat 3 (Podium) Tempat Letak Kenderaan Di Tingkat Bawah Rendah 3 – Tingkat 2 (6 Tingkat)d) 1 Unit Pusat Komuniti Dan Kolam Renang Di Tingkat 3 (Podium)
e) Rumah Teres 3 Tingkat Sejumlah 15 Unit Terdiri Dari Jenis B (23’ x 75’) 13 Unit Dan Jenis B1 (34’ x 75’), 2 Unit
f) Rumah Teres 2 Tingkat Sejumlah 24 Unit Terdiri Dari Jenis C (22’x58’) 22 Unit Dan Jenis C (33’x58’), 2 Unit
Diatas Lot 93720 Yang Dahulunya Dikenali Sebagai Lot PT 56723 (H.S.(D) 241758), Jalan Equine, Taman Equine, Bandar Putra Permai, Mukim Petaling, Daerah Petaling, Selangor Darul Ehsan</t>
  </si>
  <si>
    <t>19.11.2018</t>
  </si>
  <si>
    <t>Permohonan Kebenaran Merancang Bagi Cadangan Pindaan Pelan Terhadap Pelan Susunatur Perumahan Dan Perniagaan Yang Telah Diluluskan (Bil. (10) Dlm. MPS 3/3-120/546 Pind-5 Jld. 1 Bertarikh 16 Julai 2013) Di Atas Lot 982, Sebahagian Lot 1286 Dan Sebahagian Lot 934, Mukim Rawang, Daerah Gombak, Selangor Darul Ehsan</t>
  </si>
  <si>
    <t>Tetuan Sime Darby Landscapping Sdn. Bhd.</t>
  </si>
  <si>
    <t>13.09.2017</t>
  </si>
  <si>
    <t xml:space="preserve">Permohonan Kebenaran Merancang Di Bawah Seksyen 21, Akta Perancangan Bandar Dan Desa 1976 (Akta 172) Bagi Cadangan Pelan Induk Pembangunan Bercampur Di Atas Lot 482, 484, 640, 688, 1423, 1424, 1000, 1020, &amp; 2021, 1023, 1024, 1427, 1430, 1433 &amp; 1876, 1434,1436, 1437, 1439, 1440, 4157, 35227, 15361, 15360, 15359, Dan 15358, Mukim Rawang, Lot 488, 489, 497,Dan 498, pekan Kuang, Daerah Gombak, Selangor Darul Ehsan. </t>
  </si>
  <si>
    <t>Tetuan Zamri Bin Mapul &amp; Jelita Megamas Sdn. Bhd.</t>
  </si>
  <si>
    <t>20.10.2017</t>
  </si>
  <si>
    <t>Permohonan Kebenaran Merancang Bagi Kelulusan Pelan Susunatur Ke Atas Cadangan Pembangunan :
i) 120 Unit – Pangsapuri PPA1m &amp; Rumah Selangorku (18 Tingkat) – Blok A
Yang Mengandungi :
i. 24 Unit Rumah Selangorku
ii. 96 Unit Pangsapuri PPA1M – Di Blok A Serta 7 Tingkat Ruang Tempat Letak Kereta Bertingkat (Aras Tanah Hingga Aras 6) Dan Kemudahan Surau Dewan Komuniti, Tadika, Kafeteria Dan Lain-Lain (Aras 7) Serta Pondok Pengawal
Secara ‘Guarded &amp; Gated’ Serentak Dengan Serahbalik Dan Berimilikan Semula Tanah Di Bawah Seksyen 204D, Kanun Tanah Negara, Di Atas Lot 37440 (Tanah simpanan Melayu), Kanching, Mukim Rawang, Daerah Gombak, Majlis Perbandaran Selayang, Selangor Darul Ehsan</t>
  </si>
  <si>
    <t>Tetuan Jelita Megamas Sdn. Bhd.</t>
  </si>
  <si>
    <t>Permohonan Kebenaran Merancang Bagi Kelulusan Pelan Susunatur Ke Atas Cadangan Pembangunan :
i. Lot 1327 &amp; Lot 1328 – 540 Unit Pangsapuri PPA1M &amp; Rumah Selangorku (45 Tingkat) – Blok B
ii. Sebahagian Lot 1331 – 1 Unit MSTP
Yang Mengandungi :
i. 108 Unit – Rumah Selangorku
ii. 432 Unit Pangsapuri PPA1M Di Blok B Serta 14 Tingkat Ruang Tempat Letak Kereta Bertingkat (Aras Tanah Hingga Aras 13) Dan Kemudahan Surau, Dewan Komuniti, Tadika, Kafeteria Dan Lain-Lain (Aras 14) Serta Pondok Pengawal
iii. 1 Unit MSTP
Secara ‘Guarded &amp; Gated’ Serentak Dengan Serahbalik Dan Berimilikan Semula Tanah Di Bawah Seksyen 204D, Kanun Tanah Negara, Di Atas Lot
1327, Lot 1328 Dan Sebahagian Lot 1331, Kanching, Mukim Rawang, Daerah Gombak, Majlis Perbandaran Selayang, Selangor Darul Ehsan</t>
  </si>
  <si>
    <t>Tetuan Pengurusan Aset Air Berhad (Kolam Air Bkt Jalil)</t>
  </si>
  <si>
    <t>10.08.2017</t>
  </si>
  <si>
    <t>Permohonan Kebenaran Merancang Bagi Cadangan Pembangunan Kolam Air Bukit Jalil Di Atas Lot 2161, 2162, 2163, 2164, 2165, 2166, 2167, 2168, 2169, 2170, 2171, 2172, 2311, Dan Sebahagian Lot 2309 Di Taman Serdang Height Seksyen 7, 43300 Seri Kembangan, Mukim Petaling, Daerah Petaling, Selangor Darul Ehsan</t>
  </si>
  <si>
    <t>Tetuan Cypark Resources Berhad.</t>
  </si>
  <si>
    <t>Permohonan Kebenaran Merancang Bagi Membina 2 Blok Pangsapuri 518 Unit Yang Terdiri Daripada :
1. Nlok A – 264 Unit Pangsapuri 21 Tingkat Dan Blok B – 254 Unit 20 Tingkat Termasuk 5 Tingkat Podium Tempat Letak Kereta Dan Kemudahannya,
2. 3 Unit Pencawang Elektrik,
3. 2 Unit Kebuk Sampah &amp;
4. 1 Unit Pondok Pengawal
Secara Serah Balik Dan Berimilikan Semula Di Bawah Seksyen 204B Kanun Tanah Negara, Di Atas Lot 2425 Dan 2426, Kawasan Simpanan Melayu Bukit Enggang, Jalan Desa Budiman, Bandar Sungai Long, Mukim Hulu Langat, Daerah Hulu Langat,, Selangor Darul Ehsan.</t>
  </si>
  <si>
    <t>Tetuan Magna Forum Sdn. Bhd.</t>
  </si>
  <si>
    <t>Permohonan Kebenaran Merancang Bagi Tujuan Tukar Syarat Dan Pecah Sempadan Di Bawah Seksyen 124 (A) KTN Daripada Pertanian Kepada Bangunan (Perniagaan) Bagi Cadangan Pembangunan 1 Blok SOHO 29 Tingkat Dan 1 Blok Pangsapuri Perkhidmatan 30 Tingkat Di Atas 1 Blok Podium Yang Mengandungi :-
i. 1 Blok SOHO (20 Tingkat Aras Kediaman)
ii. 1 Blok Pangsapuri Perkhidmatan (20 Tingkat Aras Kediaman Dan 1 Tingkat Aras Fasiliti)
iii. 1 Blok Podium Tempat Letak Kereta (1 Tingkat Aras Fasiliti Dan Kemudahan &amp; 8 Tingkat Aras Tempat Letak Kenderaan)
Di Atas Lot 1342, Mukim Rawang, Daerah Gombak, Selangor Darul Ehsan</t>
  </si>
  <si>
    <t>Tetuan Jentera Jati Sdn. Bhd.</t>
  </si>
  <si>
    <t xml:space="preserve">Permohonan Kebenaran Merancang Bagi Serah Balik Dan Berimilikan Semula Tanah Di Bawah Seksyen 204B, Kanun Tanah Negara, Bagi Cadangan Pembangunan Kem Baru Tentera Darat Malaysia Di Atas Lot 1112 Dan Sebahagian Lot 1814, Mukim Serendah, Daerah Hulu Selangor, Selangor Darul Ehsan. </t>
  </si>
  <si>
    <t>Tetuan Untung Utama Sdn. Bhd.</t>
  </si>
  <si>
    <t xml:space="preserve">Cadangan Pembangunan Perumahan Bercampur Yang Mengandungi:-
i. Parcel A : 2 Block Pangsapuri 22 Dan 24 Tingkat (455 Unit) Di Atas 1 Tingkat Kemudahan Penduduk Dan 6 Tingkat Podium Tempat Letak Kereta,
ii. Parcel B : 2 Block Pangsapuri 27 Dan 28 Tingkat (545 Unit) Di Atas 1 Tingkat Kemudahan Penduduk Dan 8 Tingkat Podium Tempat Letak Kereta.
iii. Parcel C : 3 Block Pangsapuri Rumah Selangorku (Jenis B, C, &amp; D) 25 Dan 30 Tingkat (1000 Unit) Di Atas Tingkat Kemudahan Penduduk Dan 7 Tingkat Podium Tempat Letak Kereta.
Di Atas Lot 69668, PT 5468 Hingga PT 5470 Dan Sebahagian Tanah Kerajaan, Seluas 50.02 Ekar, Bandar Selayang, Daerah Gombak, Selangor Darul Ehsan. </t>
  </si>
  <si>
    <t>Tetuan Pn Salina Wan Binti Abdullah</t>
  </si>
  <si>
    <t xml:space="preserve">Permohonan Kebenaran Merancang Bagi Cadangan Membina Sebuah Rumah Sesebuah 3 Tingkat Di Atas Lot PT 4789, Jalan Teberau 1, Ukay Heights, Mukim Hulu Kelang, Daerah Gombak, Selangor Darul Ehsan. </t>
  </si>
  <si>
    <t>Tetuan Genting Malaysia Berhad</t>
  </si>
  <si>
    <t>Permohonan Kebenaran Merancang Mengikut Sub Seksyen 21(1), Akta 172 Bagi Tujuan Membina Rumah Pam Dan Loji Rawatan Air Di Atas Sebahagian Lot 7577 (GRN 44562), Genting Highlands, Mukim Batang Kali, Daerah Hulu Selangor, Selangor Darul Ehsan</t>
  </si>
  <si>
    <t>Tetuan Ampang Heights Holdings Sdn. Bhd</t>
  </si>
  <si>
    <t>Permohonan Kebenaran Merancang Pelan Susunatur Bagi Cadangan Pembangunan Bercampur Secara Serah Balik Dan Pemberimilikan Semula Di Bawah Seksyen 204B (Kanun Tanah Negara) Di Atas PT 11434 Dan PT 2923, Mukim Ampang, Daerah Hulu Langat, Selangor Darul Ehsan</t>
  </si>
  <si>
    <t>Tetuan Pengurusan Aset Air Berhad (Kolam Air Petaling)</t>
  </si>
  <si>
    <t>Permohonan Kebenaran Merancang Bagi Pembangunan Kolam Air Petaling Di Atas Sebahagian Hutan Simpan Ayer Hitam Di Mukim Petaling, Daerah Petaling, Selangor Darul Ehsan</t>
  </si>
  <si>
    <t>Tetuan Chen Teng Soong (Pemegang Amanah)</t>
  </si>
  <si>
    <t>Permohonan Kebenaran Merancang Serah Balik Dan Beri Milik Semula Tanah Di Bawah Seksyen 204b Kanun Tanah Negara (Ktn) Bagi Cadangan Membina Sebuah Bangunan Rumah Anak Yatim Dan Kemudahan-Kemudahan Yang Mengandungi :-
A. Aras Bawah – Kantin
B. Aras 1 - Bilik Anak-Anak Yatim, Perpustakaan Dan Pejabat Pengurusan
C. Aras 2 - Kuarters (Untuk Lelaki)
D. Aras 3 - Kuarters (Untuk Perempuan)
E. Aras 4 - Rekreasi
Beserta Tempat Letak Kereta (Tlk) Di Atas Lot 3480 (Gm4518), Jalan Bunga Pagoda, Mukim Serendah, Daerah Hulu Selangor, Selangor Darul Ehsan.</t>
  </si>
  <si>
    <t>Tetuan Nirvana Memorial Park (Klang) Berhad</t>
  </si>
  <si>
    <t>MDKS</t>
  </si>
  <si>
    <t>Permohonan Kebenaran Merancang Bagi Cadangan Pembangunan Tanah Perkuburan Bukan Islam Dan Dewan Beserta Kemudahan-Kemudahan Berkaitan Di Atas Lot 9942 Dan 9987, Mukim Jeram, Daerah Kuala Selangor, Selangor Darul Ehsan</t>
  </si>
  <si>
    <t>Tetuan Pembangunan Rasa Selesa Sdn. Bhd.</t>
  </si>
  <si>
    <t xml:space="preserve">Permohonan Pindaan Kebenaran Merancang Yang Telah Diluluskan Mpkj.Jpp/Bpb/Km10-2013 Bertarikh 23hb Mei 2013 Bagi Cadangan Pembangunan Pangsapuri Di Atas Lot Pt 58946, Mukim Pekan Cheras, Daerah Hulu Langat, Selangor Darul Ehsan. </t>
  </si>
  <si>
    <t>Tetuan Tetuan Worldwide Holdings</t>
  </si>
  <si>
    <t>Permohonan Kebenaran Merancang Bagi Cadangan Pembangunan Bercampur (Perumahandan Perdagangan) Melalui Serah Balik Dan Berimilikan Semula Di Bawah Seksyen 204b (Ktn1965) Di Atas Lot 201, Bandar Batu Arang, Daerah Gombak, Selangor Darul Ehsan.</t>
  </si>
  <si>
    <t>Tetuan Saga Tunas Sdn. Bhd.</t>
  </si>
  <si>
    <t>Permohonan Kebenaran Merancang Bagi Cadangan Skim Pembangunan Di Bawah Akta Hakmilik Strata Melalui Tukar Syarat Dan Pecah Sempadan Tanah Secara Serentak Di Bawah Seksyen 124a, Kanun Tanah Negara (Ktn) 1965, Diatas Lot 115431, Tanah Simpanan Melayu Dengkil, Daerah Sepang, Selangor Darul Ehsan Secara Usahasama Dengan Permodalan Negeri Selangor Berhad (PNSB).</t>
  </si>
  <si>
    <t xml:space="preserve">Permohonan Kebenaran Merancang Bagi Cadangan Skim Pembangunan Di Bawah Akta Hakmilik Strata Yang Mengandungi :-
Fasa 1a
i. Apartment (8.70 Ekar)
ii. 1 Unit Sekolah Rendah Awam (6.00 Ekar)
iii. 1 Unit Tangki Awam
Fasa 1b
i. 18 Unit Kedai Pejabat Mampu Milik Strata 2 Tingkat (20’ X 65’)
ii. 65 Unit Kedai Pejabat 2 Tingkat (20’ X 65’)
iii. 8 Unit Kedai Pejabat 3 Tingkat (20’ X 65’)
iv. 1 Plot Perniagaan (2.30 Ekar)
v. 2 Unit Pencawang Elektrik Awam
Fasa 1c
i. 572 Unit Rumah Teres 1-2 Tingkat Strata (20’ X 60’)
ii. 1 Unit Sistem Suis Utama Awam (Ssu)
iii. 2 Unit Pencawang Elektrik Awam
iv. 1 Unit Pusat Komuniti Beserta Surau Dan Pejabat Pengurusan (1.00 Ekar)
Fasa 1d
i. 1 Plot Perniagaan (7.20 Ekar)
Fasa 1e
i. 1 Plot Perniagaan (5.00 Ekar)
Fasa 1f
i. 1 Plot Perniagaan (6ekar)
Fasa 1g
i. 1 Plot Perniagaan (6.82 Ekar)
Fasa 1h
i. 1 Plot Perniagaan 2.70 Ekar)
Fasa 1i
i. 500 Unit Rumah Bandar 2 Tingkat (22’ X 75’)
ii. 1 Unit Pusat Komuniti Beserta Surau Dan Pejabat Pengurusan (1.00 Ekar)
iii. 2 Unit Pencawang Elektrik Awam
Fasa 1j
i. 532 Unit Rumah Teres 1-2 Tingkat Strata (20’ X 60’)
ii. 1 Unit Pusat Komuniti Beserta Surau Dan Pejabat Pengurusan (1.00 Ekar)
iii. 2 Unit Pencawang Elektrik Awam 
Melalui Tukar Syarat Dan Pecah Sempadan Tanah Secara Serentak Di Bawah Seksyen 124a, Kanun Tanah Negara (Ktn) 1965, Diatas Lot 115431, Tanah Simpanan Melayu Dengkil, Daerah Sepang, Selangor Darul Ehsan Secara Usahasama Dengan Permodalan Negeri Selangor Berhad (Pnsb) 
</t>
  </si>
  <si>
    <t>Tetuan IIsy Land Sdn. Bhd.</t>
  </si>
  <si>
    <t>setuju dirujuk ke KSAS</t>
  </si>
  <si>
    <t xml:space="preserve">PERMOHONAN KEBENARAN MERANCANG BAGI CADANGAN SERAH BALIK DAN PEMBERIMILIKAN SEMULA MELALUI SEKSYEN 204A, KTN 1965 BAGI CADANGAN PEMBANGUNAN BERCAMPUR "LAKE SAPPHIRE PUCHONG" DI ATAS LOT 825 (PT2910) DAN PT2437, BANDAR PUCHONG JAYA, MUKIM PETALING, DAERAH PETALING, SELANGOR DARUL EHSAN. </t>
  </si>
  <si>
    <t>Tetuan Hak Seng Han Sdn. Bhd.</t>
  </si>
  <si>
    <t>13.11.2018</t>
  </si>
  <si>
    <t xml:space="preserve">PERMOHONAN KELULUSAN JAWATANKUASA TEKNIKAL PEMBANGUNAN KAWASAN SENSITIF ALAM SEKITAR NEGERI SELANGOR (JKTPKSAS) BAGI PELAN SUSUNATUR UNTUK CADANGAN PANGSAPURI PERKHIDMATAN KOMERSIL DI ATAS HAKMILIK PN8613 (LOT 65104), SELUAS 16.82 EKAR, PEKAN PUCHONG PERDANA, MUKIM PUCHONG, DAERAH PETALING, SELANGOR DARUL EHSAN. </t>
  </si>
  <si>
    <t>Tetuan Promakmur Development Sdn. Bhd.</t>
  </si>
  <si>
    <t>PERMOHONAN KEBENARAN MERANCANG BAGI CADANGAN PINDAAN TERHADAP PELAN SUSUNATUR PERUMAHAN DAN PERNIAGAAN YANG TELAH DILULUSKAN (Bil:10 dlm. MPS 3/3-120/546 Pin-5 Jld.1) BERTARIKH 16 JULAI 2013 DI ATAS LOT 982,934,1286,3513,1246 DAN 1851, MUKIM RAWANG DAERAH GOMBAK, SELANGOR DARUL EHSAN.</t>
  </si>
  <si>
    <t>Tetuan Kingsley Hills Sdn. Bhd.</t>
  </si>
  <si>
    <t xml:space="preserve">PERMOHONAN PINDAAN KEBENARAN MERANCANG PENDIRIAN BANGUNAN PELAN YANG DILULUSKAN (NO. RUJUKAN : MPSJ.PS.260/36/329 BERTARIKH 24 APRIL 2012 DAN MPSJ.PS.260/36/297 BERTARIKH 21 FEBRUARI 2012) BAGI CADANGAN MEMBINA PANGSAPURI (616 UNIT) DI ATAS LOT PT 35823 (DAHULUNYA LOT PT 36309, PT 36310, PT 36301 DAN PT 36302) DI JALAN KINGSLEY 2, KINGSLEY HILLS, PUTRA HEIGHTS, MUKIM DAMANSARA, DAERAH PETALING, SELANGOR DARUL EHSAN. </t>
  </si>
  <si>
    <t xml:space="preserve">PERMOHONAN PINDAAN KEBENARAN MERANCANG PENDIRIAN BANGUNAN PELAN YANG DILULUSKAN (NO. RUJUKAN : MPSJ.PS.260/36/329 BERTARIKH 24 APRIL 2012 DAN MPSJ.PS.260/36/297 BERTARIKH 21 FEBRUARI 2012) BAGI CADANGAN MEMBINA PANGSAPURI (616 UNIT) YANG MENGANDUNGI :-
1. MENARA A – PANGSAPURI 24 TINGKAT (240 UNIT) DI TINGKAT 1 HINGGA TINGKAT 24
2. MENARA B – PANGSAPURI 22 TINGKAT (220 UNIT) DITINGKAT 1 HINGGA TINGKTA 22
3. MENARA C – PANGSAPURI 22 TINGKAT (156 UNIT) DI TINGKAT 1 HINGGA TINGKAT 22
4. 5 TINGKAT TEMPAT LETAK KERETA BASEMEN
5. 1 TINGKAT PODIUM YANG MENGANDUNGI KEMUDAHAN DI TINGKAT 1
6. 1. UNIT PONDOK PENGAWAL, 3 UNIT PENCAWANG ELEKTRIK DAN 1 UNIT KEBUK SAMPAH
DI ATAS LOT PT 35823 (DAHULUNYA LOT PT 36309, PT 36310, PT 36301 DAN PT 36302) DI JALAN KINGSLEY 2, KINGSLEY HILLS, PUTRA HEIGHTS, MUKIM DAMANSARA, DAERAH PETALING, SELANGOR DARUL EHSAN. </t>
  </si>
  <si>
    <t xml:space="preserve">Tetuan KL-Kepong Property Development Sdn. Bhd. </t>
  </si>
  <si>
    <t>PERMOHONAN CADANGAN KELULUSAN PELAN INDUK BAGI PEMBANGUNAN BERCAMPUR (PERUMAHAN DAN PERNIAGAAN) MELAUI PENYERAHAN BALIK DAN PEMBERIMILIKAN SEMULA DI BAWAH SEKSYEN 204B, KANUN TANAH NEGARA (KTN) 1965, DI ATAS LOT 1456, LOT 1504, LOT 1755, LOT 1757, LOT 1759, LOT 1861, LOT 1862, DAN LOT 1754 (LOT BARU 84401, LOT BARU 84402, LOT BARU 84403), MUKIM RAWANG, DAERAH GOMBAK, SELANGOR DARUL EHSAN.</t>
  </si>
  <si>
    <t>Tetuan KL-Kepong Country Homes Sdn. Bhd.</t>
  </si>
  <si>
    <t>Tetuan Permodalan Ybk Sdn. Bhd.</t>
  </si>
  <si>
    <t xml:space="preserve">PERMOHONAN KEBENARAN MERANCANG BAGI FASA 1, BUKIT TASIK SERENDAH (PEMBANGUNAN HOMESTEAD) MELALUI SERAH BALIK DAN BERIMILIK SEMULA DI BAWAH SEKSYEN 204B (KTN 1965) DI ATAS LOT PT 11031 (BLOK 26) DAN SEBAHAGIAN LOT 11015 (BLOK 10), DI MUKIM SERENDAH, DAERAH HULU SELANGOR, SELANGOR DARUL EHSAN. </t>
  </si>
  <si>
    <t>Tetuan Suria Villa Sdn. Bhd.</t>
  </si>
  <si>
    <t>24.04.2019</t>
  </si>
  <si>
    <t xml:space="preserve">PERMOHONAN KEBENARAN MERANCANG PELAN SUSUNATUR BAGI CADANGAN PEMBANGUNAN BERCAMPUR DIATAS LOT 935. 1077, 1640, 1933, 1934, 1935, 1936, PT 9781, PT 29942, PT29943, PT 29946, SEBAHAGIAN LOT563 DAN TANAH KERAJAAN (PT 9779 DAN PT 9780-1.89 EKAR, DIBAWAH SEKSYEN 197&amp;76 KANUN TANAH NEGARA (KTN 1965), MUKIM SEMENYIH, DAERAH HULU LANGAT, SELANGOR DARUL EHSAN. </t>
  </si>
  <si>
    <t>Tetuan GLM Emerald West (Rawang) Sdn. Bhd.</t>
  </si>
  <si>
    <t>Tetuan MZK Land Sdn. Bhd.</t>
  </si>
  <si>
    <t xml:space="preserve">PERMOHONAN KEBENARAN MERANCANG PENDIRIAN BANGUNAN UNTUK CADANGAN PEMBANGUNAN :
1. LOT 1826 (FASA 1) : 188 UNIT (16 TINGKAT) PANGSAPURI HARGA BEBAS BESERTA 3 TINGKAT TLK BERTINGKAT (BASEMEN)
2. LOT 9867 (FASA 2) : 119 UNIT (18 TINGKAT) PANGSAPURI HARGA BEBAS BESERTA 5 TINGKAT (PODIUM 1-5) DAN KEMUDAHAN PEJABAT PENGURUSAN, DEWAN, TADIKA, GELANGGANG SUKAN, GIMNASIUM DAN LAIN-LAIN
DIATAS LOT 1826 DAN PT 9867, (LOT LAMA 14660), MUKIM HULU LANGAT, DAERAH HULU LANGAT, SELANGOR DARUL EHSAN. </t>
  </si>
  <si>
    <t>Tetuan Sime Darby Serenia Development Sdn. Bhd.</t>
  </si>
  <si>
    <t>30.01.2019</t>
  </si>
  <si>
    <t xml:space="preserve">PERMOHONAN KEBENARAN MERANCANG BAGI CADANGAN PEMBANGUNAN BERCAMPUR FASA 3, MELALUI SERAH BALIK SECARA DAN PEMBERIMILIKAN SEMULA TANAH DIBAWAH SEKSYEN 204B, KANUN TANAH NEGARA (KTN) 1965, DI ATAS LOT PT 55389, PT 55390, PT55393 BANDAR SERENIA, MUKIM DENGKIL, DAERAH SEPANG, SELANGOR DARUL EHSAN. </t>
  </si>
  <si>
    <t>Tetuan Projek Lintasan Sungai Besi – Ulu Kelang Sdn. Bhd.</t>
  </si>
  <si>
    <t>Jawatankuasa 
membuat keputusan sekiranya hasil perbincangan pemaju dan jabatan hutan untuk meneruskan projek ini maka permohonan ini perlu dirujuk ke JTPKSAS.</t>
  </si>
  <si>
    <t>CADANGAN PEMBANGUNAN PEJABAT HUTAN DAN KUARTERS KAKITANGAN JABATAN HUTAN DI AMPANG LOOKOUT POINT DAERAH HULU LANGAT, SELANGOR DARUL EHSAN.</t>
  </si>
  <si>
    <t>Tetuan Perbadanan Kemajuan Negeri Selangor-3A</t>
  </si>
  <si>
    <t xml:space="preserve">Permohonan Kebenaran Merancang Di Bawah Subseksyen 21(1), Akta Perancangan Bandar Dan Desa 1976 (Akta 176) Bagi Cadangan Pelan Susunatur Pembangunan Perumahan Melalui Serah Balik Dan Berimilik Semula Tanah Di Bawah Seksyen 204b (Ktn) Diatas Pt894, Seksyen 3a, Antara Gapi, Mukim Bandar Sungai Chik, Daerah Hulu Selangor, Selangor Darul Ehsan. </t>
  </si>
  <si>
    <t>Tetuan Perbadanan Kemajuan Negeri Selangor-4B</t>
  </si>
  <si>
    <t>Permohonan Kebenaran Merancang Di Bawah Subseksyen 21(1), Akta Perancangan Bandar Dan Desa 1976 (Akta 176) Bagi Cadangan Pelan Susunatur Pembangunan Perumahan Melalui Serah Balik (Dibawah Seksyen 197 Ktn) Dan Pemberimilikan Semula (Di Bawah Seksyen 76 Ktn) Diatas Lot 5944 (Pt897) Fasa 4b, Seksyen 4, Antara Gapi, Bandar Sungai Chik, Daerah Hulu Selangor, Selangor Darul Ehsan.</t>
  </si>
  <si>
    <t>Tetuan Pengurusan Aset Air Berhad - Kolam Ampang</t>
  </si>
  <si>
    <t xml:space="preserve">Permohonan Pindaan Kebenaran Merancangyang Telah Diluluskan No. Mpaj.Pb.Kp/2-11(2015)Jld.2 Yang Bertarikh 11 Oktober 2015 Bagi Pembangunan Kolam Air Ampang Kepada Pembangunan Kolam Air Ampang Dan Outlet Portal Di Atas Sebahagian Lot 947, Lot 47724 Dan Sebahagian Simpanan Jalan/Tanah Kerajaan Di Mukim Ampang, Daerah Hulu Langat, Selangor Darul Ehsan. </t>
  </si>
  <si>
    <t>Tetuan Perbadanan Kemajuan Negeri Selangor -U10</t>
  </si>
  <si>
    <t xml:space="preserve">PERMOHONAN KEBENARAN MERANCANG PELAN SUSUNATUR BAGI CADANGAN PEMBANGUNAN KEDIAMAN BERCAMPUR DIATAS PT37475-PT37483, PERSIARAN MOKHTAR DAHARI, SEKSYEN U10, SHAH ALAM, SELANGOR DARUL EHSAN. </t>
  </si>
  <si>
    <t>Tetuan Tuah Kayangan Development Sdn. Bhd.</t>
  </si>
  <si>
    <t xml:space="preserve">PERMOHONAN KEBENARAN MERANCANG BAGI SERAH BALIK DAN KURNIA SEMULA TANAH DI BAWAH SEKSYEN 197 &amp; 76 KANUN TANAH NEGARA (KTN) BAGI CADANGAN PEMBANGUNAN 1800 UNIT KONDOMINIUM DAN PANGSAPURI “RUMAH SELANGORKU” DIATAS LOT PT 14558 HINGGA LOT PT 14674 DAN SEBAHAGIAN TANAH KERAJAAN YANG DIPOHON (LOT LAMA 17837), BUKIT CHERAS, MUKIM BANDAR AMPANG, DAERAH HULU LANGAT, SELANGOR DARUL EHSAN. </t>
  </si>
  <si>
    <t xml:space="preserve">PERMOHONAN KEBENARAN MERANCANG BAGI SERAH BALIK DAN KURNIA SEMULA TANAH DI BAWAH SEKSYEN 197 &amp; 76 KANUN TANAH NEGARA (KTN) BAGI CADANGAN PEMBANGUNAN 1800 UNIT KONDOMINIUM DAN PANGSAPURI “RUMAH SELANGORKU” YANG MENGANDUNGI :
A) PLOT 1 - 1 BLOK PANGSAPURI “RUMAH SELANGORKU” 40 TINGKAT YANG MENGANDUNGI :
i. 520 UNIT PANGSAPURI “RUMAH SELANGORKU” –ARAS 13 – ARAS 40
ii. KEMUDAHAN PENDUDUK – ARAS 12 DAN ARAS BUMBUNG
iii. PODIUM TEMPAT LETAK KERETA 10 TINGKAT – ARAS 2-ARAS 11
iv. 3 UNIT KEDAI SERBANEKA DAN PENCAWANG TNB –ARAS1
B) PLOT 2 - 2 BLOK KONDOMINIUM 55 TINGKAT YANG MENGANDUNGI :
i. 692 UNIT KONDOMINIUM – ARAS 13 – ARAS 55
ii. KEMUDAHAN PENDUDUK ARAS 1,11,12 DAN ARAS BUMBUNG
iii. PODIUM TEMPAT LETAK KERETA 9 TINGKAT – ARAS 2 – ARAS 10
iv. PENCAWANG TNB – ARAS 11
C) PLOT 3 – 3 BLOK KONDOMINIUM 57 TINGKAT YANG MENGANDUNGI :
i. 520 UNIT KONDOMINIUM –ARAS 12 – ARAS 57
ii. KEMUDAHAN PENDUDUK ARAS 11 DAN ARAS BUMBUNG
iii. PODIUM TEMPAT LETAK KERETA 10 TINGKAT – ARAS 1 – ARAS 10
iv. PENCAWANG TNB ARAS 4
DIATAS LOT PT 14558 HINGGA LOT PT 14674 DAN SEBAHAGIAN TANAH KERAJAAN YANG DIPOHON (LOT LAMA 17837), BUKIT CHERAS, MUKIM BANDAR AMPANG, DAERAH HULU LANGAT, SELANGOR DARUL EHSAN. </t>
  </si>
  <si>
    <t>Tetuan Sin Heap Lee Development Sdn. Bhd,</t>
  </si>
  <si>
    <t xml:space="preserve">PERMOHONAN KEBENARAN MERANCANG UNTUK TUJUAN MENUKAR SYARAT KEGUNAAN TANAH DAN PECAH SEMPADAN TANAH SECARA SERENTAK DI BAWAH SEKSYEN 124A KANUN TANAH NEGARA DARIPADA PERINDUSTRIAN KEPADA BANGUNAN (KEDIAMAN) BAGI CADANGAN PEMBANGUNAN PERUMAHAN DI ATAS LOT 7990, MUKIM SEMENYIH, DAERAH HULU LANGAT, SELANGOR DARUL EHSAN. </t>
  </si>
  <si>
    <t>Tetuan Pelangi Binaraya Sdn. Bhd.</t>
  </si>
  <si>
    <t xml:space="preserve">PERMOHONAN KEBENARAN MERANCANG PELAN SUSUNATUR BAGI CADANGAN PEMBANGUNAN PERUMAHAN DI ATAS LOT 563, DI BAWAH SEKSYEN 204B KANUN TANAH NEGARA (KTN1965), MUKIM SEMENYIH, DAERAH HULU LANGAT, SELANGOR DARUL EHSAN. </t>
  </si>
  <si>
    <t>Tetuan Oxley Diamond Sdn. Bhd.
Trinity Assets Sdn. Bhd.</t>
  </si>
  <si>
    <t xml:space="preserve">PERMOHONAN KEBENARAN MERANCANG BAGI CADANGAN PEMBANGUNAN PANGSAPURI PERKHIDMATAN, SOVO &amp; RUANG PERNIAGAAN YANG MENGANDUNGI :-
1. BLOK A - 42 TINGKAT PANGSAPURI PERKHIDMATAN (560 UNIT)
2. BLOK B – 56 TINGKAT PANGSAPURI PERKHIDMATAN (375 UNIT) &amp; SOVO (583 UNIT)
3. BLOK C – 44 TINGKAT PANGSAPURI PERKHIDMATAN (336 UNIT TERMASUK 254 UNIT MAMPU MILIK) &amp; SOVO (168 UNIT TERMASUK 113 UNIT MAMPU MILIK)
4. 12 TINGKAT PODIUM YANG MENGANDUNGI 1 TINGKAT PODIUM BERSERTA KEMUDAHAN PENDUDUK, 2 TINGKAT RUANG PERNIAGAAN DAN TEMPAT LETAK KERETA DAN 9 TINGKAT TEMPAT LETAK KERETA
DI ATAS LOT 26315, JALAN 16/11, SEKSYEN 39, MUKIM PETALING, DAERAH PETALING, SELANGOR DARUL EHSAN. </t>
  </si>
  <si>
    <t>Tetuan Dato' Appalasuwami A/L Suridemudu</t>
  </si>
  <si>
    <t>PERMOHONAN KEBENARAN  MERANCANG DI BAWAH SEKSYEN 204B KANUN TANAH NEGARA  BAGI TUJUAN SERAH BALIK DAN BERIMILIK SEMULA UNTUK CADANGAN MEMBINA 1 UNIT BANGUNAN PEJABAT BESERTA LITAR BAGI SEKOLAH MEMANDU DI ATAS LOT 23075, LOT 23076, LOT 23963,LOT 23039 DAN LOT 23040 BANDAR SERENDAH, DAERAH HULU SELANGOR, SELANGOR DARUL EHSAN.</t>
  </si>
  <si>
    <t>GAGAL MEMBERI MAKLUMBALAS SELEPAS 3 KALI MESYUARAT</t>
  </si>
  <si>
    <t xml:space="preserve">Tetuan D-Hill Sdn. Bhd. </t>
  </si>
  <si>
    <t xml:space="preserve">PERMOHONAN KEBENARAN MERANCANG UNTUK MENDIRIKAN : 
FASA 1: 
A. 1 BLOK (BLOK A) 315 UNIT PANGSAPURI RUMAH SELANGORKU (RSKU) 25 TINGKAT (147 UNIT PANGSAPURI RSKU JENIS B, 84 UNIT PANGSAPURI RSKU UNIT C DAN 84 UNIT PANGSAPURI RSKU JENIS D), TERMASUK 3 TINGKAT PODIUM TEMPAT LETAK KERETA, 5 UNIT KEDAI, 1 UNIT KEBUK SAMPAH DAN 1 TINGKAT KEMUDAHAN. 
FASA 2: 
B. 1 BLOK (BLOK B) 195 UNIT PANGSAPURI RUMAH SELANGOKU (RSKU) 17 TINGKAT (57 UNIT PANGSAPURI RSKU JENIS B, 68 UNIT PANGSAPURI JENIS C DAN 70 UNIT PANGSAPURI RSKU JENIS D), TERMASUK 3 TINGKAT PODIUM TEMPAT LETAK KERETA, DAN 1 TINGKAT KEMUDAHAN. 
III. 1 UNIT RUMAH PAM KUMBAHAN 
IV. SEBUAH TAPAK SEKOLAH RENDAH 
SECARA SERAH BALIK DAN BERIMILIKAN SEMULA DI BAWAH SEKSYEN 204B, KANUN TANAH NEGARA, DI ATAS LOT 942, TAMAN KAJANG PERDANA, MUKIM SEMENYIH, DAERAH HULU LANGAT, SELANGOR DARUL EHSAN. </t>
  </si>
  <si>
    <t>Tetuan Galeri Kencana Sdn. Bhd.</t>
  </si>
  <si>
    <t>PERMOHONAN KEBENARAN MERANCANG BAGI CADANGAN SKIM PEMBANGUNAN DI BAWAH AKTA HAKMILIK STRATA MELALUI TUKAR SYARAT DAN PECAH SEMPADAN TANAH SECARA SERENTAK DI BAWAH SEKSYEN 124A, KANUN TANAH NEGARA (KTN) 1965, DI ATAS LOT 115430, TANAH SEMPADAN MELAYU DENGKIL, DAERAH SEPANG, SELANGOR DARUL EHSAN SECARA USAHASAMA DENGAN PERMODALAN NEGERI SELANGOR BERHAD (PNSB).</t>
  </si>
  <si>
    <t xml:space="preserve">PERMOHONAN KEBENARAN MERANCANG BAGI CADANGAN SKIM PEMBANGUNAN DI BAWAH AKTA HAKMILIK STRATA YANG MENGANDUNGI :-
FASA 2A :- 
1. 1 UNIT KOMPLEKS SEKOLAH AWAM
2. 1 UNIT BALAI POLIS AWAM
3. 1 UNIT RUMAH PAM AWAM
4. 1 UNIT TANGKI AIR AWAM 
5. 1 UNIT PENCAWANG PEMBAHAGI UTAMA AWAM 
6. 1 UNIT PENCAWANG ELEKTRIK AWAM
FASA 2B:- 
1. 90 UNIT RUMAH TERES 1-2 TINGKAT STRATA (20'X60')
2. 1 UNIT PUSAT KOMUNITI / SURAU / PEJABAT PENGURUSAN
3. 5 UNIT PENCAWANG ELEKTRIK
4. 1 UNIT PONDOK PENGAWAL 
FASA 2C :-
1. 500 UNIT RUMAH BANDAR 
2. 1 UNIT PUSAT KOMUNITI / SURAU / PEJABAT PENGURUSAN
3. 2 UNIT PENCAWANG ELEKTRIK
4. 1 UNIT PONDOK PENGAWAL
FASA 2D :-
1. RUMAH SELANGORKU (18.61 EKAR)
2. 1 UNIT PENCAWANG MASUK UTAMA AWAM (PMU)
FASA 2E:-
1. APARTMENT (18.34 EKAR)
MELALUI TUKAR SYARAT DAN PECAH SEMPADAN TANAH SECARA SERENTAK DI BAWAH SEKSYEN 124A, KANUN TANAH NEGARA (KTN) 1965, DI ATAS LOT 115430, TANAH SEMPADAN MELAYU DENGKIL, DAERAH SEPANG, SELANGOR DARUL EHSAN SECARA USAHASAMA DENGAN PERMODALAN NEGERI SELANGOR BERHAD (PNSB).
</t>
  </si>
  <si>
    <t>Tetuan Lembaga Zakat Selangor (LZS)</t>
  </si>
  <si>
    <t xml:space="preserve">PERMOHONAN KEBENARAN MERANCANG DI BAWAH SEKSYEN 21(A) AKTA PERANCANGAN BANDAR DAN DESA (AKTA 172) BAGI CADANGAN PEMBANGUNAN RUMAH ASNAF YANG MENGANDUNGI :
a) 62 UNIT RUMAH BERKEMBAR ASNAF 1 TINGKAT
b) 1 UNIT SURAU 1 TINGKAT
c) 1 UNIT DEWAN SERBAGUNA 1 TINGKAT
d) 1 UNIT PUSAT KOMUNITI 1 TINGKAT
e) 1 UNIT TADIKA 1 TINGKAT
f) 4 UNIT LOT KEDAI 1 TINGKAT
g) 1 UNIT PUSAT PENGUMPULAN
h) 1 UNIT RUMAH SAMPAH
i) 1 UNIT PENCAWANG ELEKTRIK
j) 2 UNIT TANGKI AIR
k) 2 UNIT RUMAH PAM
l) 1 UNIT TANGKI SEDUT
 ATAS LOT PT 11436 DAN SEBAHAGIAN PT 11437, JALAN KUALA KALI, MUKIM SERENDAH, DAERAH HULU SELANGOR, SELANGOR DARUL EHSAN. </t>
  </si>
  <si>
    <t>Tetuan Mirago International Sdn Bhd</t>
  </si>
  <si>
    <t xml:space="preserve">PERMOHONAN KEBENARAN MERANCANG BAGI TUJUAN PENYERAHAN DAN PEMBERIMILIKAN SEMULA TANAH DI BAWAH SEKSYEN 204B, KANUN TANAH NEGARA SERENTAK DENGAN CADANGAN PEMBANGUNAN PERUMAHAN DAN PERNIAGAAN DI BAWAH SATU BADAN PENGURUSAN, (SEKSYEN 6 (1A), AKTA HAKMILIK STRATA 1985, ACT 318) DI ATAS LOT 699, MUKIM ULU SEMENYIH, DAERAH HULU LANGAT, SELANGOR DARUL EHSAN. </t>
  </si>
  <si>
    <t>Tetuan Cypark Resources Berhad</t>
  </si>
  <si>
    <t>09.04.2019</t>
  </si>
  <si>
    <t xml:space="preserve">PERMOHONAN KEBENARAN MERANCANG BAGI MEMBINA 3 BLOK PANGSAPURI 518 UNIT YANG TERDIRI DARIPADA: 
I. BLOK A - 211 UNIT PANGSAPURI 39 TINGKAT, BLOK B -180 UNIT 37 TINGKAT &amp; BLOK C - 127 UNIT 23 TINGKAT, TERMASUK 7 TINGKAT PODIUM TEMPAT LETAK KERETA 1 TINGKAT KEMUDAHAN + 1 TINGKAT TEMPAT LETAK KERETA SEPARA BASEMENT 
II.3 UNIT PENCAWANG ELEKTRIK, 
III.2 UNIT KEBUK SAMPAH &amp; 
IV.1 UNIT PONDOK PENGAWAL 
SECARA SERAH BALIK DAN BERIMILIK SEMULA DI BAWAH SEKSYEN 2048 KANUN TANAH NEGARA, DI ATAS LOT 2425 DAN LOT 2426, KAWASAN SIMPANAN MELAYU BUKIT ENGGANG, JALAN DESA BUDIMAN, BANDAR SUNGAI LONG, MUKIM HULU LANGAT, DAERAH HULU LANGAT, SELANGOR DARUL EHSAN. </t>
  </si>
  <si>
    <t>Tetuan Aerofront City Developments Sdn. Bhd</t>
  </si>
  <si>
    <t xml:space="preserve">PERMOHONAN KEBENARAN MERANCANG BAGI CADANGAN PEMBANGUNAN BERCAMPUR SECARA SERAH BALIK DAN BERIMILIK SEMULA TANAH DI BAWAH SEKSYEN 204B, KANUN TANAH NEGARA 1965 DI ATAS LOT 8590 PN 113455, MUKIM LABU, DAERAH SEPANG, SELANGOR DARUL EHSAN. </t>
  </si>
  <si>
    <t>Tetuan Fatin Natasha Kamaruddin</t>
  </si>
  <si>
    <t xml:space="preserve">PERMOHONAN KEBENARAN MERANCANG PENDIRIAN BANGUNAN BAGI TUJUAN PENYERAHAN BALIK DAN PEMBERIMILIKAN SEMULA DI BAWAH SEKSYEN 204B UNTUK CADANGAN PEMBANGUNAN PERUMAHAN MAMPU MILIK 924 UNIT PERUMAHAN MAMPU MILIK SELANGORKU (JENIS C DAN JENIS D) DI BAWAH LEMBAGA PERUMAHAN DAN HARTANAH SELANGOR YANG MENGANDUNGI:-
1. 2BLOK PANGSAPURI BLOK A-17 TINGKAT 476 UNIT (JENIS C-136 DAN JENIS D-40), BLOK B-16 TINGKAT 448 UNIT (JENIS C-144 DAN JENIS D-304)
2. 4 TINGKAT BLOK KEMUDAHAN YANG MENGANDUNGI 8 UNIT KEDAI, 1 UNIT DEWAN SERBAGUNA, 1 UNIT PEJABAT PENGURUSAN, 1 UNIT TADIKA, 1 UNIT BILIK SERBAGUNA DAN 2 UNIT SURAU
3. 6 TINGKAT TEMPAT LETAK KERETA BESERTA 1 UNIT PENCAWANG ELEKTRIK (SSU), STOR, TAMAN PERMAINAN KANAK-KANAK, PAVILION SERBAGUNA SERTA GELANGGANG SERBAGUNA
4. TEMPAT PEMBUANGAN SAMPAH DAN PONDOK PENGAWAL
DI ATAS LOT 4678, 46179 DAN 46180 MUKIM BARU, DAERAH GOMBAK SELANGOR DARUL EHSAN. </t>
  </si>
  <si>
    <t>Tetuan Lembah Langat Development Sdn Bhd</t>
  </si>
  <si>
    <t xml:space="preserve">PERMOHONAN KEBENARAN MERANCANG PINDAAN PELAN SUSUNATUR YANG TELAH DILULUSKAN MAJLIS PERBANDARAN AMPANG JAYA, RUJUKAN KELULUSAN : MPAJ 11 / 2 / 2 / 27-2012 BERTARIKH 11 SEPTEMBER 2013 BAGI PINDAAN CADANGAN PEMBANGUNAN YANG MENGANDUNGI: 
I. FASA B1 - 3 BLOK PANGSAPURI (7 - 14 TINGKAT) BERJUMLAH 256 UNIT BERSERTA 4 PODIUM TEMPAT LETAK KERETA DAN 2 TINGKAT TEMPAT LETAK KERETA DI ARAS BAWAH 1 HINGGA 2 DI ATAS LOT 126923 (GRN 335465)
II. FASA B2 - PANGSAPURI (6-9 TINGKAT) BERJUMLAH 178 UNIT BERSERTA 3 TINGKAT TEMPAT LETAK KERETA DI ARAS BAWAH 1 HINGGA 3 DI ATAS LOT 126926 (GRN 335468) 
III. FASA D - 3 BLOK PANGSAPURI (8 - 19 TINGKAT) BERJUMLAH 287 UNIT DAN RUMAH BANDAR BERJUMLAH 55 UNIT BERSERTA 3 TINGKAT PODIUM TEMPAT LETAK KERETA DAN 1 TINGKAT TEMPAT LETAK KERETA DI ARAS BAWAH DI ATAS LOT 126925 (GRN 335467) 
SEKSYEN 2, (LOT LAMA SEBAHAGIAN LOT 7125) TAMAN KELAB UKAY, BANDAR HULU KELANG, DAERAH GOMBAK, SELANGOR DARUL EHSAN. </t>
  </si>
  <si>
    <t>Tetuan Fame Action Sdn. Bhd</t>
  </si>
  <si>
    <t>24.07.2019</t>
  </si>
  <si>
    <t xml:space="preserve">PERMOHONAN KEBENARAN MERANCANG BAGI SERAHBALIK DAN BERIMILIK SEMULA DI BAWAH SEKSYEN 204 (B) KANUN TANAH NEGARA BAGI CADANGAN PEMBANGUNAN PERUMAHAN BERCAMPUR SEJUMLAH 598 UNIT DI ATAS LOT 4293, 4294, 4295, 4296, 1656 DAN 4192, PERSIARAN SL 7A, SUNGAI LONG, MUKIM CHERAS, DAERAH HULU LANGAT, SELANGOR DARUL EHSAN.  </t>
  </si>
  <si>
    <t>Tetuan Bandar Intan Sdn. Bhd</t>
  </si>
  <si>
    <t>29.05.2019</t>
  </si>
  <si>
    <t>PERMOHONAN KEBENARAN MERANCANG MENGIKUT SEKSYEN 21 AKTA 172 BAGI TUJUAN MENYERAH BALIK DAN PEMBERIMILIKAN SEMULA TANAH DI BAWAH SEKSYEN 204B, KANUN TANAH NEGARA, DI ATAS LOT 3924 (PM 1099), SELUAS 2.762 EKAR, MUKIM TELUK PANGLIMA GARANG,DAERAH KUALA LANGAT, SELANGOR DARUL EHSAN.</t>
  </si>
  <si>
    <t>Tetuan Sungei Lalang Development Sdn. Bhd,</t>
  </si>
  <si>
    <t xml:space="preserve">PERMOHONAN KEBENARAN MERANCANG BAGI TUJUAN PENYERAHAN BALIK DAN PEMBERIMILIKAN SEMULA DI BAWAH SEKSYEN 204B, KANUN TANAH NEGARA (KTN) DAN SEKSYEN 6 AKTA 318 (AKTA HAK MILIK STRATA 1985), BAGI CADANGAN PEMBANGUNAN PANGSAPURI DI ATAS LOT 2936, 2937,2938,2939, 2940 DAN LOT 2941, REZAB MELAYU SG. MERAS, MUKIM DENGKIL, DAERAH SEPANG, SELANGOR DARUL EHSAN. </t>
  </si>
  <si>
    <t>Tetuan Malaysia Botanical Gardens Resort Sdn.Bhd.</t>
  </si>
  <si>
    <t xml:space="preserve">PERMOHONAN KEBENARAN MERANCANG PELAN SUSUNATUR BAGI TUJUAN PENYERAHAN BALIK DAN PEMBERIMILIKAN SEMULA DI BAWAH SEKSYEN 204B KANUN TANAH NEGARA BAGI CADANGAN PEMBANGUNAN SEBUAH 'RESORT PERANGINAN' DI ATAS TAPAK SELUAS 9.66 EKAR SERTA TAMAN BOTANI DI ATAS TAPAK SELUAS 186.74 EKAR DI ATAS LOT 8993 (PT 2910) SELUAS 201.91 EKAR, MUKIM BATANG KALI, DAERAH HULU SELANGOR, SELANGOR DARUL EHSAN. </t>
  </si>
  <si>
    <t>Tetuan Scientex Park (M) Sdn Bhd</t>
  </si>
  <si>
    <t>PERMOHONAN KEBENARAN MERANCANG BAGI TUJUAN PENYERAHAN BALIK DAN PEMBERIMILIKAN SEMULA DI BAWAH SEKSYEN 204B (KTN) UNTUK CADANGAN PEMBANGUNAN RUMAH SELANGORKU, PLOT PERDAGANGAN DAN PEMBANGUNAN PERUMAHAN SKIM GATED KOMUNITI DI BAWAH SEKSYEN 6(1) AKTA 318 (AKYA HAKMILIK STRATA 1985) FASA 2 DI ATAS LOT PT 49625 (SEBAHAGIAN LOT LAMA 12165), MUKIM RAWANG, DAERAH GOMBAK, SELANGOR DARUL EHSAN.</t>
  </si>
  <si>
    <t>Tetuan Tenaga Nasional Berhad</t>
  </si>
  <si>
    <t xml:space="preserve">PERMOHONAN KEBENARAN MERANCANG BAGI CADANGAN PEMBANGUNAN PROJEK PENCAWANG MASUK UTAMA (PMU) 500/275KV DI ATAS LOT 3493, 3494, 3495, 3499, 3500, 3501 DAN LOT 3496 MUKIM DENGKIL, DAERAH SEPANG, SELANGOR DARUL EHSAN. </t>
  </si>
  <si>
    <t xml:space="preserve">PERMOHONAN KEBENARAN MERANCANG BAGI SERAH BALIK DAN BERIMILIK SEMULA TANAH DI BAWAH SEKSYEN 204B KTN BAGI CADANGAN PEMBANGUNAN YANG MENGANDUNGI :-
1.  1 BLOK SOHO 46 TINGKAT YANG TERDIRI DARIPADA PANGSAPURI MAMPU MILIK (100 UNIT) DARI TINGKAT 5 HINGGA TINGKAT 14 DAN SOHO MAMPU MILIK (34 UNIT) DARI TINGKAT 15 HINGGA TINGKAT 18 DAN SOHO (302 UNIT) DARI TINGKAT 18 HINGGA TINGKAT 46.
2.   2 BLOK PANGSAPURI PERKHIDMATAN (560 UNIT) 34 TINGKAT DARI TINGKAT 5 HINGGA TINGKAT 34
3.   6 TINGKAT TEMPAT LETAK KERETA ARAS BAWAH TANAH
4.  5 TINGKAT PODIUM YANG MENGANDUNGI 4 TINGKAT TEMPAT LETAK KERETA DARI TINGKAT BAWAH HINGGA TINGKAT 3 DAN 1 TINGKAT KEMUDAHAN DI TINGKAT 4 YANG MENGANDUNGI: 
I. KOLAM RENANG DAN RUANG PERSALINAN
II. GYMNASIUM
III. RUANG MEMBACA
IV. SURAU
V. DEWAN SERBAGUNA
VI. TASKA
VII. PEJABAT PENGURUSAN
5. 1 UNIT PONDOK PENGAWAL, 1 UNIT KEBUK SAMPAH DAN 1 UNIT PENCAWANG ELEKTRIK.
DI ATAS LOT 1342 DAN LOT 1343, MUKIM RAWANG, DAERAH GOMBAK, SELANGOR DARUL EHSAN. </t>
  </si>
  <si>
    <t>Tetuan Ketapang Bumi Sdn Bhd.</t>
  </si>
  <si>
    <t>PERMOHONAN KEBENARAN MERANCANG BAGI PEMBANGUNAN BERCAMPUR DI BAWAH AKTA HAKMILIK STRATA 1985 (AKTA 318) SECARA SERAH BALIK DAN BERIMILIK SEMULA DIBAWAH SEKSYEN 204B, KANUN TANAH NEGARA (KTN) 1965, DI ATAS LOT 30725 &amp; 30726, CYBERSOUTH, MUKIM DENGKIL DAERAH SEPANG, SELANGOR DARUL EHSAN.</t>
  </si>
  <si>
    <t>Tetuan Menara Tunggal Sdn. Bhd.</t>
  </si>
  <si>
    <t xml:space="preserve">PERMOHONAN KEBENARAN MERANCANG MENGIKUT SEKSYEN 21 AKTA 172 BAGI TUJUAN MENYERAH BALIK DAN PEMBERIMILIKAN SEMULA TANAH DI BAWAH SEKSYEN 204B KANUN TANAH NEGARA, DI ATAS LOT 11861 (PM 2286) 2.930 EKAR, MUKIM TANJUNG DUA BELAS, DAERAH KUALA LANGAT, SELANGOR DARUL EHSAN. </t>
  </si>
  <si>
    <t>Tetuan ASC Construction &amp; Development Sdn. Bhd.</t>
  </si>
  <si>
    <t xml:space="preserve">PERMOHONAN KEBENARAN MERANCANG PELAN SUSUNATUR BAGI CADANGAN PEMBANGUNAN PERUMAHAN DAN PERNIAGAAN SECARA SERAH BALIK DAN BERIMILIK SEMULA TANAH, DIBAWAH SEKSYEN 204B, KANUN TANAH NEGARA (KTN) DI ATAS LOT 13 SEKSYEN 1, BANDAR BATU ARANG, DAERAH GOMBAK, SELANGOR DARUL EHSAN. </t>
  </si>
  <si>
    <t>Tetuan LA Cime Development Sdn. Bhd.</t>
  </si>
  <si>
    <t xml:space="preserve">PERMOHONAN KEBENARAN MERANCANG BAGI CADANGAN 29 UNIT RUMAH PANGSAPURI KOS BEBAS YANG MENGANDUNGI :
I. 1 BLOK 3 TINGKAT YANG TERDIRI DARI 9 UNIT PANGSAPURI
II. 1 BLOK 8 TINGKAT YANG TERDIRI DARI 20 UNIT PANGSAPURI
III. RUMAH KELAB, TEMPAT LETAK KERETA BESERTA FASILITI SOKONGAN KEMUDAHAN DI ARAS BAWAH TANAH
IV. 1 UNIT PONDOK PENGAWAL
BAGI PENYERAHAN BALIK TANAH DI BAWAH SEKSYEN 197 DAN PEMBERIMILIKAN SEMULA DIBAWAH SEKSYEN 76 KTN DI ATAS LOT 1467 (GRN 46302), LOT 1648 (GRN 46303) DAN SEBAHAGIAN TANAH KERAJAAN, MUKIM HULU KELANG, DAERAH GOMBAK, SELANGOR DARUL EHSAN. 
</t>
  </si>
  <si>
    <t>Tetuan Mohammed Nash'ad Emir Bin Jamil</t>
  </si>
  <si>
    <t>PERLU RUJUK KSAS</t>
  </si>
  <si>
    <t xml:space="preserve">PERMOHONAN KEBENARAN MERANCANG BAGI CADANGAN MEMBINA SEBUAH RUMAH SESEBUAH TIGA TINGKAT DAN KOLAM RENANG DI ATAS LOT PT573, JALAN 5/66A, BANDAR PETALING JAYA, DAERAH PETALING, SELANGOR DARUL EHSAN. </t>
  </si>
  <si>
    <t>Telah rujuk ksas 215</t>
  </si>
  <si>
    <t>Tetuan Malaysia Rail Link Sdn. Bhd.</t>
  </si>
  <si>
    <t xml:space="preserve">Cadangan Projek Laluan Rel Pantai Timur (Ecrl) Bagi Konsep Pembangunan Jajaran Dan Lokasi Stesen ECRL Di Selangor. </t>
  </si>
  <si>
    <t>Tetuan Zhinmun Sdn. Bhd.</t>
  </si>
  <si>
    <t>Permohonan Kebenaran  Merancang Bagi Tujuan Penyerahan Balik Secara Keseluruhan Di Bawah Seksyen 197 Dan Pelupusan Secara Pemberimilikan Di Bawah Seksyen 76, Kanun Tanah Negara (Ktn), Bagi Cadangan Pembangunan Perumahan Bercampur Di Atas Lot 67746 Hingga Lot 67796, Lot 67799 Hingga Lot 68136, Lot 68138 Hingga Lot 68182, Lot 68185 Hingga 68281, Lot 68283 Hingga 68311, Dan Sebahagian Tanah Kerajaan, Seluas 50.00 Ekar, Bandar Selayang, Daerah Gombak, Selangor Darul Ehsan.</t>
  </si>
  <si>
    <t>Tetuan Oib Properties (C) Sdn. Bhd.</t>
  </si>
  <si>
    <t xml:space="preserve">Permohonan Kebenaran Merancang Bagi Tujuan Penyerahan Balik Keseluruhan Tanah Mengikut Seksyen 197 Dan Pemberimilikan Semula Tanah Di Bawah Seksyen 76 (Kanun Tanah Negara 1965) Bagi Cadangan Pembangunan Pangsapuri Di Atas Lot 9034, Pt 39543 Hingga Pt 39638 (Lot Asal 8996, 9027, 9047 Dan Sebahagian Lot Asal 9005, 9026, 9028 &amp; 9033) Dan Sebahagian Tanah Kerajaan, Puncak Pinggiran Putra, Sg. Merab, Mukim Dengkil, Daerah Sepang, Selangor Darul Ehsan. </t>
  </si>
  <si>
    <r>
      <t>Tetuan Aspire Estate Sdn. Bhd.</t>
    </r>
    <r>
      <rPr>
        <b/>
        <i/>
        <sz val="12"/>
        <rFont val="Century Gothic"/>
        <family val="2"/>
      </rPr>
      <t xml:space="preserve"> </t>
    </r>
  </si>
  <si>
    <t xml:space="preserve">Permohonan Kebenaran Merancang Mengikut Seksyen 21, Akta Perancangan Bandar Dan Desa (1976) Bagi Cadangan Pembinaan 3 Blok 16-17 Tingkat Pangsapuri (736 Unit) Dan Kemudahan Berkaitan Di Tingkat 1 Serta 1 Aras Bawah Rendah Dan 5 Aras Sub-Basemen Tempat Letak Kereta Di Atas Lot 51585, Damansara Perdana, Mukim Sungai Buloh, Daerah Petaling, Selangor Darul Ehsan. </t>
  </si>
  <si>
    <t>Tetuan Kwasa Land Sdn. Bhd.</t>
  </si>
  <si>
    <t xml:space="preserve">Permohonan Kebenaran Merancang Pelan Susunatur Bagi Pembangunan Bercampur Di Atas Lot 2822, 73530, 73605, 85118, 85119 (Lot Lama 73531), Dan 86292 (Lot Lama 73603) Serta Permohonan Tanah Kerajaan (Rizab Paip Air Dan Tangki Air) Melalui Kaedah Serah Balik Dan Berimilik Semula Di Bawah Seksyen 204b (Ktn 1965) Di Pju 4, Petaling Jaya, Mukim Sungai Buloh Dan Bandar Petaling Jaya, Daerah Petaling, Selangor Darul Ehsan. </t>
  </si>
  <si>
    <t>Tetuan Sime Darby Property (Serenia City) Sdn. Bhd.</t>
  </si>
  <si>
    <t xml:space="preserve">Permohonan Kebenaran Merancang Bagi Cadangan Pembangunan Bercampur Melalui Serahbalik Dan Berimilik Semula Di Bawah Seksyen 204B, Kanun Tanah Negara, Di Atas Lot 115633, Lot 115634, Lot 115635, PT 55389 Dan PT 55390 Bandar Serenia (Fasa 3), Mukim Dengkil, Daerah Sepang, Selangor Darul Ehsan. </t>
  </si>
  <si>
    <t xml:space="preserve">Tetuan Pn. Rozita Binti Ibrahim </t>
  </si>
  <si>
    <t xml:space="preserve">Permohonan Kebenaran Merancang Pindaan Kepada Pelan Yang Telah Diluluskan Pelan bil. MDHS/TP/70/2017 (Bertarikh : 22hb. Ogos 2017) Bagi Tujuan Membina Bangunan :
i.	Rumah Pam
ii.	Tangki Air Mentah
iii.	Bangunan Elektrik 2 Tingkat
Di Atas Sebahagian Lot 7577, Geran 44562, genting Highland, Mukim Batang Kali, Daerah Hulu Selangor, Selangor Darul Ehsan. </t>
  </si>
  <si>
    <t>Tetuan Genting Malaysia Berhad. (Rumah Pam)</t>
  </si>
  <si>
    <t xml:space="preserve">Tetuan Perbadanan Kemajuan Negeri Selangor (PKNS) &amp;  Tanjong Wahyu Sdn. Bhd. </t>
  </si>
  <si>
    <t xml:space="preserve">Permohonan Kebenaran Merancang Pelan Susunatur Bagi Cadangan Pembangunan Kediaman Bercampur Di Atas Lot 96590 -Lot 96593 &amp; Lot 96595 – Lot 96598, Persiaran Mokhtar Dahari, Seksyen U10, 40170 Shah Alam, Selangor Darul Ehsan. </t>
  </si>
  <si>
    <t>Tetuan Ecofirst Land Sdn. Bhd.</t>
  </si>
  <si>
    <t>mesy bil 4/2021</t>
  </si>
  <si>
    <t>PERMOHONAN PINDAAN KEBENARAN MERANCANG PELAN SUSUNATUR YANG TELAH DILULUSKAN NO.FAIL (MPAJ.PB.KP/2-17/2017(14) BERTARIKH 29HB SEPTEMBER 2017 BAGI PENYERAH BALIK DAN PEMBERIMIILIKAN SEMULA DI BAWAH SEKSYEN 197&amp;76 (UNTUK PT 5337),PENYERAH BALIK SEBAHAGIAN TANAH DI BAWAH SEKSYEN 200 (UNTUK PT 5339) ,DAN PENYERAH BALIK DAN PEMBERIMIILIKAN SEMULA DI BAWAH SEKSYEN 204B (UNTUK PT 5340), KTN 1965 BAGI CADANGAN PEMBANGUNAN BERCAMPUR YANG MENGANDUNGI:
PLOT 2:
i.	UNIT STESEN PAM DAN TANGKI SEDUT
ii.	1 UNIT STESEN PAM DAN LOJI KUMBAHAN (SEWERAGE TREATMENT PLANT)
iii.	1 UNIT PENCAWANG PADAT (7M X 4M)
iv.	3 BLOK PANGSAPURI (686 UNIT)
- BLOK A (268 UNIT) - 40 TINGKAT
- BLOK B (214 UNIT)- 33 TINGKAT
- 1 TINGKAT RUANG KEMUDAHAN
- 5 TINGKAT TEMPAT LETAK
- 1 UNIT STESEN SUIS UTAMA (SSU)
- 1 UNIT PENCAWANG PEMBAHAGI UTAMA(PPU)
PLOT 3
I.        2 BLOK PANGSAPURI RUMAH SELANGORKU JENIS A, B,C DAN D (686 UNIT)
- BLOK A (353 UNIT)- 27 TINGKAT
- BLOK B (333 UNIT) - 27 TINGKAT
- 1 TINGKAT RUANG KEMUDAHAN
- 6 TINGKAT TEMPAT LETAK KERETA
- 2 UNIT PENCAWANG ELEKTRIK (PE) DUA RUANG
- 1 BLOK PANGSAPURI RSKU A DAN B (45 UNIT)
- 1 UNIT PENCAWANG ELEKTRIK (PE) SATU RUANG
- 1 UNIT STESEN PAM DAN TANGKI SEDUT
- 1 UNIT STESEN PAM (IWK)
- 1 UNIT TANGKI AIR
- RUMAH TERES SUPER LINK 26',36',46'X 80’
- RUMAH BERKEMBAR 35'X88'
- RUMAH SESEBUAH 80'X100'
- RUMAH BANDAR RSKU JENIS A (18'X70'), B (18'X70) DAN C(22'70')
- RUMAH TERES RSKU JENIS D (20'X60')
- 1 UNIT PENCAWANG ELEKTRIK DUA RUANG
DI ATAS LOT PT 5337, PT 5338, PT 5339 DAN PT 5340 (DAHULUNYA LOT 15296) SEKSYEN 2 DAN PT 5341 (DAHULUNYA LOT 15297), BANDAR ULU KELANG DAERAH GOMBAK, SELANGOR DARUL EHSAN.</t>
  </si>
  <si>
    <t>Tetuan  Scientex Park (M) Sdn. Bhd</t>
  </si>
  <si>
    <t xml:space="preserve">Permohonan Kebenaran Merancang Dibawah Seksyen 21 Akta 172, Bagi Tujuan Serah Balik Dan Beri Milik Semula Tanah Mengikut Seksyen 204B Kanun Tanah Negara (KTN) Bagi Cadangan Pembangunan Perumahan Skim Gated Komuniti Dibawah Seksyen 6(1) Akta 316 (Akta Hakmilik Strata 1985) Dan Perniagaan Di Atas Lot 4955, Lot 763, Lot 178, Lot 1138, Lot 1575 &amp; Lot 1708, Mukim Hulu Langat, Daerah Hulu Langat, Selangor Darul Ehsan. </t>
  </si>
  <si>
    <t>Tetuan Pengurusan Aset Air Berhad.</t>
  </si>
  <si>
    <t xml:space="preserve">Cadangan Projek Loji Rawatan Air Langat 2 Dan Kerja-Kerja Pengagihan Air Di Negeri Selangor Darul Ehsan / Wilayah Persekutuan Kuala Lumpur.
Permohonan Kebenaran Merancang Bagi Cadangan Bagi Tapak Pelupusan Enapcemar Langat 2 (Pakej 3), Mukim Hulu Langat, Daerah Hulu langat, Selangor Darul Ehsan. </t>
  </si>
  <si>
    <t>Tetuan Good Debut Sdn Bhd</t>
  </si>
  <si>
    <t>Cadangan Pindaan Ke Atas Pelan Bangunan Yang Telah Diluluskan No. Rujukan : MPAJ 04/1/2-08/04-1Bertarikh 22 Julai 2008 Untuk 100 Unit Rumah Teres 2 ½ Tingkat (Daripada 252 Unit Jumlah Keseluruhan) Seperti Berikut :
a)	29 Unit Jenis RT-E Di Atas PT4587 hingga PT4594, PT 4730, PT4731, Dan PT4793 Hingga PT4811;
b)	38 Unit Jenis RT-F Di Atas PT4595 Hingga PT4610, PT4623 Hingga PT4637 Dan PT4812 Hingga PT4818;
c)	25 Unit Jenis RT-G Di Atas PT4611 Hingga PT4622, PT4729 Dan PT4819 Hingga PT4830,
d)	8 Unit Jenis RT-H Di Atas PT4579 Hingga PT4586;
Mukim Hulu Kelang, Daerah Gombak, Selangor Darul Ehsan.</t>
  </si>
  <si>
    <t>Tetuan Edisi Megah Sdn. Bhd.</t>
  </si>
  <si>
    <t>Permohonan Kebenaran Merancang Bagi Cadangan Skim Pembangunan Yang Mengandungi :-
Fasa 4A
i.	1 Unit Kompleks Sekolah Awam
ii.	1 Unit Pencawang Pembahagi Utama Awam (PPU)
Fasa 4B
i.	Plot Perniagaan (9.46 ekar)
Fasa 4B1
i.	Plot Perniagaan (1.0 ekar)
Fasa 4C
i.	Plot Perniagaan (9.05 ekar)
Plot Pertanian
i.	Plot Pertanian (67.42 ekar)
Melalui Serah Balik Dan Berimilik Semula Tanah Dibawah Seksyen 204B, Kanun Tanah Negara (KTN) 1965, Di Atas PT 60669, Tanah Simpanan Melayu Dengkil, Cybersouth, Mukim Dengkil, Daerah Sepang, Selangor Darul Ehsan Secara Usahasama Dengan Permodalan Negeri Selangor Berhdad (PNSB)</t>
  </si>
  <si>
    <t>Tetuan Saujana Triangle Sdn. Bhd. (Teres)</t>
  </si>
  <si>
    <t xml:space="preserve">Permohonan Pindaan Kebenaran Merancang Mengikut Seksyen 21 Akta 172 Ke Atas Pelan Lulus (Bil.: P04174/S/002 bertarikh 6 April 2006) Bagi Cadangan Pembangunan Perumahan Yang Melibatkan :-
	Daripada 
i.	70 Unit Rumah Berkembar
	Kepada
i.	Fasa 1 : 50 Unit Rumah Teres
ii.	Fasa 2 : 27 Unit Rumah Teres &amp; 1 Unit Pencawang Elektrik
iii.	Fasa 3 : 36 Unit Rumah Teres
Beserta Penyerahan Balik Dan Pemberimilikan Semula Dibawah Seksyen 204B Kanun Tanah Negara Di Atas PT 46586 – PT 46637 &amp; PT 46675 – PT 46692 (Dahulunya Sebahagian Daripada Lot Asal PT 44011), Mukim Sungai Buloh, Daerah Petaling, Selangor Darul Ehsan. </t>
  </si>
  <si>
    <t>Tetuan Saujana Triangle Sdn. Bhd. (Apartment)</t>
  </si>
  <si>
    <t xml:space="preserve">Permohonan Kebenaran Merancang Mengikut Seksyen 21 Akta 172 Bagi Cadangan Pembangunan Perumahan Yang Mengandungi :-
	Plot A
i.	1 Blok Pangsapuri 24 Tingkat (268 Unit) Beserta Podium Tempat Letak Kenderaan 6 Tingkat Dan Kemudahan 1 Tingkat – Blok 1
ii.	1 Blok Pangsapuri 21 Tingkat (232 Unit) Beserta Kemudahan 1 Tingkat, Dewan Serbaguna 1 Tingkat Dan Lobi 1 Tingkat – Blok 2
iii.	1 Unit Gimnasium 1 Tingkat
iv.	1 Unit Rumah Pengawal
v.	1 Unit Kebuk Sampah Utama
Plot B
i.	30 Unit Rumah Bandar Duplex 6 Tingkat Beserta Tempat Letak Kenderaan 4 Tingkat
ii.	16 Unit Rumah Bandar Duplex Berkembar 4 Tingkat Beserta Tempat Letak Kereta Kenderaan 1 Tingkat
iii.	20 Unit Rumah Berkembar 3 Tingkat
iv.	27 Unit Rumah Banglo 3 Tingkat
v.	1 Unit Rumah Pengawal
vi.	1 Unit Kebuk Sampah Utama
vii.	1 Unit Pencawang Elektrik
Beserta Penyerahan Balik Dan Pemberimilikan Semula Dibawah Seksyen 204B Kanun Tanah Negara Di Atas PT46696 (HSD 234003), PJU8, Damansara Perdana Mukim Sungai Buloh, Daerah Petaling, Selangor Darul Ehsan. </t>
  </si>
  <si>
    <t>Permohonan Kebenaran Merancang Dibawah Seksyen 21 Akta 172, Bagi Tujuan Serah Balik Dan Beri Milik Semula Tanah Mengikut Seksyen 204B Kanun Tanah Negara (KTN) Bagi Cadangan Pembangunan Perumahan Skim Gated Komuniti Dibawah Seksyen 6(1) Akta 316 (Akta Hakmilik Strata 1985) Dan Perniagaan Di Atas Lot 4955, Lot 763, Lot 178, Lot 1138, Lot 1575 &amp; Lot 1708, Mukim Hulu Langat, Daerah Hulu Langat, Selangor Darul Ehsan.</t>
  </si>
  <si>
    <t xml:space="preserve">PERMOHONAN KEBENARAN MERANCANG BAGI CADANGAN PEMBANGUNAN BERCAMPUR MELALUI SERAHBALIK DAN BERIMILIK SEMULA DI BAWAH SEKSYEN 204B, KANUN TANAH NEGARA, DI ATAS LOT 115633, LOT 115634, LOT 115635, PT 55389, DAN PT 55390 BANDAR SERENIA (FASA 3), MUKIM DENGKIL, DAERAH SEPANG, SELANGOR DARUL EHSAN. </t>
  </si>
  <si>
    <t>Tetuan Venice Hill Resort Sdn. Bhd.</t>
  </si>
  <si>
    <t>PEMBENTANGAN SEMULA</t>
  </si>
  <si>
    <t xml:space="preserve">PERMOHONAN KEBENARAN MERANCANG PELAN SUSUNATUR SECARA SERAH BALIK DAN PEMBERIMILIKAN SEMULA DI BAWAH SEKSYEN 204, KANUN TANAH NEGARA BAGI CADANGAN PEMBANGUNAN PANGSAPURI KOS BEBAS, MASJID, SEKOLAH RENDAH (SEDIA ADA), LOJI RAWATAN IWK (SEDIA ADA), PENCAWANG ELEKTRIK TNB (SEDIA ADA) DAN DEWAN ORANG RAMAI DIATAS LOT 1014, BATU 8¾, JALAN CHERAS-KUALA LUMPUR, MUKIM CHERAS, DAERAH HULU LANGAT, SELANGOR DARUL EHSAN. </t>
  </si>
  <si>
    <t>Tetuan Jade Classic Sdn Bhd</t>
  </si>
  <si>
    <t xml:space="preserve">PERMOHONAN KEBENARAN MERANCANG BAGI PENDIRIAN BANGUNAN PANGSAPURI RUMAH SELANGORKU 22 TINGKAT (278 UNIT) DI BAWAH SEKSYEN 6, AKTA HAKMILIK STRATA 1985 (AKTA 318) YANG MENGANDUNGI:-
1)	RUMAH SELANGORKU 18 TINGKAT - 68 UNIT JENIS A (700kp), 1 UNIT JENIS A1 (UNIT OKU) (775kp), 68 UNIT JENIS B (750kp), 1 UNIT
JENIS B1 (UNIT OKU) (775kp), 70 UNIT JENIS C (800kp) DAN 70 UNIT JENIS D (900kp)
2)	TEMPAT LETAK KERETA 4 TINGKAT DENGAN KEMUDAHAN SEPERTI 1 UNIT TADIKA, 1 UNIT DEWAN SERBAGUNA, 1 UNIT SURAU, 1 UNIT PERPUSTAKAAN, 1 UNIT PEJABAT PENGURUSAN, 1 UNIT PONDOK PENGAWAL, 1 UNIT KEBUK SAMPAH DAN RUANG REKREASI
DI ATAS PT 68745 (DAHULUNYA SEBAHAGIAN LOT 47954), CYBERSOUTH, MUKIM DENGKIL, DAERAH SEPANG, SELANGOR DARUL EHSAN.  </t>
  </si>
  <si>
    <t>Tetuan First Allied Holdings Sdn. Bhd.</t>
  </si>
  <si>
    <t xml:space="preserve">PERMOHONAN KEBENARAN MERANCANG (PELAN KONSEP) MENGIKUT SEKSYEN 21 AKTA 172 BAGI TUJUAN SERAH BALIK DAN BERIMILIK SEMULA DI BAWAH SEKSYEN 204B KANUN TANAH NEGARA UNTUK CADANGAN PEMBANGUNAN PUSAT PELANCONGAN DAN PERANGINAN BERSEPADU DI ATAS LOT 34497 DAN LOT 34498 MUKIM TANJUNG DUA BELAS, DAERAH KUALA LANGAT, SELANGOR DARUL EHSAN. </t>
  </si>
  <si>
    <t>Tetuan GS Hill Sdn. Bhd</t>
  </si>
  <si>
    <t>BIL 2/2022</t>
  </si>
  <si>
    <t xml:space="preserve">PERMOHONAN PINDAAN KEBENARAN MERANCANG BAGI CADANGAN MEMBINA RUMAH SESEBUAH 3 TINGKAT DI ATAS LOT 564 (PT 564), BANDAR PETALING JAYA, DAERAH PETALING JAYA, DI ALAMAT 564, JALAN 5/66, PETALING JAYA,  SELANGOR DARUL EHSAN. </t>
  </si>
  <si>
    <t>Tetuan Kingsley Hills Sdn.  Bhd.</t>
  </si>
  <si>
    <t>PERLU RUJUK KSAS (tertakluk pd MBSJ)</t>
  </si>
  <si>
    <t>PERMOHONAN SERENTAK SERAH BALIK DI BAWAH SEKSYEN 197 DAN BERIMILIK SEMULA TANAH DIBAWAH SEKSYEN 76, KANUN TANAH NEGARA DAN PINDAAN KEBENARAN MERANCANG PELAN SUSUNATUR YANG TELAH DILULUSKAN (NO. RUJUKAN: MPSJ/ JBP/ 600-1/1 BP3-9 JLD 2 BERTARIKH 18 JANUARI 2017), BAGI CADANGAN PEMBANGUNAN YANG MENGANDUNGI: 
A. 100 UNIT RUMAH SESEBUAH 
B. 174 UNIT RUMAH BERKEMBAR 
C. 1 LOT PANGSAPURI HARGA BEBAS (616 UNIT) 
D. 1 LOT PANGSAPURI HARGA BEBAS (76 UNIT) 
E.  1 LOT SEKOLAH ANTARABANGSA
F.	1 LOT HOSTEL 
G. 1 UNIT RUMAH KELAB 
DI ATAS PT 35824 HINGGA PT35827, PT35829, PT 36106 HINGGA PT 36109, PT 36148 HINGGA PT 36150, PT 36200 HINGGA PT 36213, PT 36223, PT 36284 HINGGA PT 36291, PT 36295 HINGGA PT 36300. PT 36303, PT 36304 DAN PT 36311, KINGLEY HILLS, PUTRA HEIGHTS, SUBANG JAYA, MUKIM DAMANSARA, DAERAH PETALING, SELANGOR DARUL EHSAN.</t>
  </si>
  <si>
    <t>Tetuan Landmark Concord Resorts Sdn Bhd.</t>
  </si>
  <si>
    <t>Permohonan Kebenaran Merancang Mengikut Seksyen 21 Akta 172, Bagi Maksud Penyerahanbalik Dan Pemberimilikan Semula Di Bawah Seksyen 204b, Kanun Tanah Negara (Ktn) Bagi Cadangan Pembangunan Industri, Di Atas Lot 2100-2108, Lot 1258 Dan Lot 1795, Mukim Serendah, Ulu Selangor, Selangor Darul Ehsan. (Mdhs / Ptd Hulu Selangor)</t>
  </si>
  <si>
    <t>Tetuan Binastra Land Sdn. Bhd.</t>
  </si>
  <si>
    <t>Permohonan Kebenaran Merancang Bagi Tujuan Serah Balik Dan Memberimilik Semula Di Bawah Seksyen 197 Dan 76 (Kanun Tanah Negara) Untuk Pembangunan Pangsapuri Yang Mengandungi : 
a.	Pangsapuri Kos Bebas Skyvilla - 219 Unit 
b.	Pangsapuri Selangorku Jenis E - 55 Unit 
c.	Pondok Pengawal - 1 Unit 
Di Atas Lot Pt 18763 (Hsm 15133) [ Lot Lama Lot 15690 (Pt 14872) Dan Lot 18631 (Pt 16431)  Dan Sebahagian Tanah Kerajaan Yang Dipohon, Mukim Ulu Kelang, Daerah Gombak Selangor Darul Ehsan. (Mpaj / Ptd Gombak)</t>
  </si>
  <si>
    <t>Tetuan Tan Loke Mun, Kenneth Koh Seng Kee &amp; Loo Jian Sern</t>
  </si>
  <si>
    <t>Permohonan Kebenaran Merancang Bagi Cadangan Membina Sebuah Rumah Tingkat Di Atas Lot 574, Lorong 5/66A Seksyen 19, Bandar Petaling Jaya, Daerah Petaling, Selangor Darul Ehsan. (Mbpj / Ptd Petaling)</t>
  </si>
  <si>
    <t>sehingga mendapat kelulusan JAS</t>
  </si>
  <si>
    <t>Cadangan Projek Loji Rawatan Air Langat 2 Dan Kerja- Kerja Pengagihan Air Di Negeri Selangor Darul Ehsan / Wilayah Persekutuan Kuala Lumpur.
Permohonan Kebenaran Merancang Bagi Cadangan Bagi Tapak Pelupusan Enapcemar Langat 2 (Pakej 3), Mukim Hulu Langat, Daerah Hulu Langat, Selangor Darul Ehsan.</t>
  </si>
  <si>
    <t>Tetuan Bonava Sdn. Bhd.</t>
  </si>
  <si>
    <t xml:space="preserve">Permohonan Kebenaran Merancang Bagi Cadangan Pelan Susunatur Di Bawah Akta 204d, Kanun Tanah Negara, Di Atas Pt40733, Seksyen U10, Mukim Bukit Raja, Daerah Petaling, Selangor Darul Ehsan. </t>
  </si>
  <si>
    <t>Tetuan Hijrah Murni (M) Sdn. Bhd.</t>
  </si>
  <si>
    <t>berdasarkan KM yg telah diluluskan</t>
  </si>
  <si>
    <t>Permohonan Pindaan Kebenaran Merancang Bagi Pendirian Bangunan Atas Pelan Susunatur Yang Telah Diluluskan Dengan Rujukan Mp Sepang/Ps/600-43/3/583 Bertarikh 07hb Jun 2017 Untuk Pembangunan Yang Mengandungi: 
Daripada:
1)	Rumah Selangorku Jenis A - 100 Unit (11 Tingkat)
2)	Rumah Selangorku Jenis B - 100 Unit (11 Tingkat) 
3)	Rumah Selangorku Jenis C - 52 Unit (8 Tingkat)
4)	Rumah Selangorku Jenis D - 250 Unit (17 Tingkat) 
5)	1 Unit Dewan Serbanguna 1 Unit Pondok Pengawal 4 Unit Kebuk Sampah 
Kepada Rumah Selangorku Idaman:
1)	Blok A - 251 Unit (21 Tingkat) 
2)	Blok B - 251 Unit (21 Tingkat) 
3)	Blok C - 7 Unit Podium Tempat Letak Kereta Berserta 1 Tingkat Kemudahan Sokongan Yang Mengandungi: 
I.	Bilik Peti Surat 
II.	 Dewan Serbaguna 
III.	Surau (Lelaki &amp; Perempuan) 
IV.	Pejabat Pengurusan 
V.	 Bilik Kawalan Api 
4)	2 Unit Kebuk Sampah Dan 1 Unit Pondok Pengawal 
Melalui Serahbalik Dan Berimilik Semula Tanah Di Bawah Seksyen 204b  Kanun   Tanah   Negara  (Ktn),   Di  Atas   Lot   38767,    Desa Pinggiran Putra, Mukim Dengkil, Daerah Sepang, Selangor Darul Ehsan.</t>
  </si>
  <si>
    <t>Tetuan Aset Kayamas Sdn. Bhd.</t>
  </si>
  <si>
    <t>PERMOHONAN KEBENARAN MERANCANG BAGI TUJUAN PENYERAHAN BALIK DAN PEMBERIMILIKAN SEMULA DI BAWAH SEKSYEN 204B , AKTA KANUN TANAH NEGARA ( KTN ) BAGI CADANGAN PEMBANGUNAN BERCAMPUR SECARA STRATA MENGIKUT AKTA HAKMILIK STRATA 1985 ( AKTA 318 ) DI BAWAH SEKSYEN 21 ( 1 ) AKTA 172 DI ATAS LOT 3278 ( GRN 24223 ) , SELUAS 16.781 EKAR , MUKIM BATANG KALI , DAERAH ULU SELANGOR , SELANGOR DARUL EHSAN.</t>
  </si>
  <si>
    <t>Tetuan Jade Classic Sdn. Bhd.</t>
  </si>
  <si>
    <t xml:space="preserve">PERMOHONAN KEBENARAN MERANCANG BAGI PENDIRIAN BANGUNAN PANGSAPURI RUMAH SELANGORKU 22 TINGKAT (278 UNIT) DI BAWAH SEKSYEN 6, AKTA HAKMILIK STRATA 1985 (AKTA 318) YANG MENGANDUNGI:-
1) RUMAH SELANGORKU 18 TINGKAT - 68 UNIT JENIS A (700kp), 1 UNIT JENIS A1 (UNIT OKU) (775kp), 68 UNIT JENIS B (750kp), 1 UNIT JENIS B1 (UNIT OKU) (775kp), 70 UNIT JENIS C (800kp) DAN 70 UNIT 
JENIS D (900kp)
2) TEMPAT LETAK KERETA 4 TINGKAT DENGAN KEMUDAHAN SEPERTI 1 UNIT TADIKA, 1 UNIT DEWAN SERBAGUNA, 1 UNIT SURAU, 1 UNIT PERPUSTAKAAN, 1 UNIT PEJABAT PENGURUSAN, 1 UNIT PONDOK PENGAWAL, 1 UNIT KEBUK SAMPAH DAN RUANG REKREASI
DI ATAS PT 68745 (DAHULUNYA SEBAHAGIAN LOT 47954), CYBERSOUTH, MUKIM DENGKIL, DAERAH SEPANG, SELANGOR DARUL EHSAN.  </t>
  </si>
  <si>
    <t>Tetuan Magna Bay Sdn. Bhd.</t>
  </si>
  <si>
    <t xml:space="preserve">PERMOHONAN PELUPUSAN SECARA PEMBERIMILIKAN TANAH KERAJAAN DI BAWAH SEKSYEN 76, KANUN TANAH NEGARA, BANDAR CHERAS, DAERAH HULU LANGAT, BAGI TUJUAN PERUSAHAAN. </t>
  </si>
  <si>
    <t>Tetuan Trident Treasure Sdn. Bhd.</t>
  </si>
  <si>
    <t xml:space="preserve">PERMOHONAN PINDAAN KEBENARAN MERANCANG (PELAN SUSUNATUR YANG TELAH DILULUSKAN BIL. MPSJ/JPB/600-1/2/14/PS(A) BERTARIKH 15 FEBRUARI 2022) BAGI SEBAHAGIAN PEMBANGUNAN BERCAMPUR DI ATAS PT 62420 DAN PT 62421, TAMAN PUJ 9/11, BANDAR PUTRA PERMAI, MUKIM PETALING, DAERAH PETALING, SELANGOR DARUL EHSAN. </t>
  </si>
  <si>
    <t>Tetuan Fiesta Senada Sdn. Bhd.</t>
  </si>
  <si>
    <t xml:space="preserve">Permohonan Kebenaran Merancang Bagi Cadangan Pelan Susunatur Membina Pangsapuri Yang Mengandungi :
Plot 1
I.	1 Blok (Blok A) Pangsapuri Kos Bebas (241 Unit) 26 Tingkat Termasuk 4 Tingkat Podium Tempat Letak Kereta &amp; Kemudahan
II.	1 Blok (Blok B) Pangsapuri Kos Bebas (241 Unit) 26 Tingkat Termasuk 4 Tingkat Podium Tempat Letak Kereta &amp; Kemudahan
Plot 2
I.	1 Blok (Blok A) Pangsapuri RSKU (288 Unit) Jenis B – 96 Unit, Jenis C – 96 Unit &amp; Jenisd 96 Unit, 22 Tingkat Termasuk 5 Tingkat Podium Tempat Letak Kereta &amp; 1 Tingkat Kemudahan
II.	1 Blok (Blok B) Pangsapuri RSKU (194 Unit) Jenis A-194 Unit, 16 Tingkat Termasuk 3 Tingkat Podium Tempat Letak Kereta &amp; Kemudahan 
Di Bawah Seksyen 204D Kanun Tanah Negara Di Atas Lot 1211, Mukim Cheras, Daerah Hulu Langat, Selangor Darul Ehsan. </t>
  </si>
  <si>
    <t xml:space="preserve">Tetuan NCT Land Sdn. Bhd. dan NCT Consolidated Sdn. Bhd. </t>
  </si>
  <si>
    <t>Permohonan Kebenaran Merancang Mengikut Seksyen 21(1), Akta Perancangan Bandar Dan Desa 1976 (Akta 172) Bagi Penyerahan Balik Dan Berimilik Semula Di Bawah Seksyen 204B Kanun Tanah Negara 1965 (Akta 56) Bagi Cadangan Perindustrian ‘Managed Industrial Park’  (MIP)  Di Atas  Lot 12193, PT34036,  PT34037,  PT34038, PT 34039 PT34040 Dan PT34043 Berkeluasan 732.53 Ekar, Mukim Tanjong Duabelas, Daerah Kuala Langat, Selangor Darul Ehsan.</t>
  </si>
  <si>
    <t>Tetuan Amona MKH Ventures Sdn. Bhd.</t>
  </si>
  <si>
    <t>Permohonan Kebenaran Merancang Pendirian Bangunan Bagi Cadangan Pembangunan Perumahan Yang Mengandungi : 
Plot 1 
i.	2 Blok Kondominium (524 Unit)
a)	Blok A – 23 Tingkat 260 Unit Beserta 1 Tingkat Kemudahan (Tingkat 1)
b)	Blok C – 22 Tingkat 264 Unit
ii.	1 Blok Podium 4 Tingkat (Blok B) Yang Mengandungi :
a)	4 Tingkat Tempat Letak Kereta
b)	1 Tingkat Kemudahan Rekreasi (Tingkat 5)
iii.	1 Unit Kebuk Sampah
iv.	1 Unit Pondok Pengawal
v.	1 Unit Blok Bangunan Terbahagi Kepada Dua Pencawang Elektrik
Plot 2
i.	1 Blok Rumah Selangorku 17 Tingkat (228 Unit) Termasuk
a)	5 Unit Kedai
b)	1 Blok Podium 5 Tingkat Beserta Kemudahan Rekreasi
ii.	1 Unit Pondok Pengawal
Di Atas Lot 2005 Dan 1 Unit Stesen Pam Loji Rawatan Kumbahan Lot 2006, Di Bawah Seksyen 137 Dan Seksyen 200 Kanun Tanah Negara 1965 (Akta 56) Mukim Semenyih, Daerah Ulu Langat, Selangor Darul Ehsan.</t>
  </si>
  <si>
    <t>Tetuan Tropicana Alam Sdn. Bhd.</t>
  </si>
  <si>
    <t>Permohonan Kebenaran Merancang Bagi Cadangan Pembangunan Perumahan Teres 2 Tingkat 20’ X 70’ Dan 22’ X 70’ Dan Rumah Selangorku (RSKU) Secara Penyerahan Balik Dan Pemberimilikan Semula Tanah Di Bawah Seksyen 204B Kanun Tanah Negara (KTN) Di Atas Lot 33962 (Plot C) Seluas 87,423 Ekar, Persiaran Puncak Alam 6, 42300 Bandar Puncak Alam, Mukim Ijok, Daerah Kuala Selangor,Selangor Darul Ehsan</t>
  </si>
  <si>
    <t xml:space="preserve">Tetuan Genisan A/L Muthan </t>
  </si>
  <si>
    <t>Cadangan Pembangunan Inap Dusun Yang Mengandungi 1 Unit Rumah Dusun 2 Tingkat Beserta 1 Tingkat Bawah Tanah Di Atas Lot PT81, Mukim Buloh Telor, Daerah Hulu Selangor, Selangor Darul Ehsan.</t>
  </si>
  <si>
    <t>Tetuan Sime Darby Property (LAGONG) Sdn. Bhd.</t>
  </si>
  <si>
    <t>Permohonan Jawatankuasa Teknikal Kawasan Sensitif Alam Sekitar Negeri Selangor (JTKSAS) Di Atas Cadangan Permohonan Pindaan Pelan Induk Pembangunan Bercampur Di Atas Lot 482, 484, 6, 688, 35231, 1424,1000, 1020, 493, 1023, 492, 5399, 1427, 1430, 1876 &amp; 1433, 1434, 993, 494, 491, 41, 42, 4157 Mukim Rawang, Lot 488, 489, 497, 498 Pekan Kuang, PT 49797 Dan Lot 35227 Lagong Mas, Daerah Gombak, Selangor Darul Ehsan.</t>
  </si>
  <si>
    <t>Tetuan Bagan Teguh Sdn. Bhd.</t>
  </si>
  <si>
    <t xml:space="preserve">Permohonan Kebenaran Merancang Bagi Pengesahan Semula Untuk Cadangan Pembangunan 51 Unit Rumah Teres 3 Tingkat (15’ X 55’) Di Atas PT 13569 Hingga Lot 20032, Mukim Cheras, Daerah Hulu Langat, Selangor Darul Ehsan. </t>
  </si>
  <si>
    <t>Tetuan Tekni Hiliran Sdn. Bhd.</t>
  </si>
  <si>
    <t>Permohonan Kebenaran Merancang Bagi Cadangan Pembangunan Yang Mengandungi ;
i)	13 Unit Rumah Sesebuah 2 Tingkat
Di Atas Lot 20834, Lot 20835, Lot 20837, Lot 20838, Lot 20839, Lot 20840, Lot 20841, Lot 20843, Lot 20847, Lot 20848, Lot 20850, Lot 20851 Dan Lot 20852, (Sebahagian Lot Asal Lot 9024), Tanah Simpanan Melayu Sungai Merab, Mukim Dengkil, Daerah Sepang, Selangor Darul Ehsan.</t>
  </si>
  <si>
    <t>Tetuan Sime Darby Property (City of Elmina) Sdn. Bhd.</t>
  </si>
  <si>
    <t>Permohonan Pindaan Kebenaran Merancang  Pelan Susunatur, Di Atas Lot PT 53750, Elmina, Seksyen U15, Mukim Bukit Raja, Daerah Petaling, Selangor Darul Ehsan.</t>
  </si>
  <si>
    <t>Tetuan Yayasan Falsafah Dan Institusi Saiva</t>
  </si>
  <si>
    <t>Permohonan Penyatuan Tanah Dan Tukar Syarat Tanah Dari Pertanian Ke Institusi Secara Serah Balik Dan Pemberimilikan Semula Tanah Di Bawah Seksyen 204B (Kanun Tanah Negara 1965) Dan Kebenaran Merancang Di Bawah Subsyeksyen 2(1) Akta Perancang Bandar Dan Desa 1976 (Akta 172) Bagi Cadangan Sekolah Keagamaan Swasta Selain Islam (Hindu) Di Atas Lot 133 Dan Lot 527, 44100 Kerling, Mukim Kerling, Daerah Ulu Selangor, Selangor Darul Ehsan.</t>
  </si>
  <si>
    <t>Tetuan Rosebower Development Sdn. Bhd.</t>
  </si>
  <si>
    <t xml:space="preserve">Permohonan Kebenaran Merancang Kerja Kejuruteraan Bagi Cadangan Membaik Pulih Parit Monson Sediada Dan Penstabilan Cerun Sediada Di Antara (GRN 51320) Lot 6854 &amp; (GRN 51321) Lot 6855 Bandar Ulu Kelang, Daerah Gombak, Selangor Darul Ehsan. </t>
  </si>
  <si>
    <t>Tetuan Honour Height Sdn. Bhd.</t>
  </si>
  <si>
    <t xml:space="preserve">Permohonan Kebenaran Merancang Secara Penyerahan Balik Di Bawah Seksyen 107 197 KTN Dan Pemberimilikan Di Bawah Seksyen 76 KTN Ke Atas Hakmilik HS(M) 13400 PT 16358, HS(M) 13401 PT 16359, HS(M) ) 13402 PT 16360, HS(M) 13403 PT 16361, HS(M) 13404 PT 16362, HS(M) 13408 PT 16366, HS(M) 13409 PT 16367, HS(M) 13410 PT 16368, HS(M) 13420 PT 16370, Bandar Ulu Kelang Dan Sebahagian Tapak Kerajaan Bagi Cadangan Pembangunan 1 Unit Rumah Sesebuah 3 Tingkat, 10 Unit Rumah Berkembar 2 Tingkat, 12 Unit Rumah Berkembar 2 Tingkat Berserta Aras Bawah Tanah Dan 4 Unit Rumah Bandar Selangorku 1 Tingkat, Di Bandar Ulu Kelang, Daerah Gombak, Selangor Darul Ehsan. </t>
  </si>
  <si>
    <t>Tetuan Hedgeford Sdn. Bhd.</t>
  </si>
  <si>
    <t xml:space="preserve">Cadangan Bagi Kerja-Kerja Penstabilan Cerun Di Atas Lot 22245, Lot 22246 Dan Lot 22247 Mukim Ulu Kelang Daerah Gombak Selangor Darul Ehsan. </t>
  </si>
  <si>
    <t>Tetuan Hexxon Development Sdn. Bhd.</t>
  </si>
  <si>
    <t>Permohonan Kebenaran Merancang Bagi Cadangan Pembangunan Yang Mengandungi :
i.	Blok A: 446 Unit Pangsapuri Harga Bebas-36 Tingkat dan Blok B: 370 Unit Pangsapuri Harga Bebas-32 Tingkat (Termasuk 8 Tingkat Podium Yang Mengandungi Tempat Letak Kereta dan Kemudahannya) 
ii.	24 Unit Rumah Teres Harga Bebas 20' X 65'- 3 tingkat dan 26 Unit Rumah Teres Harga Bebas 20' X 65 ~98'- 3 Tingkat
iii.	1 Unit Pondok Pengawal dan,
iv.	1 Unit Kebuk Sampah
Melalui Serah Sebahagian Tanah Untuk Jalan Awam, di Bawah Seksyen 200, Kanun Tanah Negara (KTN 1965) Serta Secara Cadangan Skim Komuniti Berpagar &amp; Berpengawal di Bawah Seksyen 6 (1A) Akta 318 (Akta Hakmilik Strata 1985), di Atas Lot 1206, Batu 12, Jalan Cheras-Sungai Besi, Mukim Cheras, Daerah Hulu Langat, Selangor Darul Ehsan.</t>
  </si>
  <si>
    <t>Tetuan Shah Alam 2 Sdn. Bhd.</t>
  </si>
  <si>
    <t xml:space="preserve">Pemohonan Pindaan Kebenara Merancang Pelan Susunatur Yang Telah Diluluskan Pada 28hb Januari 2005 [No. Ruj.: MDKS 04/2005/KM (Bil/JPBD.SEL/04/114/97H/PS] Bagi Tujuan Serah Balik Dan Berimilik Semula Tanah Di Bawah Seksyen 197 &amp; 76 Kanun Tanah Negara, Bagi Cadangan Pembangunan Perumahan Di Atas Lot 13807 (PN 74991), Lot 14213 (PT 6910 [HSD 22502]), Lot 14214(PT 6909 [HSD 22501]), Lot 14215 (PT 6908 [HSD 22500]), Lot 14216 (PT 6907 [HSD 22499]), Lot 14217 (PT 6906 [HSD 22498), Lot 14218 (PT 6905 [HSD 22497]), Lot 14221 (PT 6902 [HSD 22494], Lot 14223 (PT 6900 [HSD 22492]) Dan Sebahagian Tanah Kerajaan (Sebahagian Daripada Fasa 5B) Mukim Jeram, Daerah Kuala Selangor, Selangor Darul Ehsan. </t>
  </si>
  <si>
    <t>Tetuan CCC (ECRL) Sdn. Bhd.</t>
  </si>
  <si>
    <t>perlu rujuk KSAS utk stesen yg terlibat KSAS</t>
  </si>
  <si>
    <t>Permohonan Kebenaran Merancang Untuk Tujuan Penyatuan Tanah Di Bawah Seksyen 148, Kanun Tanah Negara 1965 (Akta 56) Bagi Cadangan Pembangunan Pusat Latihan Yang Mengandungi:
i.	12 Unit Inap Dusun 1 Tingkat; 
ii.	 1 Unit Pejabat Pengurusan 2 Tingkat;
iii.	 1 Unit Dewan Tertutup 2 Tingkat;
iv.	 1 Unit Dewan Terbuka 1 Tingkat Beserta 1 Unit Asrama Perempuan 1 Tingkat;
v.	 1 Unit Asrama Lelaki 2 Tingkat;
vi.	 2 Unit Tandas 1 Tingkat;
vii.	 1 Unit Pondok Pengawal 2 Tingkat;
viii.	 1 Unit Pencawang Elektrik Padat: Dan
ix.	 1 Unit Kolam Rawatan Kumbahan
Di Atas Lot 1306 Dan 1307, Mukim Batang Kali, Daerah Hulu Selangor, Selangor Darul Ehsan.</t>
  </si>
  <si>
    <t>Permohonan Kebenaran Merancang Bagi Tujuan Penyerahan Balik Keseluruhan Tanah Mengikut Seksyen 197 Dan Pemberimilikan Semula Tanah Di Bawah Seksyen 76 (Kanun Tanah Negara 1965) Bagi Cadangan Pembangunan Pangsapuri Di Atas Lot 9034, Pt 39543 Hingga Pt 39638 (Lot Asal 8996, 9027, 9047 Dan Sebahagian Lot Asal 9005, 9026, 9028 &amp; 9033) Dan Sebahagian Tanah Kerajaan, Puncak Pinggiran Putra, Sg. Merab, Mukim Dengkil, Daerah Sepang, Selangor Darul Ehsan. (MPSpg/PTD Sepang)</t>
  </si>
  <si>
    <t>Permohonan Kebenaran Merancang Bagi Cadangan Pembangunan Perumahan Teres 2 Tingkat 20’ X 70’ Dan 22’ X 70’ Dan Rumah Selangorku (RSKU) Secara Penyerahan Balik Dan Pemberimilikan Semula Tanah Di Bawah Seksyen 204B Kanun Tanah Negara (KTN) Di Atas Lot 33962 (Plot C) Seluas 87,423 Ekar, Persiaran Puncak Alam 6, 42300 Bandar Puncak Alam, Mukim Ijok, Daerah Kuala Selangor,Selangor Darul Ehsan. (MPKS / PTD Kuala Selangor)</t>
  </si>
  <si>
    <t>Tetuan Cergas Puri Sdn. Bhd.</t>
  </si>
  <si>
    <t>Permohonan Kebenaran Merancang Mengikut Seksyen 21 Akta Perancangan Bandar Dan Desa 1976 (Akta 172) Bagi Cadangan Pembangunan Pangsapuri 10 Tingkat Yang Mengandungi:
i.	Kemudahan Penduduk, Ruang Utiliti, Pencawang Elektrik Dan Tempat Letak Kereta Di Aras Bawah 
ii.	3 Tingkat Ruang Letak Kereta Dari Aras 1 Hingga Aras 3 
iii.	6 Tingkat Pangsapuri (60 Unit) Dari Aras 4 Hingga Aras 9 
iv.	Ruang Utiliti Di Aras Bumbung
Termasuk Kebuk Sampah Dan Pondok Pengawal Secara Serah Balik Dan Berimilik Semula Tanah Di Bawah Seksyen 204B, Kanun Tanah Negara (KTN) Di Atas Lot PT 12268, Mukim Hulu Langat, Daerah Hulu Langat, Selangor Darul Ehsan
-Permohonan Ulasan Bagi Pengesahan Jawatankuasa Teknikal Pembangunan Kawasan Sensitif Alam Sekitar (JTPKSAS) Negeri Selangor</t>
  </si>
  <si>
    <t>Tetuan Genting Malaysia Berhad.</t>
  </si>
  <si>
    <t>Permohonan Pengecualian Jawatankuasa Teknikal Pembangunan Kawasan Sensitif Alam Sekitar Dan Tanah Tinggi (Jtpksas) Negeri Selangor Bagi Permohonan Kebenaran Merancang Pindaan Kepada Pelan Yang Telah Diluluskan Pelan Bil. MDHS/TP/70/2017 (Bertarikh: 22hb. Ogos 2017) Bagi Tujuan Membina Bangunan: 
-	Rumah Pam 
-	Tangki Air Mentah 
-	Bangunan Elektrik 2 Tingkat 
	Di Atas Sebahagian Lot 7577, Geran 44562, Genting Highlands, Mukim Batang Kali, Daerah Hulu Selangor, Selangor Darul Ehsan Untuk Tetuan Genting Malaysia Berhad.</t>
  </si>
  <si>
    <t>Tetuan MDCON (Simpang Empat) Sdn.Bhd.</t>
  </si>
  <si>
    <t>Permohonan Kebenaran Merancang Mengikut Seksyen 21 Akta 172 Untuk Penyerahan Balik Dan Pemberimilikan Semula Di Bawah Seksyen 204B Kanun Tanah Negara (KTN) Bagi Cadangan Pembangunan Bercampur Di Atas Lot 41352, Bandar Serendah, Daerah Hulu Selangor, Selangor Darul Ehsan. (MPHS, PTD Hulu Selangor)</t>
  </si>
  <si>
    <t>Tetuan Pertubuhan Peladang Kawasan Kuala Selango (PPKKS)</t>
  </si>
  <si>
    <t>Permohonan Kebenaran Merancang Ke Atas Cadangan Pembangunan Lembah Peladang Agropark Saujana Utama Yang Mengandungi Tanaman Pertanian, Dewan Serbaguna, Akuakultur, Tapak Perkhemahan Dan Glamping, Arena, Pejabat Pengurusan Dan Penyelenggaraan Serta Kemudahan Yang Berkaitan Di Atas Lot 5932, Mukim Jeram, Daerah Kuala Selangor, Selangor Darul Ehsan Seluas 93.57 Ekar (37.94 Hektar). (MPKS, PTD Kuala Selangor)</t>
  </si>
  <si>
    <t>Tetuan Khas Perkasa Sdn. Bhd.</t>
  </si>
  <si>
    <t>Permohonan Kebenaran Merancang Pelan Susunatur Mengikut Seksyen 21 Akta 172 Bagi Tujuan Serah Balik Dan Pemberimilikan Semula Tanah Di Bawah Seksyen 204B (KTN) Bagi Tanah Rizab Melayu (Pegangan Melayu) Bagi Cadangan Pembangunan Perumahan Yang Mengandungi: 
Fasa 1
i.	105 Unit Rumah Teres 2 Tingkat (20' X 60')
ii.	12 Unit Rumah Teres 3 Tingkat (20' X 69')
iii.	14 Unit Rumah Teres 2 Tingkat (20' X 70')
Fasa 2
i.	80 Unit Rumah Bandar 2 Tingkat (20' X 60') 
ii.	25 Unit Rumah Teres 2 Tingkat (20' X 69')
Fasa 3
i.	151 Unit Rumah Teres 2 Tingkat (20' X 60')
Di Atas Lot 4131, 4132, 4133, 4134, 85699, 85700, 85701, 85702 Dan 85703, Mukim Rawang, Daerah Gombak, Selangor Darul Ehsan. (MPS, PTD Gombak)</t>
  </si>
  <si>
    <t xml:space="preserve">Permohonan Kebenaran Merancang Pindaan Ke Atas Pelan Susnatur No. Kelulusan MPHS/TP/134/2022 Bertarikh 31 Januari 2023 Bagi Tujuan Penyerahan Balik Dan Pemberimilikan Semula Di Bawah Seksyen 204B, Akta Kanun Tanah Negara (KTN) Bagi Cadangan Pembangunan Bercampur Secara Strata Mengikut Akta Hakmilik Strata 1985 (Akta 318) Di Bawah Seksyen 21(1) Akta 172 Di Atas Lot 3278 (GRN 24223), Seluas 16.781 Ekar, Mukim Batang Kali, Daerah Hulu Selangor, Selangor Darul Ehsan. </t>
  </si>
  <si>
    <t xml:space="preserve">Cadangan Pembangunan Perumahan Di Atas Lot 178, Lot 763 Dan Lot 4955, Mukim Hulu Langat, Daerah Hulu Langat, Selangor Darul Ehsan. </t>
  </si>
  <si>
    <t>Tetuan AIM Edition Sdn. Bhd.</t>
  </si>
  <si>
    <t>PERMOHONAN KEBENARAN MERANCANG DI BAWAH SEKSYEN 21 AKTA PERANCANGAN BANDAR DAN DESA 1976 (AKTA 172) BAGI CADANGAN PEMBANGUNAN BERCAMPUR (PERUMAHAN DAN PERNIAGAAN) MELALUI PENYERAHAN BALIK DAN PEMBERIMILIKAN SEMULA DI BAWAH SEKSYEN 204B, DI ATAS LOT 72916, BANDAR SELAYANG, DAERAH GOMBAK, SELANGOR DARUL EHSAN</t>
  </si>
  <si>
    <t>X COMPLETE</t>
  </si>
  <si>
    <t xml:space="preserve">PERMOHONAN PINDAAN KEBENARAN MERANCANG BAGI PELAN SUSUNATUR YANG TELAH DILULUSKAN (DENGAN RUJUKAN MPAJ.PB-KP/2-33/2022 BERTARIKH 03HB FEBRUARI 2023) YANG MENGANDUNGI : 
FASA 1A:
I.	115 UNIT RUMAH TERES SUPERLINK (STRATA) (22' X 80') (2 ½ TINGKAT) 
II.	28 UNIT RUMAH BERKEMBAR (STRATA) (40' x 90') (3 TINGKAT)
III.	1 UNIT PENCAWANG ELEKTRIK TNB DUA RUANG
FASA 1B: 
I.	138 UNIT RUMAH BANDAR SELANGORKU HARAPAN (STRATA) (22' x 60') (2 TINGKAT)
II.	1 UNIT PENCAWANG ELEKTRIK TNB
FASA 2
I.	762 UNIT PANGSAPURI HARGA BEBAS
FASA 3
I.	50 UNIT KEDAI PEJABAT (3 TINGKAT)
FASA 4:
I.	732 UNIT PANGSAPURI HARGA BEBAS
MELALUI PENYERAHAN BALIK DAN PEMBERIMILIKAN SEMULA DI BAWAH SEKSYEN 204B KANUN TANAH NEGARA 1965 (KTN) DI ATAS LOT 126750, LOT 126751 DAN LOT 126752, TAMAN UKAY SPRING, SEKSYEN 2, BANDAR HULU KELANG, DAERAH GOMBAK, SELANGOR DARUL EHSAN. </t>
  </si>
  <si>
    <t>Tetuan Setiatiwi Development Sdn. Bhd.</t>
  </si>
  <si>
    <t>Permohonan Pengecualian JTPKSAS Terhadap Permohonan Kebenaran Merancang Mengikut Seksyen 21 Akta 172 Secara Serah Balik dan Berimilik Semula Tanah di bawah Seksyen 204B Kanun Tanah Negara (KTN) Bagi Cadangan Pembangunan yang Mengandungi :
Fasa 1: -
48 Unit Kedai Pejabat 2 Tingkat (20' X 65'),
1 Unit Stesen Minyak,
1 Kolam Takungan,
1 Pam Kumbahan,
1 Unit Pencawang Elektrik
Fasa 2:
48 Unit Kedai Pejabat 2 Tingkat (20' X 65')
Fasa 3:
28 Unit Kedai Pejabat 2 Tingkat (20' X 65'), -
32 Unit Kedai Teres Mampu Milik 1 Tingkat (18' X 60')
1 Plot Perdagangan
1 Unit Pencawang Elektrik
Di Atas Lot 26862 Seksyen 20, Mukim Serendah, Daerah Hulu Selangor, Selangor Darul Ehsan
MPHS /PDT Hulu Selangor
Untuk : Tetuan Setiatiwi Development Sdn .Bhd</t>
  </si>
  <si>
    <t>Tetuan : Venice Hill Resort Sdn Bhd.</t>
  </si>
  <si>
    <t>PERMOHONAN KEBENARAN MERANCANG PELAN SUSUNATUR SECARA SERAH BALIK DAN
PEMBERIMILIKAN SEMULA DI BAWAH SEKSYEN 204, KANUN TANAH NEGARA BAGI CADANGAN PEMBANGUNAN PANGSAPURI KOS BEBAS, MASJID, SEKOLAH RENDAH (SEDIA ADA), LOJI RAWATAN IWK (SEDIA ADA), PENCAWANG ELEKTRIK TNB (SEDIA ADA) DAN DEWAN ORANG RAMAI DI ATAS LOT 1014, BATU 8 3/4, JALAN CHERAS-KUALA LUMPUR, MUKIM CHERAS, DAERAH HULU LANGAT, SELANGOR DARUL EHSAN UNTUK: TETUAN VENICE HILL RESORT SDN. BHD.</t>
  </si>
  <si>
    <t>TETUAN DFCITY PKNS SDN BHD</t>
  </si>
  <si>
    <t xml:space="preserve">PERMOHONAN JAWATANKUASA TEKNIKAL PEMBANGUNAN KAWASAN SENSITIF ALAM SEKITAR
NEGERI SELANGOR (JKTPKSAS) BAGI CADANGAN PEMBANGUNAN:
i.	FASA 1A: "SNOW WORLD" 
ii.	FASA 1B: 1 BLOK HOTEL 28 TINGKAT 
iii.	FASA 1C: TAMAN TEMA AIR 
iv.	FASA 1D: 1 BLOK HOTEL 20 TINGKAT
DI ATAS SEBAHAGIAN LOT 13614, MUKIM KUALA KALUMPANG, DAERAH HULU SELANGOR, NEGERI
SELANGOR DARUL EHSAN </t>
  </si>
  <si>
    <t>PENGURUSAN AIR SELANGOR SDN BHD</t>
  </si>
  <si>
    <t xml:space="preserve">CADANGAN MEMBINA TANGKI AIR TAMBAHAN BERSERTA RUMAH PAM (PAKEJ 3) DI KOLAM AIR BUKIT LIPAT KAJANG SEDIA ADA DI ATAS SEBAHAGIAN LOT 678 (PERMOHONAN TANAH KERAJAAN), 17644 DAN 10845, MUKIM KLANG, DAERAH KLANG, SELANGOR DARUL EHSAN UNTUK </t>
  </si>
  <si>
    <t>Tetuan : SDB PROPERTIES SDN.BHD (RSKU)</t>
  </si>
  <si>
    <t>PERMOHONAN KEBENARAN MERANCANG BAGI PENDIRIAN BANGUNAN PERUMAHAN RUMAH SELANGORKU (RSKU) SEBANYAK 232 UNIT DI ATAS PT18774, KEMENSAH, MUKIM HULU KELANG, DAERAH GOMBAK, SELANGOR DARUL EHSAN.</t>
  </si>
  <si>
    <t>Tetuan : SDB PROPERTIES SDN.BHD (PANGSAPURI)</t>
  </si>
  <si>
    <t>PERMOHONAN KEBENARAN MERANCANG PENDIRIAN BANGUNAN BAGI CADANGAN
PEMBANGUNAN PERUMAHAN YANG MENGANDUNGI 1 BLOK PANGSAPURI 15-18 TINGKAT
(306 UNIT) TERMASUK TEMPAT LETAK KERETA (15-18 TINGKAT) SERTA 1 TINGKAT TAMAN ARAS BUMBUNG, 3 TINGKAT KEMUDAHAN (DI ARAS TANAH, TINGKAT 1 DAN TINGKAT 2)
DAN 1 TINGKAT SEPARA BESMEN RANG UTILITI DI ATAS HS(M) 15280 PT 18775,
KEMENSAH, MUKIM HULU KELANG, DAERAH GOMBAK, SELANGOR DARUL EHSAN.
UNTUK: SDB PROPERTIES SDN. BHD.
- Perakuan Jawatankuasa Teknikal Pembangunan Kawasan Sensitif Alam Sekitar (KSAS)</t>
  </si>
  <si>
    <t>Tetuan :MAXIMS CIRCLE DEVELOPMENT SDN BHD</t>
  </si>
  <si>
    <t>PERMOHONAN KEBENARAN MERANCANG SECARA PENYERAHAN BALIK DAN PEMBERIMILIKAN SEMULA TANAH DI BAWAH SEKSYEN 204B, KANUN TANAH NEGARA BAGI CADANGAN PEMBANGUNAN 570 UNIT YANG MENGANDUNGI:
FASA 1A:
PANGSAPURI HARGA BEBAS (456 UNIT)
i.BLOK A (173 UNIT) 34 TINGKAT DARI ARAS 9 HINGGA ARAS 34
ii.BLOK B (283 UNIT) 35 TINGKAT DARI ARAS 6 HINGGA ARAS 35
iii.7 TINGKAT PODIUM TEMPAT LETAK KERETA DARI ARAS BAWAH TANAH HINGGA ARAS 5
iv.5 TINGKAT KEMUDAHAN AWAM (ARAS TANAH &amp; ARS 4 HINGGA ARAS 7) YANG TERDIRI DARIPADA 1 UNIT TASKA, 1 UNIT BILIK PENGURUSAN JENAZAH DAN RUANG REHAT, 1 UNIT PEJABAT PENGURUSAN, 1 UNIT BILIK PETI SURAT, 1 UNIT LOBI UTAMA, 1 UNIT RUANG LEGAR (BLOK A &amp; BLOK B) DAN 1 UNIT PONDOK PENGAWAL DI ARAS TANAH 
v.BESERTA KEMUDAHAN UTILITI DAN KEBUK SAMPAH DI ARAS BAWAH TANAH
FASA 1B:
PANGSAPURI RUMAH SELANGORKU 3.0 (114 UNIT)
i. 13 TINGKAT RSKU JENIS (TRIO) 3 BILIK DARI ARAS 4 HINGGA ARAS 13
ii. 4 TINGKAT ARAS TEMPAT LETAK KERETA DARI ARAS TANAH HINGGA ARAS3 iii. 4 TINGKAT KEMUDAHAN AWAM (ARAS TANAH, ARAS 1, ARAS 2 &amp; ARAS 4) YANG TERDIRI DARIPADA 1 UNIT TADIKA, 1 UNIT KEMUDAHAN UTILITI DAN 1 UNIT PONDOK PENGAWAL DI ARAS TANAH
iv. BERSERTA 1 UNIT KEBUK SAMPAH DI ARAS TANAH
DI ATAS LOT 1237 DAN LOT 1240, MUKIM HULU KELANG, DAERAH GOMBAK, SELANGOR DARUL EHSAN</t>
  </si>
  <si>
    <t xml:space="preserve">TETUAN PERBADANAN KEMAJUAN NEGERI SELANGOR (PKNS) </t>
  </si>
  <si>
    <t xml:space="preserve">CADANGAN BAGI PEMBANGUNAN TAMAN PERINDUSTRIAN BERKONSEPKAN MANAGED INDUSTIAL PARK DI ATAS LOT 201 SEKSYEN 11&amp; PT 2892 SEKSYEN 12 KOTA PUTERI BANDAR BATU ARANG, DAERAH GOMBAK SELANGOR DARUL EHSAN UNTUK TETUAN PERBADANAN KEMAJUAN NEGERI SELANGOR </t>
  </si>
  <si>
    <t>TETUAN : PURA DEVELOPMENT SDN BHD</t>
  </si>
  <si>
    <t>BIL 7/2024</t>
  </si>
  <si>
    <t>PERMOHONAN PINDAAN KEBENARAN MERANCANG KE ATAS PELAN SUSUNATUR YANG TELAH DILULUSKAN BIL (31) DLM.MPS 3/3-120/809 JLD.2 BERTARIKH 15.06.2012 BAGI CADANGAN PEMBANGUNAN KEDIAMAN BERCAMPUR MELALUI PENYERAHAN BALIK TANAH DI BAWAH SEKSYEN 197
DAN PEMBERIMILIKAN TANAH DI BAWAH SEKSYEN 76 KANUN TANAH NEGARA DI ATAS LOT 982, PT 48378 (DAHULU SEBAHAGIAN LOT 934) DAN PT 52693 (DAHULU SEBAHAGIAN PT 47626), BANDAR KUNDANG, DAERAH GOMBAK, SELANGOR DARUL EHSAN.
UNTUK : PURA DEVELOPMENT SDN. BHD.</t>
  </si>
  <si>
    <t>TETUAN UEM LAND BERHAD.</t>
  </si>
  <si>
    <t>Permohonan Pindaan Kebenaran Merancang Di Atas Pelan Yang Telah Diluluskan No. Rujukan MPKJ/JPP/BPB/KM3/33-2011 Bertarikh 23/08/2022 Secara Serahbalik Dan Kurnia Semula Di Bawah Seksyen 204B KTN Di Atas Sebahagian PT 44507 (Dahulunya Lot 18370 (PT21628)), Mukim Semenyih, daerah Hulu Langat, Selangor Darul Ehsan. (MPKJ/PDT Hulu Langat)
UNTUK: TETUAN UEM LAND BERHAD.</t>
  </si>
  <si>
    <t>TETUAN KKB RESORTS SDN. BHD.</t>
  </si>
  <si>
    <t>Pengecualian Ulasan Dan Penilaian Dari Jawatankuasa Teknikal Kawasan Sensitif Alam Sekitar Negeri Selangor (JTPKSAS) Bagi Cadangan Pembangunan Di Atas PT 2554, PT 2958-2971 &amp; PT 2972-2974, Mukim Ampang Pecah, Daerah Hulu Selangor, Selangor Darul Ehsan.
UNTUK: TETUAN KKB RESORTS SDN. BHD.</t>
  </si>
  <si>
    <t>TETUAN TETUAN GENSA SDN. BHD.</t>
  </si>
  <si>
    <t>Permohonan Kebenaran Merancang (Pindaan Kepada Pelan Yang Telah Diluluskan Pelan Bil. MDHS/TP/60/2021, Bertarikh 15 Jun 2021) Di Bawah Seksyen 21 Akta Perancangan Bandar Dan Desa 1976 Bagi Cadangan Membina Tapak Kebun (Rumah Hijau) Yang Mengandungi : 
a)	13 Unit Bangsal Kerja (Tapak Kebun) 1 Tingkat,
b)	1 Unit Ruang Pasar Terbuka 1 Tingkat,
c)	1 Unit Stor,
d)	1 Unit Pondok Pengawal,
e)	1 Unit Kebuk Sampah,
f)	1 Unit Surau (Lelaki Dan Perempuan),
g)	1 Unit Tandas (Lelaki Dan Perempuan),
h)	1 Unit Rumah Pam,
Di Atas Sebahagian PT 3713 (HSD 27996), Genting Highlands, Mukim Batang Kali, Daerah Hulu Selangor, Selangor Darul Ehsan. (MPHS/PTD Hulu Selangor)
UNTUK : TETUAN GENSA SDN. BHD.
PEMAJU : GENTING MALAYSIA BERHAD</t>
  </si>
  <si>
    <t>TETUAN MICHEL ALAIN OLIVERS</t>
  </si>
  <si>
    <t>Cadangan Tambahan Dan Ubahsuai Kediaman Bagi Rumah Sesebuah Sedia Ada Yang Mengandungi :
i.	1 Tingkat Aras Tanah Dan
ii.	4 Tingkat Separa Bawah Tanah
Di Atas Lot 1636, Jalan Teberau 1, Ukay Heights, Bandar Ulu Kelang, Daerah Gombak, Selangor Darul Ehsan. (MPAJ/PTD Gombak)
UNTUK : TETUAN MICHEL ALAIN OLIVERS</t>
  </si>
  <si>
    <t>TETUAN PACIFIC GREENVIEW SDN. BHD.</t>
  </si>
  <si>
    <t>Permohonan  Kebenaran Merancang Pendirian Bangunan Bagi Cadangan Pembangunan Perumahan Pangsapuri Dan Rumah Selangorku Yang Mengandungi :
1.	Blok A : Pangsapuri 1324 Unit (Aras 9 - Aras 52)
2.	Blok B : Pangsapuri 734 Unit (Aras 9 – Aras 50)
3.	Blok C : Rumah Selangorku (RSKU Solo &amp; RSKU Trio) 515 Unit (Aras 9 – Aras 30)
4.	1 Tingkat Ruang Kemudahan (Aras 9)
5.	8 Tingkat Tempat Letak Kereta Bertingkat (Aras 1- Aras 8)
Di Atas Lot 65797 (GRN 320835), Jalan Bukit Jalil Indah, Mukim Pekan Kinrara, Daerah Petaling, Selangor Darul Ehsan. (MBSJ/PTD Petaling)
UNTUK: TETUAN PACIFIC GREENVIEW SDN. BHD.</t>
  </si>
  <si>
    <t>dibincang dlm maklumbalas shj</t>
  </si>
  <si>
    <t>Permohonan Kebenaran Merancang, Pindaan Kepada Pelan Yang Telah Diluluskan Pelan Bil. MDHS/TP/70/2017 (Bertarikh : 22hb. Ogos 2017) Bagi Tujuan Membina Bangunan :
i.	Rumah Pam
ii.	Tangki Air Mentah
iii.	Bangunan Elektrik 2 Tingkat
Di Atas Sebahagian Lot 7577, Geran 44562, Genting Highlands, Mukim Batang Kali, Daerah Hulu Selangor, Selangor Darul Ehsan. (MPHS / PTD Hulu Selangor)
UNTUK: TETUAN GENTING MALAYSIA BERHAD.</t>
  </si>
  <si>
    <t xml:space="preserve">Permohonan Kebenaran Merancang Di Bawah Seksyen 21(1) Akta 172 bagi Tujuan Menyerah Balik Dan Pemberimilikan Semula Di Bawah Seksyen 204B KTN Untuk Cadangan Membina Sebuah Galeri (INSTITUSI) Yang Mengandungi :
a)	Tingkat 1 – Bilik Pejabat
b)	Tingkat 2 – Dewan Galeri
c)	Tingkat 3 – Dewan Galeri
d)	Tingkat 4 _ Dewan Galeri
Di Atas PT 6002 Dan PT 6003, Mukim Kerling, Daerah Hulu Selangor, Selangor Darul Ehsan. (MPHS / PTD Hulu Selangor)
UNTUK : TETUAN PERTUBUHAN AKHLAK MAITREYA MALAYSIA
</t>
  </si>
  <si>
    <t>TETUAN PARAMOUNT PROPERTY (SEPANG) SDN. BHD.</t>
  </si>
  <si>
    <t>Cadangan Pembangunan Perumahan Skim Berstrata (368 Unit) Yang Mengandungi :
i.	224 Unit Rumah Bandar Berkembar Kluster Tiga (3) Tingkat (34’ X 65’)
ii.	144 Unit Rumah Bandar Berkembar Tiga (3) Tingkat (34’ X 65’)
iii.	1 Unit Pejabat Pengurusan
iv.	1 Tapak Tadika
v.	1 Unit Pondok Pengawal
vi.	2 Unit Pencawang elektrik
Di Atas PT 71879, bandar Baru Salak Tinggi, Mukim Dengkil, Daerah Sepang, Selangor Darul Ehsan. (MPSpg / PTD Sepang)
UNTUK : TETUAN PARAMOUNT PROPERTY (SEPANG) SDN. BHD.</t>
  </si>
  <si>
    <t>TETUAN SIME DARBY PROPERTY (KL EAST) SDN. BHD.</t>
  </si>
  <si>
    <t>Cadangan Pembaikan Cerun Runtuh Di Jalan Serdang Dan Jalan G3, Bukit Melawati, Selangor Darul Ehsan. (MPAJ / PTD Gombak)
UNTUK : TETUAN SIME DARBY PROPERTY (KL EAST) SDN. BHD.</t>
  </si>
  <si>
    <t>TETUAN RELIANCE PARTNERS SDN. BHD.</t>
  </si>
  <si>
    <t>Permohonan Kebenaran Merancang Pendirian Bangunan Bagi Cadangan Pangsapuri Yang Mengandungi :
i.	Menara A – 24 Tingkat Pangsapuri Harga Bebas Yang Terdiri Daripada 216 Unit (Aras 8 – Aras 31)
ii.	Menara B – 16 Tingkat Pangsapuri Harga Bebas Yang Terdiri Daripada 112 Unit (Aras 16 – Aras 31)
iii.	Menara – 16 Tingkat Pangsapuri Rumah Selangorku (Mampu Milik) Yang Terdiri Daripada 82 Unit (Aras Tanah – Aras LG)
iv.	2 Tingkat Kemudahan Awan Yang Terdiri Daripada 1 Unit Pondok Pengawal, 2 Unit Tadika, 1 Unit Pejabat Pengurusan, 1 Unit Dewan Serbaguna, 1 Unit Tandas Dan Surau, 1 Unit Gymnasium Dan Kawasan Terbuka (Aras Tanah &amp; Aras 6)
v.	6 Tingkat Podium Tempat Letak Kereta Dan Motorsikal (Aras Tanah – Aras 5)
vi.	2 Tingkat Utiliti (Aras Bawah Tanah &amp; Aras Bumbung)
Di Atas PT83584, Taman Damai Utama, Bandar Putra Permai, Selangor Darul Ehsan. (MBSJ/PDT Petaling)
UNTUK : TETUAN RELIANCE PARTNERS SDN. BHD.</t>
  </si>
  <si>
    <t>TETUAN STELLAR TRINITY SDN. BHD.</t>
  </si>
  <si>
    <t>Permohonan Kebenaran Merancang Di Bawah Seksyen 21(A) Akta Perancangan Bandar Dan Desa (172) Bagi Serah Balik Dan Pemberimilikan Semula Di Bawah Seksyen 204B, kanun Tanah Negara (KTN) Bagi Tujuan Perumahan Dan Perniagaan Di Atas Lot 1301, Lot 648, Lot 650, Lot 651, Lot 652, Lot 32661 Dan Tanah Kerajaan Seluas 3264 Meter Persegi, Mukim Serendah, Daerah Hulu Selangor, Selangor Darul Ehsan.
UNTUK: TETUAN STELLAR TRINITY SDN. BHD.</t>
  </si>
  <si>
    <t>TETUAN AREFFAL REALTY RESOURCES (M) SDN. BHD.</t>
  </si>
  <si>
    <t>Permohonan Kebenaran Merancang Mengikut Seksyen 21 Akta Perancangan Bandar Dan Desa 1976 (Akta 172) Bagi Cadangan Pembangunan Pangsapuri Yang Terdiri Daripada :
i.	Blok A (4 Tingkat) 
60 Unit Pangsapuri Harga Bebas (Dari Aras 1-Aras 4)
ii.	Blok B (3 Tingkat)
60 Unit Pangsapuri Harga Bebas (Dari Aras 1-3)
iii.	1 Unit Pondok Pengawal
Termasuk 1 Unit Pencawang Elektrik Padat Dan 1 Unit Loji Rawatan Kumbahan (STP) Secara Serah Balik Dan Berimilik Semula Tanah Di Bawah Seksyen 204B, Kanun Tanah Negara (KTN) Di Atas Lot 3430, Tanah Simpanan Melayu Sungai Pusu, Mukim Setapak, Daerah Gombak, Selangor Darul Ehsan. (MPS/PTD Gombak)
UNTUK : TETUAN AREFFAL REALTY RESOURCES (M) SDN. BHD.</t>
  </si>
  <si>
    <t>TETUAN LANDMARK CONCORDE RESORTS SDN. BHD.</t>
  </si>
  <si>
    <t>Permohonan  Kebenaran Merancang Mengikut Seksyen 21 Akta 172, Bagi Maksud Penyerahanbalik Dan Pemberimilikan Semula Di Bawah Seksyen 204B, Kanun Tanah Negara (KTN) Bagi Cadangan Pembangunan Industri , Di Atas Lot 2100-2108, Lot 1258 Dan Lot 1795 Dan Cadangan Jalan 100’ Di Atas Lot 2120, Mukim Serendah, Ulu Selangor, Selangor Darul Ehsan. (MPHS/PDT Hulu Selangor)
UNTUK: TETUAN LANDMARK CONCORDE RESORTS SDN. BHD.</t>
  </si>
  <si>
    <t>TETUAN PREMIEREX SDN. BHD.</t>
  </si>
  <si>
    <t>Permohonan Serentak Kebenaran Merancang Dan Penyerahan Balik Dan Pemberimilikan Semula Tanah Di Bawah Seksyen 204B Kanun Tanah Negara 1965 Bagi Cadangan Pangsapuri Yang Mengandungi :-
A.	1 Blok Pangsapuri Harga Bebas 28 Tingkat (418 unit)
B.	1 Blok Pangsapuri RSKU (TRIO) 10 Tingkat (108 Unit)
C.	4 Tingkat Podium Tempat Letak Kereta Di Aras Tanah Dan 3 Tingkat Separa Bawah Tanah,
D.	1 UnitPondok Pengawal
E.	1 Unit Rumah Sampah, Pembuangan Sisa Pukal Dan Kitar Semula
Di Atas Lot 3510 Seluas 4.999 Ekar, Jalan BS 5/27, Seksyen 2, Taman Bukit Serdang, Seri Kembangan, Mukim Petaling, Daerah Petaling, Selangor Darul Ehsan. (MBSJ / PTD Petaling)
UNTUK : TETUAN PREMIEREX SDN. BHD.</t>
  </si>
  <si>
    <t>TETUAN TENAGA NASIONAL BERHAD</t>
  </si>
  <si>
    <t>Permohonan Kebenaran Merancang Tempoh Terhad Bagi Cadangan Pembangunan TNB Eco Resort Glamping Yang Mengandungi 10 Unit Khemah, 2 Kawasan Tapak Perkhemahan, 1 Bangunan Pengurusan Dan Kemudahan Lain Di Atas Lot 3645, Kampung Kuala Pangsoon, Daerah Hulu Langat, Selangor Darul Ehsan. (MPKj/PTD Hulu Langat)
UNTUK : TETUAN TENAGA NASIONAL BERHAD</t>
  </si>
  <si>
    <t>TETUAN GENTING MALAYSIA BERHAD (CLQ)</t>
  </si>
  <si>
    <t>Permohonan Kebenaran Merancang Bagi Cadangan Membina Bengkel Dan Stor 1 Tingkat Dan Asrama Pekerja 2 Tingkat Di Atas Sebahagian Lot 7574 Dan Pt 3714, mukim Batang Kali, Daerah Hulu  Selangor, Selangor Darul Ehsan. (MPHS/PTD Hulu Selangor)
UNTUK : TETUAN GENTING MALAYSIA BERHAD</t>
  </si>
  <si>
    <t>TETUAN STACK BUILDER SDN. BHD.</t>
  </si>
  <si>
    <t>Permohonan Kebenaran Merancang Mengikut Seksyen 21 Akta 172 Bagi Cadangan Membina 1 Blok 1085 Unit Pangsapuri Rumah Selangorku Jenis E Yang Mengandungi :
A. 21 Tingkat Pangsapuri Rumah Selangorku Jenis E.
B. 11 Tingkat Tempat Letak Kereta
C. 2 Tingkat Ruang Perniagaan Di Aras Bawah 6 Dan Aras Bawah 5 (22 Unit Ruang Perniagaan)
D. 1 Blok Kemudahan Awam
Di Atas Lot PT 41227, HSD 325828, Mukim Batu Raja, Daerah Petaling, Seksyen U9, 40150 Shah Alam, Selangor Darul Ehsan (Fasa 2). (MBSA/PTD Petaling)
UNTUK : TETUAN STACK BUILDER SDN. BHD.</t>
  </si>
  <si>
    <t>MAJLIS BANDARAYA SHAH ALAM</t>
  </si>
  <si>
    <t>RAYUAN PENGECUALIAN JAWATANKUASA TEKNIKAL PEMBANGUNAN KAWASAN SENSITIF ALAM SEKITAR (JTPKSAS) TERHADAP PERMOHONAN KEBENARAN MERANCANG PENDIRIAN BANGUNAN BAGI CADANGAN MEMBINA SEBUAH PEJABAT PENGURUSAN DAN PLOT PERKUBURAN ISLAM DI ATAS NO.4 (PT. 170203), JALAN TOK JANGGUT K 35/K, ALAM IMPIAN, SEKSYEN 35, 40400 SHAH ALAM SELANGOR DARUL EHSAN UNTUK TETUAN MAJLIS BANDARAYA SHAH ALAM</t>
  </si>
  <si>
    <t>TETUAN TROPICANA SERI DAMAI SDN. BHD.</t>
  </si>
  <si>
    <t>RAYUAN PENGECUALIAN JAWATANKUASA TEKNIKAL PEMBANGUNAN KAWASAN SENSITIF ALAM SEKITAR (JTPKSAS) TERHADAP PERMOHONAN KEBENARAN MERANCANG PENDIRIAN BANGUNAN BAGI CADANGAN PEMBANGUNAN 1 BLOK PANGSAPURI PERKHIDMATAN 40 TINGKAT (1376 UNIT) YANG MENGANDUNGI:
1)		1 BLOK PANGSAPURI PERKHIDMATAN - 32 TINGKAT (1376 UNIT DI ARAS 9 HINGGA 40)
2)		1 TINGKAT RUANG PERNIAGAAN 19 UNIT (ARAS 1)
3)	1 TINGKAT RUANG KEMUDAHAN (ARAS 9) YANG MENGANDUNGI:
i.	1 UNIT GIMNASIUM
ii.	1 UNIT DEWAN SERBAGUNA
iii.	1 UNIT KOLAM RENANG
iv.	1 UNIT SURAU) DAN LAIN-LAIN KEMUDAHAN
4)	7 TINGKAT PODIUM TEMPAT LETAK KENDERAAN DI ARAS 2 HINGGA ARAS 8
5)	3 TINGKAT TEMPAT LETAK KERETA BAWAH TANAH DI ARAS B1 HINGGA B3
DI ATAS LOT 8325, MUKIM BATANG KALI, DAERAH HULU SELANGOR, SELANGOR DARUL EHSAN UNTUK TETUAN TROPICANA SERI DAMAI SDN. BHD.</t>
  </si>
  <si>
    <t>TETUAN TROPICANA ALAM SDN. BHD.</t>
  </si>
  <si>
    <t>Permohonan Kebenaran Merancang Bagi Cadangan Pembangunan Perumahan Secara Serahbalik Dan Berimilik Semula Tanah Di Bawah Seksyen 204B, Kanun Tanah Negara (KTN) Di Atas HSM 10405 PT 50668, Mukim Semenyih, Daerah Hulu Langat, Selangor Darul Ehsan. 
UNTUK : TETUAN KWAN LI WEI &amp; SHEARS KWAN TZE KEN</t>
  </si>
  <si>
    <t>TETUAN RAZIYA BINTI ABDUL ALIM SITHIK</t>
  </si>
  <si>
    <t>Permohonan Kebenaran Merancang Kerja Kejuruteraan Bagi Cadangan Penstabilan Cerun Dan Meroboh Bangunan Sedia Ada Di Atas Lot 3001, Bandar Ulu Kelang, Daerah Gombak, Selangor Darul Ehsan. 
UNTUK : TETUAN RAZIYA BINTI ABDUL ALIM SITHIK</t>
  </si>
  <si>
    <t>TETUAN GAPADU HARTA SDN. BHD.</t>
  </si>
  <si>
    <t>Permohonan Pindaan Kebenaran Merancang Bagi Pelan Susunatur Yang Telah Diluluskan (Dengan Rujukan MPAJ.PB-KP/2-33/2022 Bertarikh 03hb Februari 2023) Yang Mengandungi : 
Fasa 1A:
i.	115 Unit Rumah Teres Superlink (Strata) (22' X 80') (2 ½ Tingkat) 
ii.	1 Unit Rumah Kelab
iii.	1 Unit Pondok Pengawal
iv.	1 Unit PencawangElektrik TNB Dua Ruang
Fasa 1B: 
i.	26 Unit Rumah Berkembar (Strata)(40’X90’)(3 Tingkat)
Fasa 1B: 
i.	138 Unit Rumah Bandar Selangorku Harapan (Strata) (22' X 60') (2 Tingkat)
ii.	1 Unit Stesen Pam
iii.	1 Unit Stesen  Suis Utama TNB 11Kv Bersendirian Dua Ruang
Fasa 2
i.	Unit Pangsapuri Harga Bebas
ii.	1 Unit Stesen  Suis Utama TNB 11Kv Bersambung Satu Ruang
Fasa 3  : Kedai Pejabat 11 Unit (2 Tingkat)
Fasa 4  :  Kediaman (Pembangunan Akan Datang)
Melalui Penyerahan Balik Dan Pemberimilikan Semula Di Bawah Seksyen 197 Kanun Tanah Negara (KTN)1965 Di Atas Lot 126750, Lot 126751 Dan Lot 126752, Taman Ukay Spring, Seksyen 2, Bandar Hulu Kelang, Daerah Gombak, Selangor Darul Ehsan. (MPAJ / PDT Gombak)
UNTUK: TETUAN GAPADU HARTA SDN. BHD.</t>
  </si>
  <si>
    <t>TETUAN PERSATUAN PENDIDIKAN ISLAM SELANGOR (PERPIS)</t>
  </si>
  <si>
    <t>Permohonan Kebenaran Merancang Bagi Cadangan Membina Dan Menyiapkan Kompleks Sekolah Rendah Islam Hira’ Yang Mengandungi :
i.	1 Blok Akademik 4 Tingkat
ii.	1 Unit Surau Dan Kantin 2 Tingkat
iii.	1 Blok Kuarters Guru 3 Tingkat
iv.	1 Unit Pencawang Elektrik
v.	1 Unit Kebuk Sampah
vi.	1 Unit Pondok Pengawal
Di Atas Lot 4413 &amp; 4415 Jalan Paip Kiri, Mukim Kapar, Daerah Klang, Selangor Darul Ehsan.(MBDK / PDT Klang)
UNTUK : TETUAN PERSATUAN PENDIDIKAN ISLAM SELANGOR (PERPIS)</t>
  </si>
  <si>
    <t>TETUAN MRANTI CORPORATION SDN BHD</t>
  </si>
  <si>
    <t>Permohonan Kebenaran Merancang Mengikut Seksyen 21 Akta Perancangan Bandar Dan Desa 1976 (Akta 172) Bagi Cadangan Pelan Induk Susunatur Taman Teknologi Malaysia Di Atas Tanah Pesuruhjaya Tanah Persekutuan (PTP) PT 77269 Dan PT 371, Mukim Petaling, Daerah Petaling, Selangor Darul Ehsan. ( MBSJ / PDT Petaling )
UNTUK : TETUAN MRANTI CORPORATION SDN. BHD.</t>
  </si>
  <si>
    <t>TETUAN PENGURUSAN AIR SELANGOR SDN. BHD.</t>
  </si>
  <si>
    <t>PERMOHONAN KEBENARAN MERANCANG PELAN PENDIRIAN BANGUNAN MENGIKUT SEKSYEN 21 AKTA 172, BAGI CADANGAN TAMBAHAN DAN MENAIKTARAF BANGUNAN SEDIA ADA DARIPADA LOJI RAWATAN AIR SEDIA ADA KEPADA:
a)	1 UNIT BANGUNAN MAKMAL PUSAT ANALISA PENGURUSAN AIR SELANGOR BESERTA PEJABAT 3 TINGKAT 
b)	1 UNIT RUANG SERBAGUNA
c)	1 UNIT AUDITORIUM
d)	1 UNIT PONDOK PENGAWAL
e)	1 UNIT PENCAWANG ELEKTRIK
DI ATAS PT 2590, JALAN KELAB GOLF 13/6, SEKSYEN 13, 40100 SHAH ALAM, SELANGOR DARUL EHSAN UNTUK TETUAN PENGURUSAN AIR SELANGOR SDN. BHD.</t>
  </si>
  <si>
    <t>TETUAN USAHA SEMARAK DAN INTELLVIEW SDN. BHD.</t>
  </si>
  <si>
    <t>PERMOHONAN KEBENARAN MERANCANG BAGI CADANGAN PEMBANGUNAN PERUMAHAN DAN PERNIAGAAN DI BAWAH SKIM KOMUNITI BERPAGAR DAN BERKAWALAN DI BAWAH SEKSYEN 6(1A) АКТА 318 (AKTA HAKMILIK STRATA 1985), DI ATAS PT 41295 (DAHULUNYA TANAH BERIMILIK KERAJAAN
NEGERI SELUAS 58.345 EKAR), SEKSYEN U10, 40460 SHAH ALAM, MUKIM BUKIT RAJA, DAERAH PETALING, SELANGOR DARUL EHSAN
SECARA USAHASAMA UNTUK TETUAN USAHA SEMARAK SDN. BHD.
DAN INTELLVIEW SDN. BHD.</t>
  </si>
  <si>
    <t>TETUAN EN CHOI WAI KONG @ CHUI WAI KONG.</t>
  </si>
  <si>
    <t>CADANGAN MEMBINA RUMAH SESEBUAH 3 TINGKAT DI ATAS LOT PT 367 (LOT 173), JALAN 5/66, BUKIT GASING, 46000, PETALING JAYA, SELANGOR DARUL EHSAN
UNTUK TETUAN EN. CHOI WAI KONG @ CHUI WAI KONG</t>
  </si>
  <si>
    <t>TETUAN PERODUA SALES SDN. BHD.</t>
  </si>
  <si>
    <t>Permohonan Pindaan  Kebenaran  Merancang  Pendirian Bangunan Bagi Cadangan :
Fasa 1
I.	Bangunan  Pusat Alat Ganti (Parts Centre) 1 Tingkat Beserta Pejabat Di Lantai Mezanine.
II.	1 unit Kantin Dan Cafe 1 Tingkat
III.	1 Unit Pencawang Elektrik (SSU 11KV)
IV.	2 Unit Pondok Pengawal
V.	1 Unit Hentian Bas Dan
VI.	Lain-Lain Kemudahan Berkaitan
Fasa 2
I.	1 Unit Bangunan Pusat Latihan Industri (Perodua Academy) 2 Tingkat
II.	Lain-Lain Kemudahan Berkaitan
Di Atas Lot 42486, Seluas 22.22 Ekar (8.994 Hektar), Bandar Serendah, Daerah Hulu Selangor, Selangor Darul Ehsan. (MPHS / PDT Hulu Selangor)
UNTUK : TETUAN PERODUA SALES SDN. BHD.</t>
  </si>
  <si>
    <t>Permohonan Pindaan Kebenaran Merancang Bagi Pelan Susunatur Yang Telah Diluluskan (Dengan Rujukan MPAJ.PB-KP/2-33/2022 Bertarikh 03hb Februari 2023) Yang Mengandungi: 
Fasa 1A:
i.	115 Unit Rumah Teres Superlink (Strata) (22' X 80') (2 ½ Tingkat) 
ii.	1 Unit Rumah Kelab
iii.	1 Unit Pondok Pengawal
iv.	1 Unit Pencawang Elektrik TNB Dua Ruang
Fasa 1B: 
i.	26 Unit Rumah Berkembar (Strata)(40’x90’)(3 Tingkat)
Fasa 1C: 
i.	138 Unit Rumah Bandar Selangorku Harapan (Strata) (22' X 60') (2 Tingkat)
ii.	1 Unit Stesen Pam
iii.	1 Unit Stesen  Suis Utama TNB 11KV Bersendirian Dua Ruang
Fasa 2
i.	730 Unit Pangsapuri Harga Bebas
ii.	1 Unit Stesen  Suis Utama TNB 11KV Bersambung Satu Ruang
Fasa 3  :  Kedai Pejabat 11 Unit (2 Tingkat)
Fasa 4  :  Kediaman (Pembangunan Akan Datang)
Melalui Penyerahan Balik Dan Pemberimilikan Semula Di Bawah Seksyen 197 Dan Seksyen 76 Kanun Tanah Negara (KTN) 1965 Di Atas Lot 126750, Lot 126751 Dan Lot 126752, Taman Ukay Spring, Seksyen 2, Bandar Hulu Kelang, Daerah Gombak, Selangor Darul Ehsan. ( MPAJ / PDT Gombak )
UNTUK : TETUAN GAPADU HARTA SDN. BHD.</t>
  </si>
  <si>
    <t>TSI DOMAIN SDN BHD</t>
  </si>
  <si>
    <t>Permohonan Kebenaran Merancang Bagi Cadangan Pembangunan 450 Unit Pangsapuri Yang Mengandungi :
1.	Blok A : 360 Unit Pangsapuri Kos Bebas (Tingkat 1 – Tingkat 30) Podium Tempat letak Kereta (Tingkat LG – Tingkat 3) Dan Kemudahan Penduduk (Tingkat 2 &amp; Tingkat 4)
2.	Blok B : 90 Unit Pangsapuri RSKU Jenis Trio (Tingkat 2 – Tingkat 10) Dan Kemudahan Penduduk (Tingkat UG)
3.	1 Unit Surau Dan
4.	1 Unit Pondok Pengawal
Di Atas lot 8602, Pekan Kajang, Daerah Hulu Langat, Selangor Darul Ehsan. (MPKJ / PDT HULU LANGAT)
UNTUK : TETUAN TSI DOMAIN SDN. BHD.</t>
  </si>
  <si>
    <t>TETUAN RAWANG PROJECT SDN. BHD.</t>
  </si>
  <si>
    <t>Permohonan Kebenaran Merancang Ke Atas Pelan Susunatur YangTelah Diluluskan Bil(31) DLM.MPS3/3-120/809 JLD.2 Bertarikh 15.06.2012 Secara Berfasa (Fasa 2) Bagi Cadangan Pembangunan Kediaman Bercampur Melalui Serahbalik Dan Pemberimilikan Semula Di Bawah Seksyen 204(B) Kanun Tanah Negara Di Atas PT 3280 (Dahulu Lot 997), Bandar Kundang, Daerah Gombak, Selangor Darul Ehsan. (MPS/PDT Gombak)</t>
  </si>
  <si>
    <r>
      <t xml:space="preserve">TETUAN </t>
    </r>
    <r>
      <rPr>
        <sz val="12"/>
        <rFont val="Century Gothic"/>
        <family val="2"/>
      </rPr>
      <t xml:space="preserve">SRI SELTRA </t>
    </r>
    <r>
      <rPr>
        <sz val="12"/>
        <color rgb="FF000000"/>
        <rFont val="Century Gothic"/>
        <family val="2"/>
      </rPr>
      <t xml:space="preserve">SDN. BHD.  </t>
    </r>
  </si>
  <si>
    <t xml:space="preserve">Cadangan Kerja-Kerja Pembaikan Cerun Bagi Lot Tanah 176856 Cheras Cove, Di Bukit Hatamas. (MPAJ / PDT Hulu Langat)  </t>
  </si>
  <si>
    <t xml:space="preserve">TETUAN SCIENTEX PARK (M) SDN. BHD.  </t>
  </si>
  <si>
    <t>Permohonan Pengecualian Perakuan Semula JTPKSAS 
Permohonan Kebenaran Merancang Bagi Tujuan Penyerahan Balik Dan Pemberimilikan Semula Di Bawah Seksyen 204B (KTN) Untuk Pembangunan Rumah Selangorku, Pembangunan Perumahan Skim Gated Komuniti Di Bawah Seksyen 6(1) Akta 318 (Akta Hakmilik Strata 1985) Fasa 2 Di Atas Lot PT 49625 (Sebahagian Lot Lama 12165), Mukim Rawang, Daerah Gombak, Selangor Darul Ehsan. (MPS / PDT Gombak)</t>
  </si>
  <si>
    <t>TETUAN PEMBINAAN JAYA MEGAH SDN. BHD.</t>
  </si>
  <si>
    <t>Permohonan Kebenaran Merancang Pindaan Pelan Susunatur (Pelan Susunatur Bil. (76) MBSA.PRG/2016-03(U10V) Jilid 2 Bertarikh 28/06/2016) Bagi Cadangan Pembangunan Bercampur Seluas 140 Ekar Secara Pengambilan Balik Tanah Dan Pemberimilikan Tanah Kerajaan Di Bawah Seksyen 197 Dan 76, KTN 1965 Di Atas Lot 37586, Lot 37587, Lot 38049 Hingga Lot 38110 Dan Lot 38123 Hingga Lot 38373, Dan Rizab Jalan, Tanah Lapang, Kemudahan Dan Infrastruktur, Mukim Bukit Raja, Daerah Petaling, Selangor Darul Ehsan. (MBSA/PDT Petaling)
UNTUK: TETUAN PEMBINAAN JAYA MEGAH SDN. BHD.</t>
  </si>
  <si>
    <t xml:space="preserve">TETUAN BONAVA SDN. BHD. </t>
  </si>
  <si>
    <t xml:space="preserve">Permohonan Kebenaran Merancang Bagi Cadangan Pelan Susunatur Di Bawah Seksyen 204D, kanun Tanah Negara, Di Atas PT 40733, Seksyen U10, Mukim Bukit Raja, Daerah Petaling, Selangor Darul Ehsan. (MBSA/PDT Petaling)
UNTUK: TETUAN BONAVA SDN. BHD. </t>
  </si>
  <si>
    <t>TETUAN SAUJANA TRIANGLE SDN. BHD.</t>
  </si>
  <si>
    <t>Permohonan Pindaan Kebenaran Merancang Mengikut Seksyen 21 Akta 172 Ke Atas Pelan Lulus (Bil.:P04174/S/002 Bertarikh 6 April 2006) Bagi  Cadangan Pelarasan Semula Rizab Kompleks Sekolah, Simpanan Jalan, Balai Polis Dan Tangki Air Melalui Penyerahan Balik Di Bawah Seksyen 197 Kanun Tanah Negara Dan Pelupusan Secara Pemberimilikan Di Bawah Seksyen 76 Kanun Tanah Negara Di Atas PT 50896 (Lot 89066), PT 50897 (Lot 89068), PT 50898 (Lot 89069). PT 50899 (Lot 89070), Lot 86908, Lot 86926, Lot 86927 &amp; Lot 89071, PJU 8, Damansara Perdana, Mukim Sungai Buloh, Daerah Petaling, Selangor Darul Ehsan. (MBPJ/PDT Petaling) 
UNTUK : TETUAN SAUJANA TRIANGLE SDN. BHD.</t>
  </si>
  <si>
    <t>TETUAN SERI NOVA SDN. BHD.</t>
  </si>
  <si>
    <t>PERMOHONAN KEBENARAN MERANCANG BAGI CAANGAN 652 UNIT PANGSAPURI KOS BEBAS YANG MENGANDUNGI :
1)	BLOK A – 396 UNIT PANGSAPURI KOS BEBAS – 22 TINGKAT
2)	BLOK B – 256 UNIT PANGSAPURI KOS BEBAS – TINGKAT
3)	1 BLOK PODIUM 6 TINGKAT YANG MENGANDUNGI RUANG TEMPAT LETAK KERETA DAN UTILITI
4)	1 BLOK BANGUNAN KEMUDAHAN – 1 TINGKAT
5)	1 UNIT PENCAWANG SSU
6)	1 UNIT PONDOK PENGAWAL DAN,
7)	2 UNIT KEBUK SAMPAH
MELALUI SERAH BALIK DAN PEMBERIMILIKAN SEMULA TANAH DI BAWAH SEKSYEN 197 &amp; 76, KANUN TANAH NEGARA (KTN 1965), TANAH SIMPANAN MELAYU, DI ATAS LOT 1103 DAN LOT 1104, BATU 13½ MUKIM HULU LANGAT, DAERAH HULU LANGAT, SELANGOR DARUL EHSAN. 
UNTUK : TETUAN SERI NOVA SDN. BHD.</t>
  </si>
  <si>
    <t>TETUAN FORWARD ESTEEM SDN. BHD.</t>
  </si>
  <si>
    <t>PERMOHONAN KEBENARAN MERANCANG BAGI MEMBINA PANGSAPURI SERVIS YANG MENGANDUNGI :
1)	BLOK 1 – 266 UNIT PANGSAPURI SERVIS 27 TINGKAT
2)	BLOK 2 – 256 UNIT PANGSAPURI SERVIS 25 TINGKAT
3)	TERMASUK 6 TINGKAT PODIUM TEMPAT LETAK KERETA DAN KEMUDAHANNYA + 1 TINGKAT SEPARA BASEMENT TEMPAT LETAK KERETA
4)	1 UNIT PONDOK PENGAWAL
5)	3 UNIT KEBUK SAMPAH
6)	1 UNIT PENCAWANGELEKTRIK
MELALUI SERAH BALIK DAN PEMBERIMILIKAN SEMULA TANAH DI BAWAH SEKSYEN 204B, KANUN TANAH NEGARA (KTN 1965), DARIPADA TIADA KEPADA BANGUNAN (PERNIAGAAN), DI ATAS LOT 127513, (DAHULUNYA LOT 847). SEKSYEN 2, TAMAN SRI UKAY, BANDAR ULU KELANG, DAERAH GOMBAK, SELANGOR DARUL EHSAN. 
UNTUK : TETUAN FORWARD ESTEEM SDN. BHD.</t>
  </si>
  <si>
    <t>TETUAN FIRST GARDEN SDN. BHD.</t>
  </si>
  <si>
    <t>PERMOHONAN KEBENARAN MERANCANG DAN TUKAR SYARAT TANAH DAN PECAH SEMPADAN DI BAWAH SEKSYEN 124A, KANUN TANAH NEGA-RA 1965 BAGI CADANGAN PEMBANGUNAN PERUMAHAN YANG MENGAN-DUNGI :
A.	20 UNIT RUMAH TERES 3 TINGKAT BERSAIZ 20’ X 87.8’
B.	4 UNIT RUMAH TERES 3 TINGKAT BERSAIZ 32’ X 87.8’
C.	2 UNIT RUMAH TERES 3 TINGKAT BERSAIZ 30’ X 87.8’
D.	1 UNIT PENCAWANG ELEKTRIK
DI ATAS LOT 2181 (GM419) DAN LOT 2182 (GM515), SELUAS 3.063 EKAR, JALAN SEJAHTERA 5, SEKSYEN 5, TAMAN SERDANG HEIGHTS, SERI KEM-BANGAN, MUKIM PETALING, DAERAH PETALING, SELANGOR DARUL EHSAN 
UNTUK : TETUAN FIRST GARDEN SDN. BHD.
-Rayuan Pengecualian Jawatankuasa Teknikal Pembangunan Kawasan Sensitif Alam Sekitar Negeri Selangor (JTPKSAS).</t>
  </si>
  <si>
    <t>TETUAN SAMEGA HOLDING SDN. BHD.</t>
  </si>
  <si>
    <t>PERMOHONAN KEBENARAN MERANCANG TEMPOH TERHAD DI BAWAH SEKSYEN 21 AKTA PERANCANGAN BANDAR DAN DESA 1976 (AKTA 172) BAGI CADANGAN PEMBANGUNAN TAPAK PERKHEMAHAN SERTA KEMU-DAHAN YANG MENGANDUNGI 1 UNIT DEWAN TERBUKA DAN PEJABAT PENGURUSAN, 1 UNIT KAFE KABIN, 1 UNIT DAPUR, 3 BLOK TANDAS, 1 UNIT SURAU KABIN, 1 UNIT TANGKI AIR DAN TAPAK PERKHEMAHAN TER-BUKA DI ATAS LOT PT 9645, MUKIM BATU, DAERAH GOMBAK, SELANGOR DARUL EHSAN (BLOK PERANCANGAN 5.0)
UNTUK SAMEGA HOLDING SDN. BHD. 
-Rayuan Pengecualian Jawatankuasa Teknikal Pembangunan Kawasan Sensitif Alam Sekitar Negeri Selangor (JTPKSAS).</t>
  </si>
  <si>
    <t>TETUAN PERBADANAN KEMAJUAN NEGERI SELANGOR</t>
  </si>
  <si>
    <t xml:space="preserve">PERMOHONAN KEBENARAN MERANCANG BAGI KERJA KEJURUTERAAN (MERATA DAN MEMBENTUK TANAH) DI ATAS PT 40152 SELUAS 6.25 EKAR, PERSIARAN MOKHTAR DAHARI, SEKSYEN U10, SHAH ALAM, SELANGOR DARUL EHSAN.
UNTUK PERBADANAN KEMAJUAN NEGERI SELANGOR. </t>
  </si>
  <si>
    <t>PERMOHONAN KEBENARAN MERANCANG KERJA KEJURUTERAAN BAGI CADANGAN TAMBAKAN TANAH DI ATAS HAKMILIK 40777 (PT895), SEKSYEN 3B, ANTARA GAPI, MUKIM SERENDAH, DAERAH HULU SELANGOR, SELANGOR DARUL EHSAN.
UNTUK : TETUAN PERBADANAN KEMAJUAN NEGERI SELANGOR.</t>
  </si>
  <si>
    <t xml:space="preserve">TETUAN LEE SWEE ANN &amp; BROTHERS SDN. BHD. </t>
  </si>
  <si>
    <t xml:space="preserve">PERMOHONAN KEBENARAN MERANCANG BAGI PERUMAHAN YANG MENGANDUNGI :-
I.	85 UNIT RUMAH TERES (20’ X 70’)
II.	37 UNIT RUMAH BANDAR 2 TINGKAT (RSKU)
MELALUI SERAH BALIK DAN BERIMILIK SEMULA TANAH DI BAWAH SEKSYEN 204B, KANUN TANAH NEGARA (AKTA 828), DI ATAS LOT 2004, MUKIM SEMENYIH, DAERAH HULU LANGAT, SELANGOR DARUL EHSAN.
UNTUK TETUAN LEE SWEE ANN &amp; BROTHERS SDN. BHD. </t>
  </si>
  <si>
    <t xml:space="preserve">TETUAN NON-STOP MANAGEMENT SDN. BHD. </t>
  </si>
  <si>
    <t>PERMOHONAN KEBENARAN MERANCANG TEMPOH TERHAD BAGI CADANGAN MEMBINA PUSAT KECEMERLANGAN HUTAN NEGERI SELANGOR YANG MENGANDUNGI:
FASA 1
I.	TEMPAT LETAK KERETA
II.	RESTORAN 2 TINGKAT
III.	KEDAI 2 TINGKAT
IV.	KEMUDAHAN UTILITI
V.	TAPAK PERKHEMAHAN/PERSEMBAHAN KEBUDAYAAN (TERBUKA)
FASA 2
I.	DEWAN ACARA
II.	RESTORAN
III.	ASRAMA PEKERJA
IV.	TITIK TINJAU
DI ATAS SEBAHAGIAN HUTAN SIMPAN HULU LANGAT SELUAS 7.04 HEKTAR, SELANGOR DARUL EHSAN.
UNTUK TETUAN NON-STOP MANAGEMENT SDN. BHD. 
-	Rayuan Pengecualian Jawatankuasa Teknikal Pembangunan Kawasan Sensitif Alam Sekitar Negeri Selangor (JTPKSAS).</t>
  </si>
  <si>
    <t xml:space="preserve">TETUAN ALAM CASANA SDN. BHD. </t>
  </si>
  <si>
    <t>PERMOHONAN KEBENARAN MERANCANG BAGI CADANGAN PEMBANGUNAN INDUSTRI PENGILANGAN AUTOMOTIF YANG MENGANDUNGI:
1.	1 UNIT BENGKEL PLASTIK 1.98 EKAR
2.	1 UNIT BENGKEL MENGECAT 4.35 EKAR
3.	1 UNIT BENGKEL MENGIMPAL 11.62 EKAR
4.	1 UNIT BENGKEL PENGELUARAN 6.95 EKAR
5.	1 UNIT GUDANG LOGISTIK 1 4.79 EKAR
6.	1 UNIT GUDANG LOGISTIK 2 3.32 EKAR
7.	1 UNIT GUDANG LOGISTIK 3 2.70 EKAR
8.	1 UNIT GUDANG LOGISTIK 4 3.52 EKAR
9.	1 UNIT GUDANG LOGISTIK 5 5.25 EKAR
10.	1 PLOT PUSAT PENGELUARAN DAN PENGHANTARAN KERETA 0.93 EKAR
11.	1 UNIT R&amp;D SIMPANAN 7.62 EKAR
12.	1 PLOT KUARTERS PEKERJA 7.14 EKAR
13.	1 UNIT PUSAT KATERING 0.44 EKAR
14.	9 PLOT PONDOK PENGAWAL
15.	1 PLOT SURAU 0.25 EKAR
16.	2 PLOT KOLAM TADAHAN 4.00 EKAR
17.	1 PLOT MENARA TELEKOMUNIKASI 0.07 EKAR
18.	1 PLOT 11KV TNB SUIS STESEN UTAMA 0.09 EKAR
19.	1 PLOT 33KV TNB SUIS STESEN UTAMA 0.23 EKAR
20.	2 MENARA PAPAN IKLAN SETIANG 0.08 EKAR
21.	1 PLOT LOJI RAWATAN AIR 0.61 EKAR
22.	1 PLOT PUSAT KUASA 0.79 EKAR
23.	1 PLOT STOR KIMIA 0.10 EKAR
24.	4 PLOT PUSAT PENGURUSAN BAHAN KIMIA BERBAHAYA 0.47 EKAR
25.	1 PLOT TANGKI AIR 0.08 EKAR
26.	1 PLOT TANGKI SEDUTAN 0.02 EKAR
27.	1 PLOT TANGKI SEMBURAN BOMBA 0.02 EKAR
28.	1 PLOT TANGKI BOMBA 0.02 EKAR
29.	1 PLOT BILIK PAM BOMBA 0.05 EKAR
30.	1 PLOT LOJI RAWATAN KUMBAHAN 0.59 EKAR
31.	1 PLOT STESEN PENGAGIH GAS LPG 0.10 EKAR
32.	1 PLOT LITAR UJI KERETA 15.61 EKAR
33.	1 PLOT PAM MINYAK 0.5 EKAR
SECARA SERAHBALIK DAN BERIMILIKAN SEMULA TANAH DI BAWAH SEKSYEN 204B, KANUN TANAH NEGARA DI ATAS SEBAHAGIAN LOT 863/864, SEBAHAGIAN LOT 610 DAN SEBAHAGIAN LOT 602 (LOT 16039 PA 26020, SEBAHAGIAN LOT 16038 PA 260200, DAN LOT 16040 PA 260202), SELUAS 242.13 EKAR MUKIM KERLING, DAERAH HULU SELANGOR, SELANGOR DARUL EHSAN.
UNTUK TETUAN ALAM CASANA SDN. BHD. 
-	Rayuan Pengecualian Jawatankuasa Teknikal Pembangunan Kawasan Sensitif Alam Sekitar Negeri Selangor (JTPKSAS).</t>
  </si>
  <si>
    <t xml:space="preserve">TETUAN MUTIARA BALAU SDN. BHD. </t>
  </si>
  <si>
    <t>PERMOHONAN KEBENARAN MERANCANG DIBAWAH SEKSYEN 204B KANUN TANAH NEGARA (KTN) UNTUK CADANGAN PEMBANGUNAN BERCAMPUR DI ATAS LOT PT 30708, LOT PT 51600, PT 46961, PT 46963, PT 46964, DAN PT 46965, MUKIM SEMENYIH DAERAH HULU LANGAT, SELAN-GOR DARUL EHSAN.
UNTUK TETUAN MUTIARA BALAU SDN. BHD. 
-	Rayuan Pengecualian Jawatankuasa Teknikal Pembangunan Kawasan Sensitif Alam Sekitar Negeri Selangor (JTPKSAS).</t>
  </si>
  <si>
    <t xml:space="preserve">TETUAN TRIDENT TREASURE SDN. BHD. </t>
  </si>
  <si>
    <t xml:space="preserve">PERMOHONAN SERENTAK PINDAAN KEBENARAN MERANCANG (PELAN SUSUNATUR YANG TELAH DILULUSKAN BIL.MPSJ.JPB.BP6.600-1/2/18/PS BERTARIKH 15 FEBRUARI 2022) SECARA SERAHBALIK DAN PEMBERIMILIKAN SEMULA TANAH DI BAWAH SEKSYEN 204B, KANUN TANAH NEGARA (KTN) 1965, BAGI PEMBANGUNAN PERUMAHAN DI ATAS PT 62420 DAN PT 62421, TAMAN PUJ 9/11, BANDAR PUTRA PERMAI, MUKIM PETALING, DAERAH PETALING, SELANGOR DARUL EHSAN 
PINDAAN DARIPADA: 
A.	RUMAH BERKEMBAR 2-3 TINGKAT (20'X70') (160 UNIT)
B.	1 PLOT PANGSAPURI HARGA BEBAS (178 UNIT)
C.	2 UNIT PENCAWANG ELEKTRIK
D.	KAWASAN LAPANG AWAM
KEPADA: 
A.	FASA 1 YANG MENGANDUNGI:
I. 	RUMAH TERES 3 TINGKAT (20' X 70') (139 UNIT)
II.	2 UNIT PENCAWANG ELEKTRIK
III.	1 UNIT TADIKA
B.	FASA 2 YANG MENGANDUNGI:
I.	RUMAH TERES 3 TINGKAT (20' X 70') (112 UNIT)
C.	FASA 3 YANG MENGANDUNGI:
I.	RUMAH TERES 3 TINGKAT (20' X 70') (129 UNIT)
ii.	1 UNIT PENCAWANG ELEKTRIK
UNTUK TRIDENT TREASURE SDN. BHD. (915686-P) </t>
  </si>
  <si>
    <t xml:space="preserve">TETUAN KKB RESORT SDN. BHD. </t>
  </si>
  <si>
    <t xml:space="preserve">PERMOHONAN BAGI CADANGAN PEMBANGUNAN RUMAH SESEBUAH DAN BERKEMBAR BERKONSEPKAN VILLA PERANGINAN BESERTA RUMAH KELAB DI ATAS LOT PT 2554, PT 2958-PT2963, PT 2965-PT2970, &amp; PT 2974, MUKIM AMPANG PECHAH, DAERAH HULU SELANGOR, SELANGOR DARUL EHSAN
UNTUK KKB RESORT SDN. BHD. </t>
  </si>
  <si>
    <t>KAMEL BIN IDRIS</t>
  </si>
  <si>
    <t xml:space="preserve">PERMOHONAN KEBENARAN MERANCANG BAGI PEMBANGUNAN PERUMAHAN 20 UNIT LOT RUMAH SESEBUAH (SELUAS 4.563 EKAR) SECARA SERAHBALIK DAN PEMBERIMILIKAN SEMULA TANAH 204D, DI ATAS LOT 4182, TANAH SIMPANAN MELAYU, SUNGAI BUAH, MUKIM DENGKIL, DAERAH SEPANG, SELANGOR DARUL EHSAN.
UNTUK TETUAN MOHD KAMEL BIN IDRIS </t>
  </si>
  <si>
    <t>TETUAN ESAN JUTA SDN. BHD.</t>
  </si>
  <si>
    <t>Permohonan Kebenaran Merancang Bagi Pembangunan Transit Oriented Development (TOD) Untuk Cadangan 3 Blok Pangsapuri Perkhidmatan 2,796 Unit Yang Terdiri Daripada :
i.	Blok A : 1092 Unit pangsapuri Perkhidmatan (Jenis B : Kos Bebas) – 59 Tingkat.
ii.	Blok B : 864 Unit Pangsapuri Perkhidmatan (Jenis C : Kos Bebas) – 59 Tingkat.
iii.	Blok C : 840 Unit pangsapuri Perkhidmatan (Jenis A : Mampu Milik – 53 Tingkat
iv.	1 Unit Kompleks Sukan
v.	Termasuk 9 Unit Podium Kemudahan Dan Tempat Letak Kereta Beserta 1 Tingkat Separa Bawah Tanah Tempat Letak Kereta, 4 Tingkat Ruang Perniagaan (58 Unit) – 1 Tingkat ~ Tingkat 4 Dan 1 Tingkat Sekolah Swasta Antarabangsa – Tingkat 5
Di Bawah Seksyen 204D Kanun Tanah Negara (KTN 1965), Serta Cadangan Skim Komuniti Berpagar &amp; Berpengawal Di Bawah Seksyen 6 (1A) Akta 318 (Akta Milik Strata 1985), Di Atas Lot 33925 (Lot Lama 957), Mukim Cheras, Daerah Hulu Langat, Selangor Darul Ehsan. ( MPKJ / PDT Hulu Langat )
UNTUK : TETUAN ESAN JUTA SDN. BHD.</t>
  </si>
  <si>
    <t>TETUAN MZK LAND SDN. BHD.</t>
  </si>
  <si>
    <t>Permohonan Kebenaran Merancang Pendirian Bangunan Bagi Cadangan :
A)	Lot 1826 (Fasa 1)
i.	250 Unit (21 Tingkat) Pangsapuri Harga Bebas;
ii.	4 Tingkat Tempat Letak Kenderaan (Sub-Basement); Dan Kemudahan-Kemudahan Sokongan.
B)	PT 9867 (Fasa 2) :
i.	157 Unit (23 Tingkat) Pangsapuri Harga Bebas;
ii.	Termasuk 7 Tingkat (Podium 1-7); Dan Kemudahan-kemudahan Sokongan.
Di Atas Lot 1826 Dan PT 9867, Mukim Hulu Langat, Daerah Hulu Langat, Selangor Darul Ehsan. (MPKJ / PDT Hulu Langat)
UNTUK : TETUAN MZK LAND SDN. BHD.</t>
  </si>
  <si>
    <t>TETUAN B.U DEVELOPMENT SDN. BHD.</t>
  </si>
  <si>
    <t xml:space="preserve">PERMOHONAN KEBENARAN MERANCANG BAGI CADANGAN MEMBINA 1 UNIT RUMAH SESEBUAH 3 TINGKAT DI ATAS LOT 62548, NO. 28, JALAN KENANGA SD9/1G, BANDAR SRI DAMANSARA, MUKIM BANDAR SRI DAMANSARA, 52200 DAERAH PETALING, SELANGOR DARUL EHSAN.
UNTUK ENCIK LAU KOK WENG, PUAN KHOO AH CHOO DAN ENCIK LAU VILIT </t>
  </si>
  <si>
    <t>TETUAN NCT LAND SDN. BHD. DAN TETUAN NCT CONSOLIDATED SDN. BHD.</t>
  </si>
  <si>
    <t>Permohonan Kebenaran Merancang Mengikut Seksyen 21(1), Akta Perancangan Bandar Dan Desa 1976 (Akta 172) Bagi Penyerahan Balik Dan Berimilik Semula Di Bawah Seksyen 204B Kanun Tanah Negara 1965 (Akta 56) Bagi Cadangan Perindustrian ‘Managed Industrial Park’  (MIP)  Di Atas  Lot 12193, PT34036,  PT34037,  PT34038, PT 34039 PT34040 Dan PT34043 Berkeluasan 732.53 Ekar, Mukim Tanjong Duabelas, Daerah Kuala Langat, Selangor Darul Ehsan TETUAN NCT LAND SDN. BHD. DAN TETUAN NCT CONSOLIDATED SDN. BHD</t>
  </si>
  <si>
    <t>TANJUNG BOULEVARD SDN. BHD.</t>
  </si>
  <si>
    <t xml:space="preserve">Permohonan Kebenaran Merancang Pelan Susunatur Bagi Cadangan Menyerah Dan Pemberimilikan Semula Tanah Di Bawah Seksyen 204B (K.T.N) Untuk Cadangan 16 Unit Kedai Pejabat 2 Tingkat Di Atas PT 6074 (HSM 2383), Mukim Setapak, Daerah Gombak, Selangor Darul Ehsan. ( MPS / PDT Gombak)
UNTUK : TETUAN TANJUNG BOULEVARD SDN. BHD.
</t>
  </si>
  <si>
    <t>TETUAN RAWANG LAKES SDN. BHD.</t>
  </si>
  <si>
    <t>Permohonan Pindaan Kebenaran Merancang Pelan Susunatur Yang Telah Diluluskan (Rujukan Surat : Bil(10)dlm.MPS.3/3-120/40 jld.7 Pind.4 Jld. 1 Bertarikh 11 Februari 2021) bagi Cadangan Perniagaan Mengikut Seksyen 21,Akta 172 bagi Tujuan Serah Balik Dan Pemberimilikan Semula Di Bawah Seksyen 204B Kanun Tanah Negara (KTN 1965) Yang Mengandungi :
A)	Fasa 1
1.	4 Unit Kedai Pejabat 3 Tingkat (Jenis C)
2.	2 Unit Kedai Pejabat 3 tingkat (Jenis D)
3.	1 Unit Pencawang Elektrik
B)	Fasa 2
1.	20 Unit Kedai Pejabat 3 Tingkat (Jenis A)
2.	2 Unit Kedai Pejabat 3 Tingkat (Jenis B)
3.	2 Unit Kedai Pejabat 3 Tingkat (Jenis E)
4.	1 Unit Kedai Pejabat 3 Tingkat (Jenis F)
5.	1 Unit Kedai Pejabat 3 Tingkat (Jenis G)
6.	1 Unit Kedai Pejabat 3 Tingkat (Jenis H)
7.	1 Unit Kedai Pejabat 3 Tingkat (Jenis I)
8.	1 Unit Pencawang Elektrik
C)	Fasa 3
1.	56 Unit Kedai Pejabat 3 Tingkat (Jenis A)
2.	2 Unit Kedai Pejabat 3 Tingkat (Jenis B)
3.	1 Unit Plot Tempat Letak Kereta
4.	1 Unit Pencawang Elektrik
D)	1 Unit Plot Komersial 1
E)	1 Unit Plot komersial 2
Di Atas Sebahagian Lot 9682 (PN11869), Blok 20, Bandar Tasik Puteri, Mukim Rawang, Daerah Gombak, Selangor Darul Ehsan. (MPS / PDT Gombak)
UNTUK : TETUAN RAWANG LAKES SDN. BHD.</t>
  </si>
  <si>
    <t xml:space="preserve">ENCIK LAU KOK WENG, PUAN KHOO AH CHOO DAN ENCIK LAU VILIT </t>
  </si>
  <si>
    <t>TETUAN COSMOPOLITAN AVENUE SDN. BHD.</t>
  </si>
  <si>
    <t>Cadangan Pembangunan Bagi Jalan Sambungan Dari Jalan PJU 8/1 Ke PJU 3/31, Bandar Damansara Perdana, Mukim Sungai Buloh, Selangor Darul Ehsan. (MBPJ/PDT Petaling)
UNTUK : TETUAN COSMOPOLITAN AVENUE SDN. BHD.</t>
  </si>
  <si>
    <t>TETUAN FASTSPACE SDN. BHD.</t>
  </si>
  <si>
    <t>EIA X SETTLE</t>
  </si>
  <si>
    <t xml:space="preserve">PERMOHONAN MENUKAR SYARAT TANAH DARIPAA TIADA KEPADA BANGUNAN (PANGSAPURI) MENGIKUT SEKSYEN 124(1)(a)(c) KTN 1965 DAN PERMOHONAN KEBENARAN MERANCANG BAGI CADANGAN PEMBANGUNAN MENGANDUNGI :
1.	1 BLOK BANGUNAN PANGSAPURI 30 TINGKAT (BLOK A)(476 UNIT RUMAH SELANGORKU (RSKU))
2.	1 BLOK BANGUNAN PANGSAPURI 33 TINGKAT (BLOK B)(627 UNIT PANGSAPURI HARGA BEBAS)
3.	1 BLOK BANGUNAN PANGSAPURI 33 TINGKAT (BLOK C)(485 UNIT PANGSAPURI HARGA BEBAS)
DI ATAS 7 TINGKAT PODIUM TEMPAT LETAK KENDERAAN DAN KEMUDAHAN SERTA 2 TINGKAT ARAS BAWAH TANAH TEMPAT LETAK KENDERAAN DI ATAS LOT 383, MUKIM ULU KLANG, DAERAH GOMBAK, SELANGOR DARUL EHSAN
UNTUK TETUAN FASTSPACE SDN. BHD. </t>
  </si>
  <si>
    <t>TETUAN WANGSA KERINGAT SDN. BHD.</t>
  </si>
  <si>
    <t>EIA</t>
  </si>
  <si>
    <t xml:space="preserve">PERMOHONAN KEBENARAN MERANCANG SECARA SERAH BALIK DAN BERIMILIK SEMULA TANAH DI BAWAH SEKSYEN 204B KANUN TANAH NEGARA (KTN) UNTUK CADANGAN PEMBANGUNAN 2 BLOK PANGSAPURI KOS BEBAS 840 UNIT YANG MENGANDUNGI :
A.	BLOK A
i.	31 TINGKAT PANGSAPURI KOS BEBAS DARI ARAS 2 – ARAS 32 (428 UNIT)
ii.	1 TINGKAT LOBI, KEMUDAHAN PENDUDUK DAN M &amp; E DI ARAS 1 DAN MEZANIN
iii.	5 TINGKAT TEMPAT LETAK KENDERAAN DARI ARAS LG1 – ARAS LG5
B.	BLOK B
i.	28 TINGKAT PANGSAPURI KOS BEBAS DARI ARAS 2 – ARAS 29 (412 UNIT)
ii.	1 TINGKAT LOBI, KEMUDAHAN PENDUDUK DAN M &amp; E DI ARAS 1 DAN MEZANIN
iii.	5 TINGKAT TEMPAT KENDERAAN DARI ARAS LG1 – ARAS LG5
DI ATAS PLOT D, LOT 49455 (PN 114854) DAN PLOT E, LOT 48380 (PN 114816), SEKSYEN 15, BUKIT AMPANG PERMAI, JALAN HULU LANGAT, BANDAR AMPANG, DAERAH HULU LANGAT, SELANGOR DARUL EHSAN.
UNTUK TETUAN WANGSA KERINGAT DEVELOPMENT SDN. BHD. </t>
  </si>
  <si>
    <t>TETUAN BINASTRA PROPERTIES SDN. BHD.</t>
  </si>
  <si>
    <t>dibawa ke SPC</t>
  </si>
  <si>
    <t>PERMOHONAN KEBENARAN MERANCANG MENGIKUT SEKSYEN 21 AKTA PERANCANGAN BANDAR DAN DESA 1976 BAGI CADANGAN PINDAAN KE ATAS PELAN SUSUNATUR LULUS BIL (16) DLM.MBPJ/040100/T/P23/1/PJU8/0520/2020 JLD. 3 BERTARIKH 12/10/2021 BAGI PEMBINAAN MENGANDUNGI :
FASA 1:
2 BLOK 21 TINGKAT PANGSAPURI (648 UNIT) DAN KEMUDAHAN, TAMAN SERTA TANGKI AIR DI ARAS BUMBUNG DI ATAS 3 ARAS BAWAH RENDAH MENGANDUNGI KEMUDAHAN DAN TEMPAT LETAK KERETA SERTA 5 ARAS SUB-BASEMEN TEMPAT LETAK KERETA;
FASA 2:
1 BLOK 21 TINGKAT PANGSAPURI (331 UNIT) DAN KEMUDAHAN, TAMAN SERTA TANGKI AIR DI ARAS BUMBUNG DI ATAS 3 ARAS BAWAH RENDAH MENGANDUNGI KEMUDAHAN DAN TEMPAT LETAK KERETA DAN 5 ARAS SUB-BASEMEN TEMPAT LETAK KERETA;
DI ATAS LOT 51585, DAMANSARA PERDANA, MUKIM SUNGAI BULOH, DAERAH PETALING, SELANGOR DARUL EHSAN.</t>
  </si>
  <si>
    <t xml:space="preserve">204. ASPIRE ESTATE </t>
  </si>
  <si>
    <t>TETUAN CHAN CHIN YEE</t>
  </si>
  <si>
    <t xml:space="preserve">Permohonan Kebenaran Merancang Bagi Cadangan Meroboh Dan Membina Semula Rumah Teres 3 Tingkat Sedia Ada Di Atas Lot 6315 (GRN 160162) No. 37, Jalan Wangsa 9, Taman Wangsa Ukay, Seksyen 2, Bandar Ulu Kelang, Daerah Gombak, Selangor Darul Ehsan. </t>
  </si>
  <si>
    <t>TROPICANA ALAM SDN. BHD.</t>
  </si>
  <si>
    <t>PERMOHONAN KEBENARAN MERANCANG BAGI CADANGAN PELAN SUSUNATUR PEMBANGUNAN PERUMAHAN DAN PERNIAGAAN MELALUI PENYERAHAN BALIK DAN PEMBERIMILIKAN SEMULA TANAH DI BAWAH SEKSYEN 204B KANUN TANAH NEGARA (KTN) DI ATAS LOT 3879 (PLOT A) DAN LOT 8986 (PLOT B), MUKIM IJOK, DAERAH KUALA SELANGOR, SELANGOR DARUL EHSAN.</t>
  </si>
  <si>
    <t xml:space="preserve">TETUAN MOHD KAMEL BIN IDRIS </t>
  </si>
  <si>
    <t>settlekan EIA</t>
  </si>
  <si>
    <t>PERMOHONAN KEBENARAN MERANCANG BAGI PEMBANGUNAN PERUMAHAN 20 UNIT LOT RUMAH SESEBUAH (SELUAS 4.563 EKAR) SECARA SERAHBALIK DAN PEMBERIMILIKAN SEMULA TANAH 204D, DI ATAS LOT 4182, TANAH SIMPANAN MELAYU, SUNGAI BUAH, MUKIM DENGKIL, DAERAH SEPANG, SELANGOR DARUL EHSAN.</t>
  </si>
  <si>
    <t>TETUAN NIAGA HOLDING SDN. BHD.</t>
  </si>
  <si>
    <t>Permohonan Kebenaran Merancang Di bawah Subseksyen 21(1) Akta Perancangan Bandar Dan Desa 1976 (akta 172) Melalui Proses Penyerahan Balik Dan Pemberimilikan Semula Tanah Di Bawah Seksyen 204(B) Kanun Tanah Negara 1965 (Akta 828) Untuk Cadangan Pembangunan 369 Unit Pangsapuri Yang Mengandungi :
I.	1 Blok Pangsapuri 24 Tingkat Bermula Daripada Tingkat 2 Hingga 23 Dan Unit OKU Yang Berada Pada Tingkat 1
II.	1 Blok 6 Tingkat Tempat Letak Kenderaan
III.	8 Unit Kedai Di Aras 1 Blok Pangsapuri
IV.	Kemudahan Penduduk Yang Mengandungi Tadika, Dewan Serbaguna, Bilik gymnasium, Bilik Bacaan, Bilik Dobi, Bilik Mesyuarat, Ruang Solat, Tandas &amp; Bilik Persalinan, Pejabat Pengurusan, Bilik Peti Surat, Ruang Aktiviti Santai, Ruang Aktiviti Warga Emas Dan Bilik Serbaguna Komuniti Di Aras P6, 1 &amp; 3
V.	Bilik Jenazah, Pusat Pengumpulan Sampah, Pondok Pengawal Dan Bilik Kawalan Kebakaran Di Aras Bawah &amp; ‘P’ Bawah
VI.	2 Unit Pencawang Elektrik Di Aras ‘P’ Bawah, Dan Tangki Air Di Aras ‘P’ Bawah &amp; Aras 24
Di Atas Lot 2296 Dan Lot 2295, Jalan Bersatu, Taman Bukit Serdang, Mukim Petaling, Dan Daerah Petaling, Selangor Darul Ehsan. (MBSJ / PDT Petaling)
UNTUK TETUAN NIAGA HOLDING SDN. BHD.</t>
  </si>
  <si>
    <t>TETUAN AMAN KEMENSAH SDN. BHD.</t>
  </si>
  <si>
    <t>Permohonan Pindaan Kebenaran Merancang Ke Atas Pelan Yang Telah Diluluskan Bil : 11/2/2/3-2012 Bertarikh 17.08.2012 Untuk Pembangunan Perumahan Skim ‘GATED COMMUNITY” Yang Mengandungi 3 Blok Kondo Villa Yang Terdiri Daripada:
1.	Blok 1 – 24 Tingkat Unit 3 Tingkat Kediaman : Jenis C – 9 Unit, Jenis D – 9 Unit, Jenis C1 – 1 Unit, Jenis D1 – 1 Unit, Jenis CE1 – 1 Unit, Jenis DE1 – 1 Unit, Jenis CE2 – 1 Unit, Jenis DE2 – 1 Unit
2.	Blok 2 – 22 Unit 2 Tingkat Kediaman : Jenis A – 8 Unit, Jenis B – 8 Unit, Jenis AE1 – 2 Unit, Jenis AE2 – 2 Unit, Dan Jenis BE2 – 2 unit
3.	Blok3 – 24 Unit 2 Tingkat Kediaman : Jenis A – 8 Unit, Jenis B – 8 Unit, Jenis AC – 2 Unit, Jenis BC – 2 Unit, Jenis AE3 – 2 Unit, Dan Jenis BE3 – 2 Unit
4.	1 Unit Pondok Pengawal
Di Bawah Seksyen 6(1A), AKta 318 (Akta Hakmilik Strata 1985), Di Atas Sebahagian Lot 47040 (Dahulunya Lot 584, lot 585, Dan Lot 599), Mukim Ulu Kelang, Daerah Gombak, Selangor Darul Ehsan. (MPAJ / PDT Gombak)
UNTUK TETUAN AMAN KEMENSAH SDN. BHD.</t>
  </si>
  <si>
    <t>TETUAN SURIA VILLA SDN. BHD.</t>
  </si>
  <si>
    <t xml:space="preserve">PERMOHONAN KEBENARAN MERANCANG BAGI PINDAAN KE ATAS PELAN LULUS BIL. MPKj/JPP/BPB/KM/18-2019 BERTARIKH 14 MEI 2019 BAGI CADANGAN PEMBANGUNAN BERCAMPUR DI ATAS LOT 935, 1077, 1640, 1933, 1934, 1935, 1936, PT 9781, PT 29942, PT29943, PT 29946, SEBAHAGIAN LOT 563 DAN TANAH KERAJAAN (PT 9779 DAN PT 9780-1.891 EKAR), DI BAWAH SEKSYEN 197&amp;76 KANUN TANAH NEGARA (KTN 1965), MUKIM SEMENYIH, DAERAH HULU LANGAT, SELANGOR DARUL EHSAN.
UNTUK TETUAN SURIA VILLA SDN. BHD. </t>
  </si>
  <si>
    <t xml:space="preserve">Permohonan Kebenaran Merancang Tempoh Terhad Bagi Cadangan Membina Pusat Kecemerlangan Hutan Negeri Selangor Yang Mengandungi:
Fasa 1
I.	Tempat Letak Kereta
II.	Restoran 2 Tingkat
III.	Kedai 2 Tingkat
IV.	Kemudahan Utiliti
V.	Tapak Perkhemahan/Persembahan Kebudayaan (Terbuka)
Fasa 2
I.	Dewan Acara
II.	Restoran
III.	Asrama Pekerja
IV.	Titik Tinjau
Di Atas Sebahagian Hutan Simpan Hulu Langat Seluas 7.04 Hektar, Selangor Darul Ehsan. (MPKJ / PDT Hulu Langat)
UNTUK TETUAN NON-STOP MANAGEMENT SDN. BHD. </t>
  </si>
  <si>
    <t>Permohonan Menukar Syarat Tanah Daripaa Tiada Kepada Bangunan (Pangsapuri) Mengikut Seksyen 124(1)(A)(C) KTN 1965 Dan Permohonan Kebenaran Merancang Bagi Cadangan Pembangunan Mengandungi :
1.	1 Blok Bangunan Pangsapuri 30 Tingkat (Blok A)(476 Unit Rumah Selangorku (RSKU)
2.	1 Blok Bangunan Pangsapuri 33 Tingkat (Blok B)(627 Unit Pangsapuri Harga Bebas)
3.	1 Blok Bangunan Pangsapuri 33 Tingkat (Blok C)(485 Unit Pangsapuri Harga Bebas)
Di Atas 7 Tingkat Podium Tempat Letak Kenderaan Dan Kemudahan Serta 2 Tingkat Aras Bawah Tanah Tempat Letak Kenderaan Di Atas Lot 383, Mukim Ulu Klang, Daerah Gombak, Selangor Darul Ehsan (MPAJ/PDT Gombak)
UNTUK TETUAN FASTSPACE SDN. BHD.</t>
  </si>
  <si>
    <t>TETUAN TORUS DEVELOPMENT SDN BHD</t>
  </si>
  <si>
    <t>Permohonan Kebenaran Merancang Bagi Cadangan Pembangunan Pangsapuri Perkhidmatan Yang Mengandungi :
2 Blok Pangsapuri Perkhidmatan (964 Unit) Yang Terdiri Daripada :
Fasa 1 :
i.	Blok 1 (525 Unit) – 33 Tingkat (Termasuk 145 Unit Pangsapuri Perkhidmatan Mampu Milik)
ii.	1 Tingkat Ruang Kemudahan Awam Serta Pangsapuri Perkhidmatan Dan Servis Di Tingkat 10
Dan 9 Tingkat Blok Podium Tempat Letak Kenderaan / Ruang M&amp;E / Ruang Lobi / Servis Dan Ruang Perniagaan Yang Mengandungi :
i.	30 Unit Kedai (Retail) Di Antara Tingkat 1 Hingga Tingkat 3
ii.	2 Unit Stesen Suis Utama (SSU) Di Tingkat 1 (Aras Tanah)
iii.	1 Unit Loji Rawatan Kumbahan (STP) Di Tingkat 1 (Aras Tanah)
iv.	2 Unit Kebuk Sampah Di Tingkat 1 (Aras Tanah)
Fasa 2 :
i.	Blok 2(439 Unit) – 33 Tingkat
Secara Penyerahan Dan Pemberimilikan Semula Tanah Di Bawah Seksyen 204B Kanun Tanah Negara 1965, Di Atas Lot PT 12412, Taman Mastika Cheras, Mukim Bandar Ampang, Daerah Hulu Langat, Selangor Darul Ehsan. (MPAJ / PDT Hulu Langat)
UNTUK TETUAN TORUS DEVELOPMENT SDN. BHD.</t>
  </si>
  <si>
    <t>TETUAN SIME DARBY PROPERTY (SERENIA CITY) SDN. BHD.</t>
  </si>
  <si>
    <t xml:space="preserve">PERMOHONAN PINDAAN KEBENARAN MERANCANG KE ATAS PELAN SUSUNATUR YANG TELAH DILULUSKAN BIL: MP. SEPANG PS/600-43/4/1539(1) BERTARIKH 11 SEPTEMBER 2023 BAGI CADANGAN PEMBANGUNAN BERCAMPUR MELALUI SERAHBALIK DAN BERIMILIK SEMULA DI BAWAH SEKSYEN 204B, KANUN TANAH NEGARA, DI ATAS LOT 115634 (PT55392) DAN LOT 115635 (PT 55393), BANDAR SERENIA (SERENIA 3), MUKIM DENGKIL, DAERAH SEPANG, SELANGOR DARUL EHSAN. </t>
  </si>
  <si>
    <t xml:space="preserve">TETUAN KAYUMANIS DEVELOPMENT SDN. BHD. </t>
  </si>
  <si>
    <t>PERMOHONAN KEBENARAN MERANCANG PELAN SUSUNATUR SECARA PENYERAHAN BALIK DAN BERIMILIKAN SEMULA TANAH DI BAWAH SEKSYEN 197 DAN 76, KANUN TANAH NEGARA (KTN) BAGI CADANGAN PEMBANGUNAN BERCAMPUR DI ATAS PT 83355, PT 53649 HINGGA PT 53698 DAN PT 53912 HINGGA PT54002, MUKIM PETALING, DAERAH PETALING, SELANGOR DARUL EHSAN.</t>
  </si>
  <si>
    <t xml:space="preserve">TETUAN PERANO PROPERTIES DEVELOPMENT SDN. BHD. </t>
  </si>
  <si>
    <t>PERMOHONAN KEBENARAN MERANCANG BAGI CADANGAN PELAN INDUK SUSUN ATUR PEMBANGUNAN BERCAMPUR SECARA SERAH BALIK DAN BERIMILIK SEMULA TANAH DI BAWAH SEKSYEN 204(B) KANUN TANAH NEGARA (KTN) SELUAS 1060 EKAR DI ATAS PT12269, PT12270, PT12271, PT12272, PT12273, PT12274 DAN 7705, MUKIM ULU LANGAT, DAERAH ULU LANGAT, SELANGOR DARUL EHSAN.
UNTUK TETUAN PARKCITY CHERAS SDN. BHD. (DAHULU DIKENALI SEBAGAI FANTASTIC STARHILL SDN. BHD.)</t>
  </si>
  <si>
    <t>TETUAN PARKCITY CHERAS SDN. BHD.</t>
  </si>
  <si>
    <t>PERMOHONAN KEBENARAN MERANCANG MENGIKUT SEKSYEN 21 AKTA PERANCANGAN BANDAR DAN DESA 1976 (AKTA 172) BAGI CADANGAN MEMBINA DAN MENYIAPKAN SEBUAH RUMAH BANGLO 1 TINGKAT  BESERTA 1 TINGKAT ARAS BAWAH TANAH DI ATAS PT 6033, SEKSYEN 1, JALAN G2, FASA 3A, TAMAN MELAWATI, BANDAR ULU KLANG, DAERAH GOMBAK, SELANGOR DARUL EHSAN.</t>
  </si>
  <si>
    <t xml:space="preserve">TETUAN NOOR HUZAIMY BIN NOOR HAZIN, NOOR HAZWAN BIN NOOR HAZIN DAN NOOR HAZMY BIN NOOR HAZIN </t>
  </si>
  <si>
    <t>PERMOHONAN KEBENARAN MERANCANG MENGIKUT SEKSYEN 21 AKTA PERANCANGAN BANDAR DAN DESA 1976 (AKTA 172) BAGI CADANGAN MEMBINA DAN MENYIAPKAN SEBUAH RUMAH BANGLO 1 TINGKAT  BESERTA 1 TINGKAT ARAS BAWAH TANAH DI ATAS PT 6034, SEKSYEN 1, JALAN G2, FASA 3A, TAMAN MELAWATI, BANDAR ULU KLANG, DAERAH GOMBAK, SELANGOR DARUL EHSAN.</t>
  </si>
  <si>
    <t>vs</t>
  </si>
  <si>
    <t>TETUAN PESURUHJAYA TANAH PERSEKUTUAN</t>
  </si>
  <si>
    <t>Permohonan Pindaan Kebenaran Merancang Yang Telah Diluluskan Bil (34) Dlm MPS 3/2 - 1386 / 285 Jld 2 Bertarikh 28.08.2024 Bagi Cadangan Pembangunan Pusat Terminal Pengangkutan Bersepadu Sektor Timur Yang Mengandungi:
1) Sebuah Bangunan Terminal 8 Tingkat
2) 1 Unit Bangunan Rehat Pemandu 1 Tingkat
3) 1 Unit Pusat Sampah 2 Tingkat
4) 1 Unit Kebuk Sampah 1 Tingkat
5) 1 Unit Bangunan Komersial 5 Tingkat
Di Atas Lot 31158 (PT 7414) Dan PT 7413, Terminal Putra Gombak, Lebuhraya Lingkaran Tengah 2 (MRR2), Mukim Setapak, Daerah Gombak, Blok Perancangan 3: Gombak Selatan, Majlis Perbandaran Selayang, Selangor Darul Ehsan. (MPAJ/PDT Gombak)</t>
  </si>
  <si>
    <t>TETUAN JOHAWAKI DEVELOPMENT SDN. BHD.</t>
  </si>
  <si>
    <t>Permohonan Kebenaran Merancang Mengikut Seksyen 21 Akta 172 Bagi Pembangunan Berikut:
i.	62 Unit Rumah Teres 1 Tingkat (20' X 80')
ii.	1 Unit Pencawang Elektrik Padat (5m X 7m)
iii.	1 Unit Loji Rawatan Kumbahan
Serta Serahbalik Dan Bermilik Semula Tanah Di Bawah Seksyen 204B Kanun Tanah Negara 1956, Di Atas Lot 6600 (PM231), Jalan Seri Jaya, Bukit Kapar, Mukim Kapar, Daerah Klang, Selangor Darul Ehsan. (MBDK / PDT Klang)</t>
  </si>
  <si>
    <t>TETUAN NASSIM DEVELOPMENT SDN. BHD</t>
  </si>
  <si>
    <t>PERMOHONAN KEBENARAN MERANCANG BAGI TUJUAN SERAH BALIK DAN BERIMILIK SEMULA TANAH DI BAWAH SEKSYEN 204B KANUN TANAH
NEGARA BAGI CADANGAN PEMBANGUNAN PERUMAHAN YANG
MENGANDUNGI :
i. 4 UNIT RUMAH TERES 3 TINGKAT (32'-49'X70')
ii. 4 UNIT RUMAH TERES 3 TINGKAT (24'X70) iii. 1 UNIT LOT BANGLO
DI ATAS PT 100005 (H.S.D 174316), SEKSYEN 2, JALAN UB 15, TAMAN UKAY BISTARI, BANDAR ULU KELANG, DAERAH GOMBAK, SELANGOR DARUL EHSAN.
UNTUK TETUAN NASSIM DEVELOPMENT SDN. BHD</t>
  </si>
  <si>
    <t>PERMOHONAN KEBENARAN MERANCANG PELAN SUSUNATUR SECARA PENYERAHAN BALIK DAN
BERIMILIKAN SEMULA TANAH DI BAWAH SEKSYEN 197 DAN 76, KANUN TANAH NEGARA (KTN) BAGI CADANGAN PEMBANGUNAN BERCAMPUR DI ATAS PT 83355, PT 53649 HINGGA PT 53698 DAN PT 53912 HINGGA PT 54002 DAN SEBAHAGIAN RIZAB KERAJAAN (RIZAB JALANRAYA), MUKIM PETALING, DAERAH PETALING, SELANGOR DARUL EHSAN.
UNTUK: PERANO PROPERTIES DEVELOPMENT SDN. BHD.</t>
  </si>
  <si>
    <t xml:space="preserve">TETUAN ASET KAYAMAS DEVELOPMENT SDN. BHD. </t>
  </si>
  <si>
    <t>Permohonan Pindaan Kebenaran Merancang Ke Atas Pelan Kelulusan Jawatankuasa Teknikal Pembangunan Kawasan Sensitif Alam Sekitar (Jtpksas) Negeri Selangor Dengan No. Pelan Yuniq/484/MDHS/Genting/Ak_Batangkali/Lot3278/L22_31okt22_JTKSAS Bertarikh 31 Oktober 2022 Bagi Cadangan Pembangunan Bercampur Di Atas Pt12681 – Pt 12687, Mukim Batang Kali, Daerah Ulu Selangor, Selangor Darul Ehsan. (MPHS / PDT Hulu Selangor)</t>
  </si>
  <si>
    <t>TETUAN YAYASAN AMANAH ASSOFWAH ALMALIKIYYAH</t>
  </si>
  <si>
    <t>Permohonan Kebenaran Merancang Sediada Mengikut Seksyen 21 Akta Perancangan Bandar Dan Desa (Akta 172)Dan Cantuman Tanah Di Bawah Seksyen 148 Kanun Tanah Negara 1965 Bagi Cadangan Pembangunan Kolej Ilmu Islam (Pusat Latihan) Di Atas  Lot 2603, 2604, 2610, 2619 Dan 2484, Sungai Senama, Mukim Batang Kali, Daerah Hulu Selangor, Selangor Darul Ehsan. (MPHS / PDT Hulu Selangor)</t>
  </si>
  <si>
    <t>Permohonan Pindaan Kebenaran Merancang Pelan Susunatur Yang Telah Diluluskan (Rujukan Surat : Bil(9)dlm.MPS.3/3-120/40 jld.7 Pind.6 Jld. 2 Bertarikh 13 Jun 2025) bagi Cadangan Perniagaan Mengikut Seksyen 21,Akta 172 bagi Tujuan Serah Balik Dan Pemberimilikan Semula Di Bawah Seksyen 197 dan 76 Kanun Tanah Negara (KTN 1965) Yang Mengandungi :
A)	Fasa 1
1.	5 Unit Kedai Pejabat 2 Tingkat (Jenis C)
2.	2 Unit Kedai Pejabat 3 tingkat (Jenis D)
3.	1 Unit Pencawang Elektrik
B)	Fasa 2
1.	84 Unit Kedai Pejabat 2 Tingkat (Jenis A)
2.	3 Unit Kedai Pejabat 3 Tingkat (Jenis B)
3.	2 Unit Kedai Pejabat 3 Tingkat (Jenis E)
4.	1 Unit Kedai Pejabat 2 Tingkat (Jenis F)
5.	1 Unit Kedai Pejabat 2 Tingkat (Jenis G)
6.	1 Unit Kedai Pejabat 2 Tingkat (Jenis H)
7.	1 Unit Kedai Pejabat 2 Tingkat (Jenis I)
8.	1 Unit Kedai Pejabat 3 Tingkat (Jenis J)
9.	2 Unit Pencawang Elektrik
D)	1 Unit Plot Komersial 1
E)	1 Unit Plot komersial 2
Di Atas Sebahagian Lot 9682 (PN11869), Blok 20, Bandar Tasik Puteri, Mukim Rawang, Daerah Gombak, Selangor Darul Ehsan. (MPS / PDT Gombak)
UNTUK : TETUAN RAWANG LAKES SDN. BHD.</t>
  </si>
  <si>
    <t>TETUAN CHIN HIN PROPERTY (KL) SDN. BHD.</t>
  </si>
  <si>
    <t xml:space="preserve">PERMOHONAN PINDAAN KEBENARAN MERANCANG KE ATAS PELAN YANG TELAH DILULUSKAN BIL.MPSJ.JPB.BP6.600-1/2/18/PS BERTARIKH 15 FEBRUARI 2022) UNTUK BANGUNAN PERUMAHAN YANG TERDIR DARIPADA : 
PINDAAN DARIPADA: 
A.	160 UNIT RUMAH BERKEMBAR 2-3 TINGKAT (20'X70')
B.	1 PLOT PANGSAPURI HARGA BEBAS (178 UNIT)
C.	2 UNIT PENCAWANG ELEKTRIK
KEPADA: 
A.	181 UNIT RUMAH TERES 3 TINGKAT JENIS A (23'X68')
B.	42 UNIT RUMAH TERES 3 TINGKAT JENIS B (23'X73')
C.	107 UNIT RUMAH TERES 3 TINGKAT JENIS C(22'X70')
D.	1 UNIT BANGUNAN KEMUDAHAN
E.	1 UNIT PONDOK PENGAWAL
F.	2 UNIT STESEN SUIS UTAMA (SSU)
SECARA SERAHBALIK DAN PEMBERIMILIKAN SEMULA TANAH DI BAWAH SEKSYEN 204B, KANUN TANAH NEGARA (KTN) 1965, BAGI PEMBANGUNAN PERUMAHAN DI ATAS LOT 74737 DAN LOT 74738, TAMAN PUJ 9/11, TAMAN PUNCAK JALIL, BANDAR PUTRA PERMAI, MUKIM PETALING, DAERAH PETALING, SELANGOR DARUL EHSAN 
UNTUK CHIN HIN PROPERTY (KL) SDN. BHD. (1516339-X) </t>
  </si>
  <si>
    <t xml:space="preserve">TETUAN LBS KWASA LAND DAMANSARA SDN. BHD. </t>
  </si>
  <si>
    <t xml:space="preserve">PERMOHONAN KEBENARAN MERANCANG MENGIKUT SEKSYEN 21 AKTA PERANCANGAN BANDAR DAN DESA (AKTA 172) SERENTAK DENGAN MENGUBAH JENIS KEGUNAAN TANAH SERTA MEMINDA SYARAT NYATA TANAH DI BAWAH SEKSYEN 124(1)(A)&amp;(C) KANUN TANAH NEGARA 1965 (KTN) BAGI CADANGAN MEMBINA 196 UNIT PERUMAHAN STRATA  YANG MENGANDUNGI:
i.	8 UNIT RUMAH SESEBUAH 3 TINGKAT
ii.	88 UNIT RUMAH BERKEMBAR 3 TINGKAT
iii.	100 UNIT RUMAH TERES 3 TINGKAT
iv.	1 UNIT BANGUNAN KEMUDAHAN PENDUDUK YANG MENGANDUNGI PEJABAT PENGURUSAN, SURAU, RUANG SERBAGUNA, KOLAM RENANG DAN PENCAWANG ELEKTRIK
v.	2 UNIT PENCAWANG ELEKTRIK PADAT
vi.	1 UNIT PONDOK PENGAWAL
DI ATAS PT 56864 (H.S.D 326465), KWASA DAMANSARA, MUKIM SUNGAI BULOH, DAERAH PETALING SELANGOR DARUL EHSAN.
UNTUK: TETUAN LBS KWASA LAND DAMANSARA SDN. BHD. </t>
  </si>
  <si>
    <t>TETUAN GOLDHILL FORTUNE SDN. BHD.</t>
  </si>
  <si>
    <t>PERMOHONAN KEBENARAN MERANCANG BAGI TUJUAN PENYERAHAN BALIK DI BAWAH SEKSYEN 197 DAN PEMBERIMILIKAN SEMULA DI BAWAH SEKSYEN 76 KANUN TANAH NEGARA UNTUK PEMBANGUNAN PERTANIAN DI ATAS LOT 28512 (PT 3851), MUKIM ULU SEMENYIH, DAERAH ULU LANGAT, SELANGOR DARUL EHSAN.</t>
  </si>
  <si>
    <t>TETUAN KL - KEPONG PROPERTY DEVELOPMENT SDN. BHD. &amp; TETUAN KL - KEPONG COUNTRY HOMES SDN. BHD.</t>
  </si>
  <si>
    <t xml:space="preserve">Permohonan Pindaan Kebenaran Merancang Pendirian Bangunan Ke Atas Pelan Yang Telah Diluluskan (17) Dlm. Mps 3/2-1371/2179(KM)F1/314 (Fasa 1) Jld. 2 Bertarikh 16hb Oktober 2025, Bagi Cadangan Pembangunan Bercampur (Perumahan Dan Perniagaan) Di Fasa 1 Seluas 335.76 Ekar, Secara Penyerahan Balik Dan Pemberimilikan Semula Tanah Di Bawah Seksyen 204B, Kanun Tanah Negara (KTN) 1965, Di Atas Sebahagian Lot 1456, Dan Lot 84403, Mukim Rawang, Daerah Gombak, Selangor Darul Ehsan. </t>
  </si>
  <si>
    <t>TETUAN NCT LAND SDN. BHD. &amp; NCT CONSOLIDATED SDN. BHD.</t>
  </si>
  <si>
    <t>Permohonan Penyertaan 5 Lot Tanah Tambahan Seluas 176.71 Ekar NCT Smart Industrial Park (NSIP) Dalam Skim Taman Perindustrian Berkonsepkan Managed Industrial Park (MIP) Di Atas Lot :
i.	HSD 49891, PT34030, Mukim Tanjung Duabelas, Daerah Kuala Langat, Selangor Darul Ehsan Dengan Keluasan Sekitar 7.83 Ekar.
ii.	HSD 49893, PT34033, Mukim Tanjung Duabelas, Daerah Kuala Langat, Selangor Darul Ehsan Dengan Keluasan Sekitar 47.26 Ekar.
iii.	HSD 49894, PT34034, Mukim Tanjung Duabelas, Daerah Kuala Langat, Selangor Darul Ehsan Dengan Keluasan Sekitar 47.26 Ekar.
iv.	PN 342996, Lot 83245, Mukim Tanjung Duabelas, Daerah Kuala Langat, Selangor Darul Ehsan Dengan Keluasan Sekitar 37.39 Ekar.
v.	PN 342997, Lot 83244, Mukim Tanjung Duabelas, Daerah Kuala Langat, Selangor Darul Ehsan Dengan Keluasan Sekitar 36.97 Ekar.</t>
  </si>
  <si>
    <t>TETUAN MIGHTYPROP SDN. BHD.</t>
  </si>
  <si>
    <t xml:space="preserve">Permohonan Penyerahan Balik Dan Pemberimilikan Semula Tanah Mengikut Seksyen 204B (Kanun Tanah Negara 1965) Dan Permohonan Kebenaran Merancang Bagi Cadangan Pindaan Ke Atas Pelan Susun Atur Diluluskan Bil. (11) Dlm.MBPJ/040100/T/P23/1/PJU8/0617/2021 Bertarikh 19 November 2021 Di Atas Lot - Lot 95595 (PN 123258), 94218 (PN 124390), 94219 (PN 124388), 94486 (PN 343658), 94487 (PN 343485), PT51996 (HSD 324980), PT51997 (HSD 324987), 94226 (PN 343507), 94485 (PN 342986), PT 51992 (HSD324976), PT 51998 (HSD 324982), PT 51999 (HSD 324983), PT 52000 (HSD 324984) Dan Tanah Kerajaan (Tangki Air Dan Rizab Jalan) Jalan PJU 8/8, Damansara Perdana, Mukim Sungai Buloh, Daerah Petaling, Selangor Darul Ehsan. </t>
  </si>
  <si>
    <t>TETUAN TROPICANA ALAM SDN BHD</t>
  </si>
  <si>
    <t>PERMOHONAN KEBENARAN MERANCANG BAGI CADANGAN PELAN SUSUNATUR PEMBANGUNAN PERUMAHAN DAN PERNIAGAAN MELALUI PENYERAHAN BALIK DAN PEMBERIMILIKAN SEMULA TANAH DI BAWAH SEKSYEN 204D KANUN TANAH NEGARA (KTN) DI ATAS LOT 3879 (PLOT A) DAN
LOT 8986 (PLOT B), MUKIM IJOK, DAERAH KUALA SELANGOR, SELANGOR DARUL EHSAN.
UNTUK TETUAN TROPICANA ALAM SDN. BHD.</t>
  </si>
  <si>
    <t>TETUAN KANDIS PERMAI SDN BHD</t>
  </si>
  <si>
    <t>PERMOHONAN SERENTAK KEBENARAN MERANCANG PENDIRIAN BANGUNAN DAN PENYERAHAN BALIK TANAH DI BAWAH SEKSYEN 197 DAN PEMBERIMILIKAN SEMULA TANAH DI BAWAH SEKSYEN 76 KANUN TANAH NEGARA 1965 BAGI CADANGAN PEMBANGUNAN PANGSAPURI 26 – 27 TINGKAT (828 UNIT) YANG MENGANDUNGI: 
MENARA A: PANGSAPURI HARGA BEBAS 26 TINGKAT (405 UNIT) 
MENARA B: PANGSAPURI HARGA BEBAS 27 TINGKAT (423 UNIT) 
1 BLOK PODIUM TEMPAT LETAK KENDERAAN (6 TINGKAT) DAN KEMUDAHAN DI TINGKAT 6 YANG MENGANDUNGI: 
1 UNIT BILIK BACAAN 
1 UNIT RUANG KHUSUS WARGA EMAS 
1 UNIT PEJABAT PENGURUSAN 
1 UNIT GIMNASIUM 
KOLAM RENANG DEWASA DAN KANAK - KANAK 
1 UNIT DEWAN SERBAGUNA 
1 UNIT SURAU 
1 UNIT BILIK PENGURUSAN JENAZAH 
1 UNIT TADIKA 
1 UNIT PENCAWANG ELEKTRIK 
1 UNIT RUMAH SAMPAH 
TEMPAT LETAK KENDERAAN DAN KEMUDAHAN REKREASI 
1 UNIT PONDOK PENGAWAL 
DI ATAS PT 83642 SELUAS 9.500 EKAR, JALAN CEMPAKA, SEKSYEN 11, TAMAN BUKIT SERDANG, SERI KEMBANGAN, MUKIM PETALING, DAERAH PETALING, SELANGOR DARUL EHSAN. 
UNTUK: 
PIHAK PEMILIK: TETUAN BAY VISTA SDN. BHD. 
PIHAK PEMAJU: TETUAN KANDIS PERMAI SDN. BHD</t>
  </si>
  <si>
    <t>TETUAN TRILINK ESSENTIAL SDN BHD</t>
  </si>
  <si>
    <t>PERMOHONAN JAWATANKUASA TEKNIKAL PEMBANGUNAN KAWASAN SENSITIF ALAM SEKITAR NEGERI SELANGOR (JKTPKSAS) BAGI TUJUAN PENYERAHAN BALIK DAN PEMBERIMILIKAN SEMULA TANAH DI BAWAH SEKSYEN 204B, KANUN TANAH NEGARA BAGI CADANGAN PEMBANGUNAN PANGSAPURI 1,530 UNIT DI ATAS LOT 1095 (GRN 290950) SELUAS 16.969 EKAR, PERSIARAN AWANA, MUKIM PEKAN CHERAS, DAERAH ULU LANGAT, SELANGOR DARUL EHSAN</t>
  </si>
  <si>
    <t>PERMOHONAN PINDAAN KEBENARAN MERANCANG KEPADA PELAN LULUS (Ruj. BIL
(36)DLM.MDHS.74/24/TP/13/L/18/011) BERTARIKH 24 SEPTEMBER 2019 UNTUK
PENDIRIAN BANGUNAN DI BAWAH SUBSEKSYEN 21(1) AKTA 172 BAGI CADANGAN
MEMBINA SATU BLOK PANGSAPURI 20 TINGKAT YANG MENGANDUNGI PENCAWANG ELEKTRIK DI ARAS BAWAH (G)-ARAS BAWAH TANAH (LG), BILIK PETI SURAT, STOR, TANDAS AWAM, KEBUK SAMPAH, BILIK KAWALAN KESELAMATAN &amp; KEBAKARAN, SALON RAMBUT &amp; KEDAI RUNCIT DI ARAS BAWAH, TEMPAT LETAK KERETA DI ARAS BAWAH TANAH (LG)-ARAS 5, DEWAN SERBAGUNA, RUANG SOLAT, PEJABAT PENGURUSAN, STOR, TANDAS AWAM, DOBI, GIMNASIUM, BILIK BACAAN,
GELANGGANG PICKLEBALL, TAMAN PERMAINAN KANAK-KANAK, KAWASAN BARBEKU, LALUAN REFLEKSIOLOGI, SENIOR ROOM, TADIKA &amp; KIOSK &amp; KOLAM RENANG DI ARAS 6 (PODIUM), 250 UNIT PANGSAPURI (900KP/UNIT) DI ARAS 7- ARAS
19 DI ATAS TANAH PT 12818 HS(D) 54848, MUKIM ULU YAM, DAERAH HULU SELANGOR, SELANGOR DARUL EHSAN
UNTUK TETUAN KAYUMANIS DEVELOPMENT SDN BHD</t>
  </si>
  <si>
    <t>TETUAN PERANO PROPERTIES DEVELOPMENT SDN BHD</t>
  </si>
  <si>
    <t>PERMOHONAN KEBENARAN MERANCANG PELAN SUSUNATUR SECARA
PENYERAHAN BALIK DAN BERIMILIKAN SEMULA TANAH DI BAWAH
SEKSYEN 197 DAN 76, KANUN TANAH NEGARA (KTN) BAGI CADANGAN PEMBANGUNAN BERCAMPUR DI ATAS PT 83355, MUKIM PETALING, DAERAH PETALING, SELANGOR DARUL EHSAN
UNTUK: PERANO PROPERTIES DEVELOPMENT SDN. BHD. (975958-W)</t>
  </si>
  <si>
    <t>TETUAN JUNACRES SDN BHD</t>
  </si>
  <si>
    <t>PERMOHONAN KEBENARAN MERANCANG SECARA SERAH BALIK DAN BERIMILIK SEMULA TANAH (SEKSYEN 204B KANUN TANAH NEGARA 1965, AKTA 828) UNTUK PEMBANGUNAN 3 UNIT RUMAH SESEBUAH (3 TINGKAT) DAN 4 UNIT RUMAH SESEBUAH (2 TINGKAT DAN 1 TINGKAT BAWAH TANAH) DI ATAS LOT 589 DAN LOT 590, JALAN 5/64, SEKSYEN 19, MUKIM BANDAR PETALING JAYA, DAERAH PETALING, SELANGOR DARUL EHSAN.
UNTUK : TETUAN JUNACRES SDN. BHD</t>
  </si>
  <si>
    <t>TETUAN TITULAR ROMAN CATOLIC ARCH BISHOP OF KUALA LUMPUR</t>
  </si>
  <si>
    <t>PERMOHONAN KEBENARAN MERANCANG MENGIKUT SEKSYEN 21 AKTA PERANCANGAN BANDAR DAN DESA 1976 (AKTA 172) BAGI CADANGAN MEMBINA
SEMULA SEBUAH GEREJA 1 TINGKAT DAN BANGUNAN KEMUDAHAN 2½ TINGKAT
DI ATAS LOT 19964, MUKIM RAWANG, DAERAH GOMBAK, SELANGOR DARUL EHSAN.
UNTUK TETUAN TITULAR ROMAN CATHOLIC ARCHBISHOP OF KUALA LUMPUR</t>
  </si>
  <si>
    <t>TETUAN GENTING MALAYSIA BERHAD</t>
  </si>
  <si>
    <t>PERMOHONAN KEBENARAN MERANCANG BAGI CADANGAN MEMBINA BENGKEL DAN STOR 1 TINGKAT DAN ASRAMA PEKERJA 2 TINGKAT DI ATAS SEBAHAGIAN LOT 7574 DAN LOT 8334 (LOT LAMA PT 3714), MUKIM BATANGKALI, DARAH HULU SELANGOR, NEGERI SELANGOR DARUL EHSAN.                           UNTUK TETUAN GENTING MALAYSIA BERHAD</t>
  </si>
  <si>
    <t>TETUAN SIME DARBY PROPERTY (ELMINA NORTH ) SDN BHD</t>
  </si>
  <si>
    <t>PERMOHONAN PINDAAN CADANGAN KELULUSAN PELAN INDUK (BIL. (23) DLM.MPS 3/2-1372/2138 (KM/PIN) INDUK/300 PIND. 2 JLD.1 BERTARIKH 13 JANUARI 2025, DI BAWAH SEKSYEN 21, AKTA PERANCANGAN BANDAR DAN DESA 1976 (AKTA 172) BAGI CADANGAN PEMBANGUNAN BERCAMPUR DI ATAS LOT 488, 489, 490 (LOT LAMA 1433), 497, 498, 30217 (LPT LAMA 1000), 91483 (LOT LAMA 1000), 91484 (LOT LAMA 1000),91484 (LOT LAMA 1000), 1424, 1430, LOT 35227 (LOT LAMA 15362), 35231 (LOT LAMA 1423), DAN PT 49797 (LOT LAMA 15358, 15359, 15360, 15361) MUKIM RAWANG, DAERAH GOMBAK, SELANGOR DARUL EHSAN.                                                              UNTUK TETUAN SIME DARBY PROPERTY (ELMINA NORTH) SDN BHD (DAHULUNYA DIKENALI SEBAGAI SIME DARBY PROPERTY (LAGONG) SDN BHD)</t>
  </si>
  <si>
    <t>L.C.B MANAGEMENT SDN BHD</t>
  </si>
  <si>
    <t>PERMOHONAN KEBENARAN MERANCANG PENDIRIAN BANGUNAN MENGIKUT SEKSYEN 21 AKTA PERANCANGAN BANDAR DAN DESA (AKTA 172) BAGI CANGAN PEMBANGUNAN PERNIAGAAN YANG MENGANDUNGI :                                                                    A) 21 UNIT KEDAI PEJABAT 2 TINGKAT (22'x70')                    B) 21 UNIT KEDAI PEJABAT 3 TINGKAT (22'x70')                   C) 1 UNIT PENCAWANG ELEKTRIK (2 RUANG)                    DI ATS PT 18678 - PT 18719 BANDAR SAUJANA PUTRA, MUKIM TANJONG DUA BELAS, DAERAH KUALA LANGAT, SELANGOR DARUL EHSAN.                                                   UNTUK : TETUAN L.C.B MANAGEMENT SDN BHD</t>
  </si>
  <si>
    <t>TETUAN MATRIX CONCEPTS LEVANTE SDN BHD</t>
  </si>
  <si>
    <t>PERMOHONAN KEBENARAN MERANCANG PENDIRIAN BANGUNAN (PERUMAHAN) BAGI PINDAAN PELAN YANG TELAH DILULUSKAN BERNOMBOR (6)MBPJ/040100/T/P23/1/PJUB/0215/2023/SMARTDEV JLD.2 BERTARIKH 26/03/2024: DARIPADA:
i.	2 BLOK PANGSAPURI 39 TINGKAT - BLOK A (249 UNIT) &amp; BLOK B (249 UNIT); TERMASUK 2 TINGKAT KEMUDAHAN (ARAS 5 &amp; SEBAHAGIAN ARAS BUMBUNG, 3 TINGKAT RUANG M&amp;E (SEBAHAGIAN ARAS 5, ARAS 23 &amp; ARAS BUMBUNG) DAN 2 TINGKAT RUANG LANDSKAP (SEBAHAGIAN ARAS 11 &amp; ARAS 30) DI TINGKAT 5 PODIUM TEMPAT LETAK KENDERAAN; 
ii.	2 BLOK RUMAH BANDAR 3 TINGKAT (12 UNIT) TERMASUK 1 TINGKAT RUANG M&amp;E SEBAHAGIAN ARAS BUMBUNG) DI ATAS 5 TINGKAT PODIUM TEMPAT LETAK KENDERAAN); 
iii.	iii.1 TINGKAT RUMAH KELAB; 
     KEPADA:
i.	2 BLOK PANGSAPURI 35 TINGKAT - BLOK A (330 UNIT) &amp; BLOK B (330 UNIT); TERMASUK 2 TINGKAT KEMUDAHAN BERLANDSKAP (TINGKAT 3 &amp; TINGKAT 5) DAN 1 UNIT BILIK PEMAJU PANGSAPURI (BLOK A) (TINGKAT 33A) DI ATAS 7 TINGKAT PODIUM TEMPAT LETAK KENDERAAN (ARAS BAWAH TANAH - TINGKAT 3A) TERMASUK KEMUDAHAN (ARAS TANAH &amp; TINGKAT 5) 
ii.	1 TINGKAT RUANG KEMUDAHAN BERSAMA (ARAS TANAH) 
DI ATAS LOT 84896 (LOT TERDAHULU PT 48041), JALAN PJU 8/1, DAMANSARA PERDANA, MUKIM SUNGAI BULOH, DAERAH PETALING, SELANGOR DARUL EHSAN. 
UNTUK : TETUAN MATRIX CONCEPTS LEVANTE SDN. BHD. (DAHULUNYA DIKENALI SEBAGAI MATRIX CONCEPTS (DAMANSARA) SDN. BHD).</t>
  </si>
  <si>
    <t>TETUAN PRIMAPARAMOUNT SDN BHD</t>
  </si>
  <si>
    <t>PERMOHONAN KEBENARAN MERANCANG MENGIKUT SEKSYEN 21 AKTA PERANCANGAN BANDAR DAN DESA 1976 (AKTA 172) UNTUK TUJUAN SERAH BALIK DAN BERI MILIK SEMULA TANAH DI BAWAH SEKSYEN 204A KANUN TANAH NEGARA BAGI CADANGAN PEMBANGUNAN PERUMAHAN DI ATAS LOT 9515 (5.55 EKAR), MUKIM BANDAR SELAYANG, DAERAH GOMBAK, SELANGOR DARUL EHSAN.
UNTUK : PRIMAPARAMOUNT SDN. BHD.</t>
  </si>
  <si>
    <t>TETUAN MDCON(SIMPANG EMPAT) SDN BHD</t>
  </si>
  <si>
    <t>PERMOHONAN KEBENARAN MERANCANG PELAN SUSUNATUR BAGI CADANGAN PEMBANGUNAN LOT PERTANIAN (RUMAH DESA) DI ATAS SEBAHAGIAN LOT 41350, SEBAHAGIAN PT 25314 DAN PT 25315, SEKSYEN 20, BANDAR SERENDAH, DAN SEBAHAGIAN LOT 1942, MUKIM SERENDAH, DAERAH HULU SELANGOR, SELANGOR DARUL EHSAN.
UNTUK TETUAN MDCON (SIMPANG EMPAT) SDN. BHD</t>
  </si>
  <si>
    <t>TETUAN XINTIANDI DEVELOPMENT SDN. BHD.</t>
  </si>
  <si>
    <t>PERMOHONAN KEBENARAN MERANCANG BAGI CADANGAN PEMBANGUNAN KEMUDAHAN TANGKI AIR DI ATAS SEBAHAGIAN LOT 7577, MUKIM BATANGKALI, DAERAH HULU SELANGOR, SELANGOR DARUL EHSAN.                                              UNTUK : TETUAN XINTIANDI DEVELOPMENT SDN BHD</t>
  </si>
  <si>
    <t>TETUAN NOHAYATI BINTI HAMIAH</t>
  </si>
  <si>
    <t xml:space="preserve">PERMOHONAN KEBENARAN MERANCANG BAGI CADANGAN MENDIRIKAN PANGSAPURI BEBAS (724 UNIT) DI ATAS LOT 2132 &amp; 2133, MUKIM HULU LANGAT, DAERAH HULU LANGAT, SELANGOR DARUL EHSAN                                                     UNTUK TETUAN NORHAYATI BINTI HAMIAH                                                                 </t>
  </si>
  <si>
    <t>TETUAN AYER HITAM DEVELOPMENT SDN BHD</t>
  </si>
  <si>
    <t>PERMOHONAN KEBENARAN MERANCANG PELAN SUSUNATUR SECARA PENYERAHAN BALIK TANAH DI BAWAH SEKSYEN 197 DAN PEMBERIMILIKAN SEMULA TANAH DI BAWAH SEKSYEN 76 KANUN TANAH
NEGARA 1956, BAGI CADANGAN PEMBANGUNAN BERCAMPUR DI ATAS LOT 119376 (DAHULUNYA SEBAHAGIAN LOT 2616) DAN SEBAHAGIAN RIZAB KERAJAAN, PUCHONG, MUKIM PETALING, DAERAH PETALING, SELANGOR DARUL EHSAN
UNTUK: THE AYER HITAM DEVELOPMENT SDN. BHD.</t>
  </si>
  <si>
    <t>Permohonan Kebenaran Merancang (Pindaan Kepada Pelan Yang Telah Diluluskan Pelan Bil. MDHS/TP/110/2024, Bertarikh 13 Ogos 2024) Di Bawah Seksyen 21 Akta Perancangan Bandar Dan Desa 1976 Bagi Cadangan Membina Tapak Kebun (Rumah Hijau) Yang Mengandungi : 
a)	9 Unit Bangsal Kerja (Tapak Kebun) 1 Tingkat,
b)	1 Unit Bangunan Utiliti Yang Mengandungi :                 - 1 Unit Pejabat                                                                        - 1 Unit Surau (Lelaki Dan Perempuan)                                  - 1 Unit Tandas (Lelaki, Perempuan Dan OKU)                    - 1 Kebuk Sampah
c)	1 Pencawang Elektrik Compact Sub
Di Atas Sebahagian Lot 8333 (GRN 342385), Genting Highlands, Mukim Batang Kali, Daerah Hulu Selangor, Selangor Darul Ehsan. (MPHS/PTD Hulu Selangor)
UNTUK : TETUAN GENSA SDN. BHD.
PEMAJU : GENTING MALAYSIA BERHAD</t>
  </si>
  <si>
    <t>LEBUHRAYA KL-KARAK</t>
  </si>
  <si>
    <t>E8: LEBUHRAYA KUALA LUMPUR - KARAK                                       CADANGAN PELEBARAN LEBUHRAYA KUALA LUMPUR-KARAK DARI PLAZA TOL GOMBAK KE BENTONG.</t>
  </si>
  <si>
    <t>TETUAN MERITTON PROPERTIES SDN BHD</t>
  </si>
  <si>
    <t xml:space="preserve">PERMOHONAN SERENTAK KEBENARAN MERANCANG PENDIRIAN BANGUNAN DAN PENYERAHAN BALIK DAN PEMBERIMILIKAN SEMULA TANAH DI BAWAH SEKSYEN 204B, KANUN TANAH NEGARA 1965 BAGI CADANGAN PEMBANGUNAN PERUMAHAN (550 UNIT) 32 TINGKAT YANG MENGANDUNGI 
A.	20 TINGKAT PANGSAPURI HARGA BEBAS (440 UNIT) DARI TINGKAT 13 HINGGA TINGKAT 32
B.	5 TINGKAT PANGSAPURI RUMAH SELANGORKU JENIS TRIO (110 UNIT) DARI TINGKAT 8 HINGGA TINGKAT 12
C.	6 TINGKAT TEMPAT LETAK KENDERAAN DI TINGKAT 2 HINGGA 7
D.	1 TINGKAT KEMUDAHAN SOKONGAN YANG MENGANDUNGI SURAU LELAKI DAN PEREMPUAN, BILIK PENGURUSAN JENAZAH, PEJABAT PENGURUSAN, BILIK PETI SURAT, TADIKA, RUANG WARGA EMAS, RUANG MEDITASI, BILIK BACAAN/ MINI PERPUSTAKAAN, DEWAN SERBAGUNA, GIMNASIUM, KAFE/GERAI, TAMAN PERMAINAN DAN KOLAM RENANG DEWASA DAN KANAK-KANAK DI TINGKAT 1
E.	3 TINGKAT SUB BESMEN YANG MENGANDUNGI RUANG MEKANIKAL DAN TEMPAT LETAK KENDERAAN DI TINGKAT SB1 DAN HINGGA SB3
F.	1 UNIT PENCAWANG ELEKTRIK
G.	1 UNIT RUMAH SAMPAH
H.	1 UNIT PONDOK PENGAWAL
DI ATAS LOT 1289 DAN LOT 1290, JALAN PIPIT, BANDAR PUCHONG JAYA, SUBANG JAYA, MUKIM PETALING, DAERAH PETALING, SELANGOR DARUL EHSAN. 
UNTUK : TETUAN MERITTON PROPERTIES SDN. BHD. 
</t>
  </si>
  <si>
    <t>JAWATANKUASA TEKNIKAL</t>
  </si>
  <si>
    <t>PEMBANGUNAN KAWASAN SENSITIF ALAM SEKITAR</t>
  </si>
  <si>
    <t>NEGERI SELANGOR</t>
  </si>
  <si>
    <t xml:space="preserve">BILANGAN PERMOHONAN 2010 - OKTOBER 2025 </t>
  </si>
  <si>
    <t>TAHUN</t>
  </si>
  <si>
    <t>BIL PERMOHONAN</t>
  </si>
  <si>
    <t>JUMLAH</t>
  </si>
  <si>
    <t>JAWATANKUASA TEKNIKAL PEMBANGUNAN KAWASAN SENSITIF ALAM SEKITAR</t>
  </si>
  <si>
    <t>Januari</t>
  </si>
  <si>
    <t>NEGERI SELANGOR 2019-2022</t>
  </si>
  <si>
    <t>Jun</t>
  </si>
  <si>
    <t>H. Kes-Kes Lembaga Rayuan.</t>
  </si>
  <si>
    <t>Julai</t>
  </si>
  <si>
    <t>Ogos</t>
  </si>
  <si>
    <t>i.  Bersetuju</t>
  </si>
  <si>
    <t>:</t>
  </si>
  <si>
    <t>September</t>
  </si>
  <si>
    <t>ii. Ditangguhkan</t>
  </si>
  <si>
    <t>Oktober</t>
  </si>
  <si>
    <t>iii. Ditolak</t>
  </si>
  <si>
    <t>November</t>
  </si>
  <si>
    <t>iv.  Tarik Diri</t>
  </si>
  <si>
    <t>Disember</t>
  </si>
  <si>
    <t>BIL.</t>
  </si>
  <si>
    <t>PEMOHON</t>
  </si>
  <si>
    <t>PERKARA</t>
  </si>
  <si>
    <t>KEPUTUSAN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</si>
</sst>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EKOD PENDAFTARAN BAGI PERMOHONAN JKTPKSAS&quot;\ #####"/>
  </numFmts>
  <fonts count="27" x14ac:knownFonts="1">
    <font>
      <sz val="10"/>
      <name val="Arial"/>
    </font>
    <font>
      <sz val="11"/>
      <color theme="1"/>
      <name val="Calibri"/>
      <family val="2"/>
      <scheme val="minor"/>
    </font>
    <font>
      <sz val="10"/>
      <name val="Arial"/>
      <family val="2"/>
    </font>
    <font>
      <b/>
      <sz val="12"/>
      <name val="Century Gothic"/>
      <family val="2"/>
    </font>
    <font>
      <u/>
      <sz val="12"/>
      <name val="Century Gothic"/>
      <family val="2"/>
    </font>
    <font>
      <sz val="12"/>
      <name val="Century Gothic"/>
      <family val="2"/>
    </font>
    <font>
      <b/>
      <u/>
      <sz val="20"/>
      <name val="Century Gothic"/>
      <family val="2"/>
    </font>
    <font>
      <sz val="12"/>
      <color rgb="FFFF0000"/>
      <name val="Century Gothic"/>
      <family val="2"/>
    </font>
    <font>
      <sz val="14"/>
      <name val="Century Gothic"/>
      <family val="2"/>
    </font>
    <font>
      <sz val="10"/>
      <name val="Century Gothic"/>
      <family val="2"/>
    </font>
    <font>
      <b/>
      <sz val="14"/>
      <name val="Century Gothic"/>
      <family val="2"/>
    </font>
    <font>
      <b/>
      <sz val="22"/>
      <name val="Century Gothic"/>
      <family val="2"/>
    </font>
    <font>
      <b/>
      <sz val="13"/>
      <name val="Century Gothic"/>
      <family val="2"/>
    </font>
    <font>
      <b/>
      <sz val="10"/>
      <name val="Century Gothic"/>
      <family val="2"/>
    </font>
    <font>
      <b/>
      <sz val="12"/>
      <name val="Arial"/>
      <family val="2"/>
    </font>
    <font>
      <u/>
      <sz val="10"/>
      <color theme="10"/>
      <name val="Arial"/>
      <family val="2"/>
    </font>
    <font>
      <b/>
      <u/>
      <sz val="12"/>
      <name val="Century Gothic"/>
      <family val="2"/>
    </font>
    <font>
      <b/>
      <i/>
      <sz val="12"/>
      <name val="Century Gothic"/>
      <family val="2"/>
    </font>
    <font>
      <u/>
      <sz val="12"/>
      <color theme="10"/>
      <name val="Century Gothic"/>
      <family val="2"/>
    </font>
    <font>
      <b/>
      <sz val="14"/>
      <name val="Arial"/>
      <family val="2"/>
    </font>
    <font>
      <b/>
      <sz val="10"/>
      <name val="Arial"/>
      <family val="2"/>
    </font>
    <font>
      <sz val="8"/>
      <name val="Century Gothic"/>
      <family val="2"/>
    </font>
    <font>
      <sz val="12"/>
      <color theme="1"/>
      <name val="Century Gothic"/>
      <family val="2"/>
    </font>
    <font>
      <sz val="12"/>
      <color theme="0"/>
      <name val="Century Gothic"/>
      <family val="2"/>
    </font>
    <font>
      <sz val="12"/>
      <color rgb="FF000000"/>
      <name val="Century Gothic"/>
      <family val="2"/>
    </font>
    <font>
      <sz val="10"/>
      <color theme="0"/>
      <name val="Arial"/>
      <family val="2"/>
    </font>
    <font>
      <b/>
      <sz val="10"/>
      <color theme="0" tint="-0.14999847407452621"/>
      <name val="Arial"/>
      <family val="2"/>
    </font>
  </fonts>
  <fills count="23">
    <fill>
      <patternFill patternType="none"/>
    </fill>
    <fill>
      <patternFill patternType="gray125"/>
    </fill>
    <fill>
      <patternFill patternType="solid">
        <fgColor indexed="9"/>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39997558519241921"/>
        <bgColor indexed="64"/>
      </patternFill>
    </fill>
  </fills>
  <borders count="72">
    <border>
      <left/>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dashed">
        <color indexed="64"/>
      </top>
      <bottom style="dashed">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dashed">
        <color indexed="64"/>
      </right>
      <top style="dashed">
        <color indexed="64"/>
      </top>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dashed">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indexed="64"/>
      </right>
      <top/>
      <bottom/>
      <diagonal/>
    </border>
    <border>
      <left style="medium">
        <color indexed="64"/>
      </left>
      <right style="dashed">
        <color indexed="64"/>
      </right>
      <top/>
      <bottom style="dashed">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indexed="64"/>
      </right>
      <top/>
      <bottom/>
      <diagonal/>
    </border>
    <border>
      <left style="medium">
        <color indexed="64"/>
      </left>
      <right/>
      <top/>
      <bottom/>
      <diagonal/>
    </border>
    <border>
      <left/>
      <right/>
      <top style="dashed">
        <color indexed="64"/>
      </top>
      <bottom style="dashed">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s>
  <cellStyleXfs count="4">
    <xf numFmtId="0" fontId="0" fillId="0" borderId="0"/>
    <xf numFmtId="0" fontId="2" fillId="0" borderId="0"/>
    <xf numFmtId="0" fontId="1" fillId="0" borderId="0"/>
    <xf numFmtId="0" fontId="15" fillId="0" borderId="0" applyNumberFormat="0" applyFill="0" applyBorder="0" applyAlignment="0" applyProtection="0"/>
  </cellStyleXfs>
  <cellXfs count="400">
    <xf numFmtId="0" fontId="0" fillId="0" borderId="0" xfId="0"/>
    <xf numFmtId="0" fontId="3" fillId="0" borderId="9"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4" fillId="0" borderId="0" xfId="0" applyFont="1" applyAlignment="1" applyProtection="1">
      <alignment vertical="center"/>
      <protection locked="0"/>
    </xf>
    <xf numFmtId="0" fontId="5" fillId="0" borderId="0" xfId="0" applyFont="1" applyAlignment="1" applyProtection="1">
      <alignment vertic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6"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0" xfId="0" applyFont="1" applyBorder="1" applyAlignment="1" applyProtection="1">
      <alignment horizontal="center" vertical="center"/>
      <protection locked="0"/>
    </xf>
    <xf numFmtId="0" fontId="5" fillId="0" borderId="21" xfId="0" applyFont="1" applyBorder="1" applyAlignment="1" applyProtection="1">
      <alignment horizontal="center" vertical="center"/>
      <protection locked="0"/>
    </xf>
    <xf numFmtId="0" fontId="5" fillId="0" borderId="12" xfId="0" applyFont="1" applyBorder="1" applyAlignment="1" applyProtection="1">
      <alignment horizontal="left" vertical="top" wrapText="1"/>
      <protection locked="0"/>
    </xf>
    <xf numFmtId="0" fontId="5" fillId="0" borderId="22" xfId="0" applyFont="1" applyBorder="1" applyAlignment="1">
      <alignment horizontal="center" vertical="center"/>
    </xf>
    <xf numFmtId="0" fontId="5" fillId="0" borderId="22" xfId="0" applyFont="1" applyBorder="1" applyAlignment="1" applyProtection="1">
      <alignment horizontal="center" vertical="center"/>
      <protection locked="0"/>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3" xfId="0" applyFont="1" applyBorder="1" applyAlignment="1">
      <alignment vertical="center"/>
    </xf>
    <xf numFmtId="0" fontId="5" fillId="0" borderId="20" xfId="0" applyFont="1" applyBorder="1" applyAlignment="1">
      <alignment vertical="center"/>
    </xf>
    <xf numFmtId="0" fontId="5" fillId="0" borderId="14" xfId="0" applyFont="1" applyBorder="1" applyAlignment="1">
      <alignment vertical="center"/>
    </xf>
    <xf numFmtId="0" fontId="5" fillId="0" borderId="24" xfId="0" applyFont="1" applyBorder="1" applyAlignment="1">
      <alignment horizontal="center" vertical="center"/>
    </xf>
    <xf numFmtId="0" fontId="5" fillId="0" borderId="3" xfId="0" applyFont="1" applyBorder="1" applyAlignment="1">
      <alignment horizontal="left" vertical="center"/>
    </xf>
    <xf numFmtId="0" fontId="5" fillId="0" borderId="20" xfId="0" applyFont="1" applyBorder="1" applyAlignment="1">
      <alignment horizontal="left" vertical="center"/>
    </xf>
    <xf numFmtId="0" fontId="5" fillId="0" borderId="5" xfId="0" applyFont="1" applyBorder="1" applyAlignment="1">
      <alignment vertical="center"/>
    </xf>
    <xf numFmtId="0" fontId="5" fillId="0" borderId="3" xfId="0" applyFont="1" applyBorder="1" applyAlignment="1" applyProtection="1">
      <alignment horizontal="center" vertical="center"/>
      <protection locked="0"/>
    </xf>
    <xf numFmtId="0" fontId="5" fillId="0" borderId="26" xfId="0" applyFont="1" applyBorder="1" applyAlignment="1">
      <alignment vertical="center"/>
    </xf>
    <xf numFmtId="0" fontId="5" fillId="0" borderId="22" xfId="0" applyFont="1" applyBorder="1" applyAlignment="1" applyProtection="1">
      <alignment vertical="center"/>
      <protection locked="0"/>
    </xf>
    <xf numFmtId="0" fontId="5" fillId="0" borderId="22" xfId="0" applyFont="1" applyBorder="1" applyAlignment="1" applyProtection="1">
      <alignment horizontal="left" vertical="center"/>
      <protection locked="0"/>
    </xf>
    <xf numFmtId="0" fontId="5" fillId="0" borderId="0" xfId="0" applyFont="1" applyAlignment="1">
      <alignment horizontal="center" vertical="center"/>
    </xf>
    <xf numFmtId="0" fontId="5" fillId="0" borderId="18" xfId="0" applyFont="1" applyBorder="1" applyAlignment="1">
      <alignment vertical="center"/>
    </xf>
    <xf numFmtId="0" fontId="5" fillId="0" borderId="24" xfId="0" applyFont="1" applyBorder="1" applyAlignment="1" applyProtection="1">
      <alignment vertical="center"/>
      <protection locked="0"/>
    </xf>
    <xf numFmtId="0" fontId="7" fillId="0" borderId="20" xfId="0" applyFont="1" applyBorder="1" applyAlignment="1">
      <alignment horizontal="center" vertical="center"/>
    </xf>
    <xf numFmtId="0" fontId="7" fillId="0" borderId="20" xfId="0" applyFont="1" applyBorder="1" applyAlignment="1" applyProtection="1">
      <alignment horizontal="center" vertical="center"/>
      <protection locked="0"/>
    </xf>
    <xf numFmtId="0" fontId="7" fillId="0" borderId="12" xfId="0" applyFont="1" applyBorder="1" applyAlignment="1" applyProtection="1">
      <alignment horizontal="left" vertical="top" wrapText="1"/>
      <protection locked="0"/>
    </xf>
    <xf numFmtId="0" fontId="7"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7" fillId="0" borderId="20" xfId="0" applyFont="1" applyBorder="1" applyAlignment="1">
      <alignment vertical="center"/>
    </xf>
    <xf numFmtId="0" fontId="5" fillId="0" borderId="19" xfId="0" applyFont="1" applyBorder="1" applyAlignment="1">
      <alignment vertical="center"/>
    </xf>
    <xf numFmtId="0" fontId="5" fillId="0" borderId="13" xfId="0" applyFont="1" applyBorder="1" applyAlignment="1">
      <alignment vertical="center"/>
    </xf>
    <xf numFmtId="0" fontId="7" fillId="0" borderId="13" xfId="0" applyFont="1" applyBorder="1" applyAlignment="1">
      <alignment vertical="center"/>
    </xf>
    <xf numFmtId="0" fontId="7" fillId="0" borderId="14" xfId="0" applyFont="1" applyBorder="1" applyAlignment="1">
      <alignment horizontal="center" vertical="center"/>
    </xf>
    <xf numFmtId="0" fontId="7" fillId="0" borderId="14" xfId="0" applyFont="1" applyBorder="1" applyAlignment="1" applyProtection="1">
      <alignment horizontal="center" vertical="center"/>
      <protection locked="0"/>
    </xf>
    <xf numFmtId="0" fontId="7" fillId="0" borderId="22" xfId="0" applyFont="1" applyBorder="1" applyAlignment="1" applyProtection="1">
      <alignment vertical="center"/>
      <protection locked="0"/>
    </xf>
    <xf numFmtId="0" fontId="7" fillId="0" borderId="22" xfId="0" applyFont="1" applyBorder="1" applyAlignment="1">
      <alignment horizontal="center" vertical="center"/>
    </xf>
    <xf numFmtId="0" fontId="7" fillId="0" borderId="22" xfId="0" applyFont="1" applyBorder="1" applyAlignment="1" applyProtection="1">
      <alignment horizontal="center" vertical="center"/>
      <protection locked="0"/>
    </xf>
    <xf numFmtId="0" fontId="5" fillId="0" borderId="0" xfId="0" applyFont="1" applyAlignment="1">
      <alignment vertical="center"/>
    </xf>
    <xf numFmtId="0" fontId="5" fillId="0" borderId="20" xfId="0" applyFont="1" applyBorder="1" applyAlignment="1" applyProtection="1">
      <alignment vertical="center"/>
      <protection locked="0"/>
    </xf>
    <xf numFmtId="0" fontId="5" fillId="0" borderId="33" xfId="0" applyFont="1" applyBorder="1" applyAlignment="1">
      <alignment horizontal="center" vertical="center"/>
    </xf>
    <xf numFmtId="0" fontId="5" fillId="0" borderId="34" xfId="0" applyFont="1" applyBorder="1" applyAlignment="1" applyProtection="1">
      <alignment horizontal="center" vertical="center"/>
      <protection locked="0"/>
    </xf>
    <xf numFmtId="0" fontId="5" fillId="0" borderId="6" xfId="0" applyFont="1" applyBorder="1" applyAlignment="1">
      <alignment horizontal="center" vertical="center"/>
    </xf>
    <xf numFmtId="0" fontId="5" fillId="0" borderId="7" xfId="0" applyFont="1" applyBorder="1" applyAlignment="1">
      <alignment vertical="center"/>
    </xf>
    <xf numFmtId="0" fontId="5" fillId="0" borderId="7" xfId="0" applyFont="1" applyBorder="1" applyAlignment="1">
      <alignment horizontal="center" vertical="center"/>
    </xf>
    <xf numFmtId="0" fontId="5" fillId="0" borderId="35" xfId="0" applyFont="1" applyBorder="1" applyAlignment="1" applyProtection="1">
      <alignment horizontal="center" vertical="center"/>
      <protection locked="0"/>
    </xf>
    <xf numFmtId="0" fontId="5" fillId="0" borderId="37" xfId="0" applyFont="1" applyBorder="1" applyAlignment="1" applyProtection="1">
      <alignment horizontal="left" vertical="top" wrapText="1"/>
      <protection locked="0"/>
    </xf>
    <xf numFmtId="0" fontId="5" fillId="0" borderId="38" xfId="0" applyFont="1" applyBorder="1" applyAlignment="1" applyProtection="1">
      <alignment horizontal="left" vertical="top" wrapText="1"/>
      <protection locked="0"/>
    </xf>
    <xf numFmtId="0" fontId="5" fillId="0" borderId="39" xfId="0" applyFont="1" applyBorder="1" applyAlignment="1" applyProtection="1">
      <alignment horizontal="left" vertical="top" wrapText="1"/>
      <protection locked="0"/>
    </xf>
    <xf numFmtId="0" fontId="5" fillId="0" borderId="22" xfId="0" applyFont="1" applyBorder="1" applyAlignment="1">
      <alignment horizontal="left" vertical="center" wrapText="1"/>
    </xf>
    <xf numFmtId="0" fontId="5" fillId="0" borderId="6" xfId="0" applyFont="1" applyBorder="1" applyAlignment="1">
      <alignment vertical="center"/>
    </xf>
    <xf numFmtId="0" fontId="9" fillId="0" borderId="0" xfId="1" applyFont="1" applyProtection="1">
      <protection locked="0"/>
    </xf>
    <xf numFmtId="0" fontId="8" fillId="0" borderId="0" xfId="1" applyFont="1" applyProtection="1">
      <protection locked="0"/>
    </xf>
    <xf numFmtId="0" fontId="9" fillId="0" borderId="31" xfId="1" applyFont="1" applyBorder="1" applyProtection="1">
      <protection locked="0"/>
    </xf>
    <xf numFmtId="0" fontId="5" fillId="0" borderId="20" xfId="1" applyFont="1" applyBorder="1" applyAlignment="1" applyProtection="1">
      <alignment horizontal="center" vertical="center"/>
      <protection locked="0"/>
    </xf>
    <xf numFmtId="0" fontId="5" fillId="0" borderId="0" xfId="1" applyFont="1" applyProtection="1">
      <protection locked="0"/>
    </xf>
    <xf numFmtId="0" fontId="9" fillId="0" borderId="0" xfId="1" applyFont="1" applyAlignment="1" applyProtection="1">
      <alignment horizontal="center"/>
      <protection locked="0"/>
    </xf>
    <xf numFmtId="0" fontId="10" fillId="2" borderId="0" xfId="1" quotePrefix="1" applyFont="1" applyFill="1" applyAlignment="1">
      <alignment horizontal="left" vertical="center"/>
    </xf>
    <xf numFmtId="0" fontId="10" fillId="0" borderId="23" xfId="1" applyFont="1" applyBorder="1" applyAlignment="1">
      <alignment horizontal="center" vertical="center"/>
    </xf>
    <xf numFmtId="0" fontId="10" fillId="0" borderId="0" xfId="1" applyFont="1" applyAlignment="1">
      <alignment horizontal="left" vertical="center"/>
    </xf>
    <xf numFmtId="0" fontId="10" fillId="0" borderId="0" xfId="1" applyFont="1" applyAlignment="1">
      <alignment horizontal="center" vertical="center"/>
    </xf>
    <xf numFmtId="0" fontId="11" fillId="0" borderId="32" xfId="1" applyFont="1" applyBorder="1" applyAlignment="1">
      <alignment horizontal="center" vertical="center" wrapText="1"/>
    </xf>
    <xf numFmtId="0" fontId="11" fillId="0" borderId="31" xfId="1" applyFont="1" applyBorder="1" applyAlignment="1">
      <alignment horizontal="left" vertical="center" wrapText="1"/>
    </xf>
    <xf numFmtId="0" fontId="12" fillId="4" borderId="7" xfId="1" applyFont="1" applyFill="1" applyBorder="1" applyAlignment="1">
      <alignment horizontal="center" vertical="center"/>
    </xf>
    <xf numFmtId="0" fontId="12" fillId="4" borderId="20" xfId="1" applyFont="1" applyFill="1" applyBorder="1" applyAlignment="1">
      <alignment horizontal="center" vertical="center"/>
    </xf>
    <xf numFmtId="0" fontId="12" fillId="4" borderId="20" xfId="1" applyFont="1" applyFill="1" applyBorder="1" applyAlignment="1" applyProtection="1">
      <alignment horizontal="center" vertical="center"/>
      <protection locked="0"/>
    </xf>
    <xf numFmtId="0" fontId="5" fillId="0" borderId="20" xfId="0" applyFont="1" applyBorder="1"/>
    <xf numFmtId="0" fontId="5" fillId="0" borderId="14" xfId="0" applyFont="1" applyBorder="1" applyAlignment="1" applyProtection="1">
      <alignment horizontal="left" vertical="center"/>
      <protection locked="0"/>
    </xf>
    <xf numFmtId="0" fontId="5" fillId="0" borderId="30" xfId="0" applyFont="1" applyBorder="1"/>
    <xf numFmtId="0" fontId="5" fillId="0" borderId="20" xfId="0" applyFont="1" applyBorder="1" applyAlignment="1">
      <alignment wrapText="1"/>
    </xf>
    <xf numFmtId="0" fontId="5" fillId="0" borderId="0" xfId="0" applyFont="1" applyAlignment="1">
      <alignment horizontal="justify" vertical="center"/>
    </xf>
    <xf numFmtId="0" fontId="7" fillId="0" borderId="19" xfId="0" applyFont="1" applyBorder="1" applyAlignment="1">
      <alignment horizontal="center" vertical="center"/>
    </xf>
    <xf numFmtId="0" fontId="7" fillId="0" borderId="20" xfId="0" applyFont="1" applyBorder="1" applyAlignment="1" applyProtection="1">
      <alignment horizontal="left" vertical="center"/>
      <protection locked="0"/>
    </xf>
    <xf numFmtId="0" fontId="5" fillId="0" borderId="1" xfId="0" applyFont="1" applyBorder="1" applyAlignment="1" applyProtection="1">
      <alignment horizontal="center" vertical="center"/>
      <protection locked="0"/>
    </xf>
    <xf numFmtId="0" fontId="5" fillId="0" borderId="0" xfId="0" applyFont="1"/>
    <xf numFmtId="0" fontId="5" fillId="0" borderId="22" xfId="0" applyFont="1" applyBorder="1" applyAlignment="1" applyProtection="1">
      <alignment horizontal="left" vertical="center" wrapText="1"/>
      <protection locked="0"/>
    </xf>
    <xf numFmtId="0" fontId="5" fillId="0" borderId="0" xfId="0" applyFont="1" applyAlignment="1" applyProtection="1">
      <alignment horizontal="left" vertical="top" wrapText="1"/>
      <protection locked="0"/>
    </xf>
    <xf numFmtId="0" fontId="5" fillId="0" borderId="24" xfId="0" applyFont="1" applyBorder="1" applyAlignment="1" applyProtection="1">
      <alignment horizontal="left" vertical="center"/>
      <protection locked="0"/>
    </xf>
    <xf numFmtId="0" fontId="5" fillId="0" borderId="10" xfId="0" applyFont="1" applyBorder="1" applyAlignment="1" applyProtection="1">
      <alignment horizontal="left" vertical="center"/>
      <protection locked="0"/>
    </xf>
    <xf numFmtId="0" fontId="5" fillId="0" borderId="10" xfId="0" applyFont="1" applyBorder="1" applyAlignment="1">
      <alignment horizontal="center" vertical="center"/>
    </xf>
    <xf numFmtId="0" fontId="5" fillId="0" borderId="10" xfId="0" applyFont="1" applyBorder="1" applyAlignment="1" applyProtection="1">
      <alignment horizontal="center" vertical="center"/>
      <protection locked="0"/>
    </xf>
    <xf numFmtId="0" fontId="5" fillId="2" borderId="26" xfId="1" quotePrefix="1" applyFont="1" applyFill="1" applyBorder="1" applyAlignment="1" applyProtection="1">
      <alignment horizontal="left" vertical="center" wrapText="1"/>
      <protection locked="0"/>
    </xf>
    <xf numFmtId="0" fontId="12" fillId="4" borderId="26" xfId="1" applyFont="1" applyFill="1" applyBorder="1" applyAlignment="1">
      <alignment horizontal="center" vertical="center"/>
    </xf>
    <xf numFmtId="0" fontId="9" fillId="0" borderId="0" xfId="1" applyFont="1" applyAlignment="1" applyProtection="1">
      <alignment horizontal="left" vertical="center"/>
      <protection locked="0"/>
    </xf>
    <xf numFmtId="0" fontId="3" fillId="2" borderId="20" xfId="1" quotePrefix="1" applyFont="1" applyFill="1" applyBorder="1" applyAlignment="1" applyProtection="1">
      <alignment horizontal="center" vertical="center" wrapText="1"/>
      <protection locked="0"/>
    </xf>
    <xf numFmtId="0" fontId="13" fillId="0" borderId="0" xfId="1" applyFont="1" applyAlignment="1" applyProtection="1">
      <alignment horizontal="left"/>
      <protection locked="0"/>
    </xf>
    <xf numFmtId="0" fontId="13" fillId="0" borderId="0" xfId="1" applyFont="1" applyAlignment="1" applyProtection="1">
      <alignment horizontal="center" vertical="center"/>
      <protection locked="0"/>
    </xf>
    <xf numFmtId="0" fontId="13" fillId="0" borderId="0" xfId="1" applyFont="1" applyAlignment="1" applyProtection="1">
      <alignment horizontal="center"/>
      <protection locked="0"/>
    </xf>
    <xf numFmtId="0" fontId="13" fillId="0" borderId="31" xfId="1" applyFont="1" applyBorder="1" applyAlignment="1" applyProtection="1">
      <alignment horizontal="center"/>
      <protection locked="0"/>
    </xf>
    <xf numFmtId="0" fontId="5" fillId="0" borderId="8" xfId="0" applyFont="1" applyBorder="1" applyAlignment="1" applyProtection="1">
      <alignment horizontal="center" vertical="center"/>
      <protection locked="0"/>
    </xf>
    <xf numFmtId="0" fontId="5" fillId="0" borderId="21" xfId="0" applyFont="1" applyBorder="1"/>
    <xf numFmtId="0" fontId="5" fillId="0" borderId="28" xfId="0" applyFont="1" applyBorder="1"/>
    <xf numFmtId="0" fontId="3" fillId="2" borderId="20" xfId="1" quotePrefix="1" applyFont="1" applyFill="1" applyBorder="1" applyAlignment="1" applyProtection="1">
      <alignment horizontal="left" vertical="center" wrapText="1"/>
      <protection locked="0"/>
    </xf>
    <xf numFmtId="0" fontId="9" fillId="0" borderId="0" xfId="1" applyFont="1" applyAlignment="1" applyProtection="1">
      <alignment horizontal="left"/>
      <protection locked="0"/>
    </xf>
    <xf numFmtId="0" fontId="10" fillId="0" borderId="31" xfId="1" applyFont="1" applyBorder="1" applyAlignment="1">
      <alignment horizontal="center" vertical="center"/>
    </xf>
    <xf numFmtId="14" fontId="5" fillId="0" borderId="0" xfId="0" applyNumberFormat="1" applyFont="1" applyAlignment="1" applyProtection="1">
      <alignment horizontal="center" vertical="center"/>
      <protection locked="0"/>
    </xf>
    <xf numFmtId="0" fontId="5" fillId="0" borderId="3" xfId="0" applyFont="1" applyBorder="1" applyAlignment="1" applyProtection="1">
      <alignment horizontal="left" vertical="center"/>
      <protection locked="0"/>
    </xf>
    <xf numFmtId="0" fontId="5" fillId="0" borderId="20" xfId="0" applyFont="1" applyBorder="1" applyAlignment="1" applyProtection="1">
      <alignment horizontal="left" vertical="center" wrapText="1"/>
      <protection locked="0"/>
    </xf>
    <xf numFmtId="0" fontId="5" fillId="0" borderId="20" xfId="0" applyFont="1" applyBorder="1" applyAlignment="1" applyProtection="1">
      <alignment horizontal="left" vertical="center"/>
      <protection locked="0"/>
    </xf>
    <xf numFmtId="0" fontId="0" fillId="0" borderId="0" xfId="0" applyAlignment="1">
      <alignment horizontal="center" vertical="center"/>
    </xf>
    <xf numFmtId="0" fontId="5" fillId="0" borderId="0" xfId="0" applyFont="1" applyAlignment="1" applyProtection="1">
      <alignment horizontal="center" vertical="center" wrapText="1"/>
      <protection locked="0"/>
    </xf>
    <xf numFmtId="0" fontId="5" fillId="0" borderId="24"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17" xfId="0" applyFont="1" applyBorder="1" applyAlignment="1" applyProtection="1">
      <alignment horizontal="left" vertical="top" wrapText="1"/>
      <protection locked="0"/>
    </xf>
    <xf numFmtId="0" fontId="5" fillId="0" borderId="36" xfId="0" applyFont="1" applyBorder="1" applyAlignment="1" applyProtection="1">
      <alignment horizontal="left" vertical="top" wrapText="1"/>
      <protection locked="0"/>
    </xf>
    <xf numFmtId="0" fontId="5" fillId="0" borderId="4" xfId="0" applyFont="1" applyBorder="1" applyAlignment="1" applyProtection="1">
      <alignment horizontal="center" vertical="center"/>
      <protection locked="0"/>
    </xf>
    <xf numFmtId="0" fontId="5" fillId="0" borderId="0" xfId="0" applyFont="1" applyAlignment="1" applyProtection="1">
      <alignment vertical="top"/>
      <protection locked="0"/>
    </xf>
    <xf numFmtId="0" fontId="3" fillId="0" borderId="12" xfId="0" applyFont="1" applyBorder="1" applyAlignment="1" applyProtection="1">
      <alignment horizontal="center" vertical="top"/>
      <protection locked="0"/>
    </xf>
    <xf numFmtId="0" fontId="5" fillId="0" borderId="0" xfId="0" applyFont="1" applyAlignment="1">
      <alignment vertical="top" wrapText="1"/>
    </xf>
    <xf numFmtId="164" fontId="16" fillId="0" borderId="0" xfId="0" applyNumberFormat="1" applyFont="1" applyAlignment="1" applyProtection="1">
      <alignment horizontal="center" vertical="center"/>
      <protection locked="0"/>
    </xf>
    <xf numFmtId="0" fontId="5" fillId="0" borderId="0" xfId="0" applyFont="1" applyAlignment="1">
      <alignment horizontal="justify" vertical="top"/>
    </xf>
    <xf numFmtId="0" fontId="5" fillId="0" borderId="0" xfId="0" applyFont="1" applyAlignment="1">
      <alignment vertical="top"/>
    </xf>
    <xf numFmtId="0" fontId="18" fillId="0" borderId="0" xfId="3" applyFont="1" applyFill="1" applyBorder="1" applyAlignment="1" applyProtection="1">
      <alignment horizontal="center" vertical="center"/>
      <protection locked="0"/>
    </xf>
    <xf numFmtId="0" fontId="3" fillId="2" borderId="20" xfId="1" quotePrefix="1" applyFont="1" applyFill="1" applyBorder="1" applyAlignment="1" applyProtection="1">
      <alignment horizontal="center" vertical="top" wrapText="1"/>
      <protection locked="0"/>
    </xf>
    <xf numFmtId="0" fontId="20" fillId="9" borderId="40" xfId="0" applyFont="1" applyFill="1" applyBorder="1" applyAlignment="1">
      <alignment horizontal="center" vertical="center"/>
    </xf>
    <xf numFmtId="0" fontId="20" fillId="9" borderId="41" xfId="0" applyFont="1" applyFill="1" applyBorder="1" applyAlignment="1">
      <alignment horizontal="center" vertical="center"/>
    </xf>
    <xf numFmtId="0" fontId="5" fillId="0" borderId="14" xfId="0" applyFont="1" applyBorder="1" applyAlignment="1" applyProtection="1">
      <alignment horizontal="left" vertical="center" wrapText="1"/>
      <protection locked="0"/>
    </xf>
    <xf numFmtId="0" fontId="5" fillId="0" borderId="7" xfId="0" applyFont="1" applyBorder="1" applyAlignment="1" applyProtection="1">
      <alignment horizontal="left" vertical="center"/>
      <protection locked="0"/>
    </xf>
    <xf numFmtId="0" fontId="5" fillId="0" borderId="47" xfId="0" applyFont="1" applyBorder="1" applyAlignment="1">
      <alignment horizontal="center" vertical="center"/>
    </xf>
    <xf numFmtId="0" fontId="5" fillId="0" borderId="24" xfId="0" applyFont="1" applyBorder="1" applyAlignment="1" applyProtection="1">
      <alignment horizontal="left" vertical="center" wrapText="1"/>
      <protection locked="0"/>
    </xf>
    <xf numFmtId="0" fontId="5" fillId="0" borderId="48" xfId="0" applyFont="1" applyBorder="1" applyAlignment="1" applyProtection="1">
      <alignment horizontal="center" vertical="center"/>
      <protection locked="0"/>
    </xf>
    <xf numFmtId="0" fontId="5" fillId="0" borderId="14" xfId="0" applyFont="1" applyBorder="1" applyAlignment="1">
      <alignment horizontal="justify" vertical="center"/>
    </xf>
    <xf numFmtId="0" fontId="5" fillId="0" borderId="28" xfId="0" applyFont="1" applyBorder="1" applyAlignment="1" applyProtection="1">
      <alignment horizontal="center" vertical="center"/>
      <protection locked="0"/>
    </xf>
    <xf numFmtId="0" fontId="5" fillId="11" borderId="0" xfId="0" applyFont="1" applyFill="1"/>
    <xf numFmtId="0" fontId="5" fillId="0" borderId="21" xfId="0" applyFont="1" applyBorder="1" applyAlignment="1">
      <alignment horizontal="center" vertical="center"/>
    </xf>
    <xf numFmtId="0" fontId="5" fillId="12" borderId="22" xfId="0" applyFont="1" applyFill="1" applyBorder="1" applyAlignment="1">
      <alignment vertical="center"/>
    </xf>
    <xf numFmtId="17" fontId="5" fillId="0" borderId="0" xfId="0" applyNumberFormat="1" applyFont="1" applyAlignment="1" applyProtection="1">
      <alignment horizontal="center" vertical="center"/>
      <protection locked="0"/>
    </xf>
    <xf numFmtId="0" fontId="5" fillId="13" borderId="20" xfId="0" applyFont="1" applyFill="1" applyBorder="1" applyAlignment="1">
      <alignment vertical="center"/>
    </xf>
    <xf numFmtId="0" fontId="21" fillId="0" borderId="0" xfId="0" applyFont="1" applyAlignment="1" applyProtection="1">
      <alignment horizontal="center" vertical="center" wrapText="1"/>
      <protection locked="0"/>
    </xf>
    <xf numFmtId="0" fontId="5" fillId="14" borderId="22" xfId="0" applyFont="1" applyFill="1" applyBorder="1" applyAlignment="1" applyProtection="1">
      <alignment vertical="center"/>
      <protection locked="0"/>
    </xf>
    <xf numFmtId="0" fontId="5" fillId="14" borderId="20" xfId="0" applyFont="1" applyFill="1" applyBorder="1" applyAlignment="1">
      <alignment vertical="center"/>
    </xf>
    <xf numFmtId="0" fontId="5" fillId="12" borderId="24" xfId="0" applyFont="1" applyFill="1" applyBorder="1" applyAlignment="1">
      <alignment vertical="center"/>
    </xf>
    <xf numFmtId="0" fontId="5" fillId="0" borderId="50" xfId="0" applyFont="1" applyBorder="1" applyAlignment="1" applyProtection="1">
      <alignment horizontal="left" vertical="top" wrapText="1"/>
      <protection locked="0"/>
    </xf>
    <xf numFmtId="0" fontId="5" fillId="15" borderId="4" xfId="0" applyFont="1" applyFill="1" applyBorder="1" applyAlignment="1" applyProtection="1">
      <alignment horizontal="center" vertical="center"/>
      <protection locked="0"/>
    </xf>
    <xf numFmtId="0" fontId="5" fillId="15" borderId="21" xfId="0" applyFont="1" applyFill="1" applyBorder="1" applyAlignment="1" applyProtection="1">
      <alignment horizontal="center" vertical="center"/>
      <protection locked="0"/>
    </xf>
    <xf numFmtId="0" fontId="5" fillId="0" borderId="0" xfId="0" applyFont="1" applyAlignment="1">
      <alignment horizontal="justify" vertical="top" wrapText="1"/>
    </xf>
    <xf numFmtId="0" fontId="5" fillId="0" borderId="51" xfId="0" applyFont="1" applyBorder="1" applyAlignment="1">
      <alignment horizontal="justify" vertical="top" wrapText="1"/>
    </xf>
    <xf numFmtId="0" fontId="5" fillId="16" borderId="2" xfId="0" applyFont="1" applyFill="1" applyBorder="1" applyAlignment="1">
      <alignment horizontal="center" vertical="center"/>
    </xf>
    <xf numFmtId="0" fontId="5" fillId="16" borderId="3" xfId="0" applyFont="1" applyFill="1" applyBorder="1" applyAlignment="1" applyProtection="1">
      <alignment horizontal="left" vertical="center"/>
      <protection locked="0"/>
    </xf>
    <xf numFmtId="0" fontId="5" fillId="16" borderId="3" xfId="0" applyFont="1" applyFill="1" applyBorder="1" applyAlignment="1">
      <alignment horizontal="center" vertical="center"/>
    </xf>
    <xf numFmtId="0" fontId="5" fillId="16" borderId="3" xfId="0" applyFont="1" applyFill="1" applyBorder="1" applyAlignment="1" applyProtection="1">
      <alignment horizontal="center" vertical="center"/>
      <protection locked="0"/>
    </xf>
    <xf numFmtId="0" fontId="5" fillId="16" borderId="4" xfId="0" applyFont="1" applyFill="1" applyBorder="1" applyAlignment="1" applyProtection="1">
      <alignment horizontal="center" vertical="center"/>
      <protection locked="0"/>
    </xf>
    <xf numFmtId="0" fontId="5" fillId="16" borderId="19" xfId="0" applyFont="1" applyFill="1" applyBorder="1" applyAlignment="1">
      <alignment horizontal="center" vertical="center"/>
    </xf>
    <xf numFmtId="0" fontId="5" fillId="16" borderId="20" xfId="0" applyFont="1" applyFill="1" applyBorder="1" applyAlignment="1" applyProtection="1">
      <alignment horizontal="left" vertical="center"/>
      <protection locked="0"/>
    </xf>
    <xf numFmtId="0" fontId="5" fillId="16" borderId="20" xfId="0" applyFont="1" applyFill="1" applyBorder="1" applyAlignment="1">
      <alignment horizontal="center" vertical="center"/>
    </xf>
    <xf numFmtId="0" fontId="5" fillId="16" borderId="20" xfId="0" applyFont="1" applyFill="1" applyBorder="1" applyAlignment="1" applyProtection="1">
      <alignment horizontal="center" vertical="center"/>
      <protection locked="0"/>
    </xf>
    <xf numFmtId="0" fontId="5" fillId="16" borderId="21" xfId="0" applyFont="1" applyFill="1" applyBorder="1" applyAlignment="1" applyProtection="1">
      <alignment horizontal="center" vertical="center"/>
      <protection locked="0"/>
    </xf>
    <xf numFmtId="0" fontId="5" fillId="16" borderId="22" xfId="0" applyFont="1" applyFill="1" applyBorder="1" applyAlignment="1" applyProtection="1">
      <alignment horizontal="left" vertical="center"/>
      <protection locked="0"/>
    </xf>
    <xf numFmtId="0" fontId="5" fillId="16" borderId="22" xfId="0" applyFont="1" applyFill="1" applyBorder="1" applyAlignment="1">
      <alignment horizontal="center" vertical="center"/>
    </xf>
    <xf numFmtId="0" fontId="5" fillId="16" borderId="22" xfId="0" applyFont="1" applyFill="1" applyBorder="1" applyAlignment="1" applyProtection="1">
      <alignment horizontal="center" vertical="center"/>
      <protection locked="0"/>
    </xf>
    <xf numFmtId="0" fontId="5" fillId="16" borderId="13" xfId="0" applyFont="1" applyFill="1" applyBorder="1" applyAlignment="1">
      <alignment horizontal="center" vertical="center"/>
    </xf>
    <xf numFmtId="0" fontId="5" fillId="16" borderId="14" xfId="0" applyFont="1" applyFill="1" applyBorder="1" applyAlignment="1" applyProtection="1">
      <alignment horizontal="left" vertical="center"/>
      <protection locked="0"/>
    </xf>
    <xf numFmtId="0" fontId="5" fillId="16" borderId="14" xfId="0" applyFont="1" applyFill="1" applyBorder="1" applyAlignment="1">
      <alignment horizontal="center" vertical="center"/>
    </xf>
    <xf numFmtId="0" fontId="5" fillId="16" borderId="14" xfId="0" applyFont="1" applyFill="1" applyBorder="1" applyAlignment="1" applyProtection="1">
      <alignment horizontal="center" vertical="center"/>
      <protection locked="0"/>
    </xf>
    <xf numFmtId="0" fontId="5" fillId="16" borderId="15" xfId="0" applyFont="1" applyFill="1" applyBorder="1" applyAlignment="1" applyProtection="1">
      <alignment horizontal="center" vertical="center"/>
      <protection locked="0"/>
    </xf>
    <xf numFmtId="0" fontId="5" fillId="7" borderId="2" xfId="0" applyFont="1" applyFill="1" applyBorder="1" applyAlignment="1">
      <alignment horizontal="center" vertical="center"/>
    </xf>
    <xf numFmtId="0" fontId="5" fillId="7" borderId="3" xfId="0" applyFont="1" applyFill="1" applyBorder="1" applyAlignment="1" applyProtection="1">
      <alignment horizontal="left" vertical="center"/>
      <protection locked="0"/>
    </xf>
    <xf numFmtId="0" fontId="5" fillId="7" borderId="3" xfId="0" applyFont="1" applyFill="1" applyBorder="1" applyAlignment="1">
      <alignment horizontal="center" vertical="center"/>
    </xf>
    <xf numFmtId="0" fontId="5" fillId="7" borderId="3" xfId="0" applyFont="1" applyFill="1" applyBorder="1" applyAlignment="1" applyProtection="1">
      <alignment horizontal="center" vertical="center"/>
      <protection locked="0"/>
    </xf>
    <xf numFmtId="0" fontId="5" fillId="7" borderId="4" xfId="0" applyFont="1" applyFill="1" applyBorder="1" applyAlignment="1" applyProtection="1">
      <alignment horizontal="center" vertical="center"/>
      <protection locked="0"/>
    </xf>
    <xf numFmtId="0" fontId="5" fillId="7" borderId="19" xfId="0" applyFont="1" applyFill="1" applyBorder="1" applyAlignment="1">
      <alignment horizontal="center" vertical="center"/>
    </xf>
    <xf numFmtId="0" fontId="7" fillId="7" borderId="20" xfId="0" applyFont="1" applyFill="1" applyBorder="1" applyAlignment="1" applyProtection="1">
      <alignment horizontal="left" vertical="center"/>
      <protection locked="0"/>
    </xf>
    <xf numFmtId="0" fontId="5" fillId="7" borderId="20" xfId="0" applyFont="1" applyFill="1" applyBorder="1" applyAlignment="1">
      <alignment horizontal="center" vertical="center"/>
    </xf>
    <xf numFmtId="0" fontId="5" fillId="7" borderId="20" xfId="0" applyFont="1" applyFill="1" applyBorder="1" applyAlignment="1" applyProtection="1">
      <alignment horizontal="center" vertical="center"/>
      <protection locked="0"/>
    </xf>
    <xf numFmtId="0" fontId="5" fillId="7" borderId="21" xfId="0" applyFont="1" applyFill="1" applyBorder="1" applyAlignment="1" applyProtection="1">
      <alignment horizontal="center" vertical="center"/>
      <protection locked="0"/>
    </xf>
    <xf numFmtId="0" fontId="5" fillId="7" borderId="26" xfId="0" applyFont="1" applyFill="1" applyBorder="1" applyAlignment="1">
      <alignment vertical="center"/>
    </xf>
    <xf numFmtId="0" fontId="5" fillId="7" borderId="20" xfId="0" applyFont="1" applyFill="1" applyBorder="1" applyAlignment="1" applyProtection="1">
      <alignment horizontal="left" vertical="center"/>
      <protection locked="0"/>
    </xf>
    <xf numFmtId="0" fontId="5" fillId="7" borderId="13" xfId="0" applyFont="1" applyFill="1" applyBorder="1" applyAlignment="1">
      <alignment horizontal="center" vertical="center"/>
    </xf>
    <xf numFmtId="0" fontId="5" fillId="7" borderId="14" xfId="0" applyFont="1" applyFill="1" applyBorder="1" applyAlignment="1" applyProtection="1">
      <alignment horizontal="left" vertical="center"/>
      <protection locked="0"/>
    </xf>
    <xf numFmtId="0" fontId="5" fillId="7" borderId="14" xfId="0" applyFont="1" applyFill="1" applyBorder="1" applyAlignment="1">
      <alignment horizontal="center" vertical="center"/>
    </xf>
    <xf numFmtId="0" fontId="5" fillId="7" borderId="14" xfId="0" applyFont="1" applyFill="1" applyBorder="1" applyAlignment="1" applyProtection="1">
      <alignment horizontal="center" vertical="center"/>
      <protection locked="0"/>
    </xf>
    <xf numFmtId="0" fontId="5" fillId="7" borderId="15" xfId="0" applyFont="1" applyFill="1" applyBorder="1" applyAlignment="1" applyProtection="1">
      <alignment horizontal="center" vertical="center"/>
      <protection locked="0"/>
    </xf>
    <xf numFmtId="0" fontId="5" fillId="17" borderId="2" xfId="0" applyFont="1" applyFill="1" applyBorder="1" applyAlignment="1">
      <alignment horizontal="center" vertical="center"/>
    </xf>
    <xf numFmtId="0" fontId="5" fillId="17" borderId="3" xfId="0" applyFont="1" applyFill="1" applyBorder="1" applyAlignment="1" applyProtection="1">
      <alignment horizontal="left" vertical="center"/>
      <protection locked="0"/>
    </xf>
    <xf numFmtId="0" fontId="5" fillId="17" borderId="3" xfId="0" applyFont="1" applyFill="1" applyBorder="1" applyAlignment="1">
      <alignment horizontal="center" vertical="center"/>
    </xf>
    <xf numFmtId="0" fontId="5" fillId="17" borderId="3" xfId="0" applyFont="1" applyFill="1" applyBorder="1" applyAlignment="1" applyProtection="1">
      <alignment horizontal="center" vertical="center"/>
      <protection locked="0"/>
    </xf>
    <xf numFmtId="0" fontId="5" fillId="17" borderId="19" xfId="0" applyFont="1" applyFill="1" applyBorder="1" applyAlignment="1">
      <alignment horizontal="center" vertical="center"/>
    </xf>
    <xf numFmtId="0" fontId="5" fillId="17" borderId="20" xfId="0" applyFont="1" applyFill="1" applyBorder="1" applyAlignment="1" applyProtection="1">
      <alignment horizontal="left" vertical="center"/>
      <protection locked="0"/>
    </xf>
    <xf numFmtId="0" fontId="5" fillId="17" borderId="20" xfId="0" applyFont="1" applyFill="1" applyBorder="1" applyAlignment="1">
      <alignment horizontal="center" vertical="center"/>
    </xf>
    <xf numFmtId="0" fontId="5" fillId="17" borderId="20" xfId="0" applyFont="1" applyFill="1" applyBorder="1" applyAlignment="1" applyProtection="1">
      <alignment horizontal="center" vertical="center"/>
      <protection locked="0"/>
    </xf>
    <xf numFmtId="0" fontId="5" fillId="17" borderId="13" xfId="0" applyFont="1" applyFill="1" applyBorder="1" applyAlignment="1">
      <alignment horizontal="center" vertical="center"/>
    </xf>
    <xf numFmtId="0" fontId="5" fillId="17" borderId="14" xfId="0" applyFont="1" applyFill="1" applyBorder="1" applyAlignment="1" applyProtection="1">
      <alignment horizontal="left" vertical="center"/>
      <protection locked="0"/>
    </xf>
    <xf numFmtId="0" fontId="5" fillId="17" borderId="14" xfId="0" applyFont="1" applyFill="1" applyBorder="1" applyAlignment="1">
      <alignment horizontal="center" vertical="center"/>
    </xf>
    <xf numFmtId="0" fontId="5" fillId="17" borderId="14" xfId="0" applyFont="1" applyFill="1" applyBorder="1" applyAlignment="1" applyProtection="1">
      <alignment horizontal="center" vertical="center"/>
      <protection locked="0"/>
    </xf>
    <xf numFmtId="0" fontId="5" fillId="6" borderId="19" xfId="0" applyFont="1" applyFill="1" applyBorder="1" applyAlignment="1">
      <alignment horizontal="center" vertical="center"/>
    </xf>
    <xf numFmtId="0" fontId="5" fillId="6" borderId="20" xfId="0" applyFont="1" applyFill="1" applyBorder="1" applyAlignment="1">
      <alignment horizontal="justify" vertical="center"/>
    </xf>
    <xf numFmtId="0" fontId="5" fillId="6" borderId="22" xfId="0" applyFont="1" applyFill="1" applyBorder="1" applyAlignment="1">
      <alignment horizontal="center" vertical="center"/>
    </xf>
    <xf numFmtId="0" fontId="5" fillId="6" borderId="22" xfId="0" applyFont="1" applyFill="1" applyBorder="1" applyAlignment="1" applyProtection="1">
      <alignment horizontal="center" vertical="center"/>
      <protection locked="0"/>
    </xf>
    <xf numFmtId="0" fontId="5" fillId="6" borderId="20" xfId="0" applyFont="1" applyFill="1" applyBorder="1" applyAlignment="1">
      <alignment horizontal="center" vertical="center"/>
    </xf>
    <xf numFmtId="0" fontId="5" fillId="6" borderId="0" xfId="0" applyFont="1" applyFill="1"/>
    <xf numFmtId="0" fontId="5" fillId="6" borderId="22" xfId="0" applyFont="1" applyFill="1" applyBorder="1" applyAlignment="1" applyProtection="1">
      <alignment horizontal="left" vertical="center" wrapText="1"/>
      <protection locked="0"/>
    </xf>
    <xf numFmtId="0" fontId="5" fillId="6" borderId="20" xfId="0" applyFont="1" applyFill="1" applyBorder="1" applyAlignment="1" applyProtection="1">
      <alignment horizontal="center" vertical="center"/>
      <protection locked="0"/>
    </xf>
    <xf numFmtId="0" fontId="22" fillId="6" borderId="22" xfId="0" applyFont="1" applyFill="1" applyBorder="1" applyAlignment="1">
      <alignment horizontal="center" vertical="center"/>
    </xf>
    <xf numFmtId="0" fontId="5" fillId="6" borderId="20" xfId="0" applyFont="1" applyFill="1" applyBorder="1"/>
    <xf numFmtId="0" fontId="5" fillId="6" borderId="33" xfId="0" applyFont="1" applyFill="1" applyBorder="1" applyAlignment="1">
      <alignment horizontal="center" vertical="center"/>
    </xf>
    <xf numFmtId="0" fontId="5" fillId="7" borderId="21" xfId="0" applyFont="1" applyFill="1" applyBorder="1" applyAlignment="1" applyProtection="1">
      <alignment horizontal="center" vertical="center" wrapText="1"/>
      <protection locked="0"/>
    </xf>
    <xf numFmtId="0" fontId="21" fillId="0" borderId="0" xfId="0" applyFont="1" applyAlignment="1" applyProtection="1">
      <alignment horizontal="center" vertical="top" wrapText="1"/>
      <protection locked="0"/>
    </xf>
    <xf numFmtId="0" fontId="5" fillId="16" borderId="24" xfId="0" applyFont="1" applyFill="1" applyBorder="1" applyAlignment="1" applyProtection="1">
      <alignment horizontal="left" vertical="center"/>
      <protection locked="0"/>
    </xf>
    <xf numFmtId="0" fontId="5" fillId="16" borderId="24" xfId="0" applyFont="1" applyFill="1" applyBorder="1" applyAlignment="1">
      <alignment horizontal="center" vertical="center"/>
    </xf>
    <xf numFmtId="0" fontId="5" fillId="16" borderId="24" xfId="0" applyFont="1" applyFill="1" applyBorder="1" applyAlignment="1" applyProtection="1">
      <alignment horizontal="center" vertical="center"/>
      <protection locked="0"/>
    </xf>
    <xf numFmtId="0" fontId="5" fillId="16" borderId="6" xfId="0" applyFont="1" applyFill="1" applyBorder="1" applyAlignment="1">
      <alignment horizontal="center" vertical="center"/>
    </xf>
    <xf numFmtId="0" fontId="7" fillId="0" borderId="20" xfId="0" applyFont="1" applyBorder="1" applyAlignment="1">
      <alignment horizontal="left" vertical="center"/>
    </xf>
    <xf numFmtId="0" fontId="5" fillId="16" borderId="33" xfId="0" applyFont="1" applyFill="1" applyBorder="1" applyAlignment="1">
      <alignment horizontal="center" vertical="center"/>
    </xf>
    <xf numFmtId="0" fontId="5" fillId="14" borderId="2" xfId="0" applyFont="1" applyFill="1" applyBorder="1" applyAlignment="1">
      <alignment horizontal="center" vertical="center"/>
    </xf>
    <xf numFmtId="0" fontId="5" fillId="14" borderId="3" xfId="0" applyFont="1" applyFill="1" applyBorder="1" applyAlignment="1" applyProtection="1">
      <alignment horizontal="left" vertical="center"/>
      <protection locked="0"/>
    </xf>
    <xf numFmtId="0" fontId="5" fillId="14" borderId="10" xfId="0" applyFont="1" applyFill="1" applyBorder="1" applyAlignment="1">
      <alignment horizontal="center" vertical="center"/>
    </xf>
    <xf numFmtId="0" fontId="5" fillId="14" borderId="10" xfId="0" applyFont="1" applyFill="1" applyBorder="1" applyAlignment="1" applyProtection="1">
      <alignment horizontal="center" vertical="center"/>
      <protection locked="0"/>
    </xf>
    <xf numFmtId="0" fontId="5" fillId="14" borderId="4" xfId="0" applyFont="1" applyFill="1" applyBorder="1" applyAlignment="1" applyProtection="1">
      <alignment horizontal="center" vertical="center"/>
      <protection locked="0"/>
    </xf>
    <xf numFmtId="0" fontId="5" fillId="14" borderId="13" xfId="0" applyFont="1" applyFill="1" applyBorder="1" applyAlignment="1">
      <alignment horizontal="center" vertical="center"/>
    </xf>
    <xf numFmtId="0" fontId="5" fillId="14" borderId="14" xfId="0" applyFont="1" applyFill="1" applyBorder="1" applyAlignment="1" applyProtection="1">
      <alignment horizontal="left" vertical="center"/>
      <protection locked="0"/>
    </xf>
    <xf numFmtId="0" fontId="5" fillId="14" borderId="14" xfId="0" applyFont="1" applyFill="1" applyBorder="1" applyAlignment="1">
      <alignment horizontal="center" vertical="center"/>
    </xf>
    <xf numFmtId="0" fontId="5" fillId="14" borderId="14" xfId="0" applyFont="1" applyFill="1" applyBorder="1" applyAlignment="1" applyProtection="1">
      <alignment horizontal="center" vertical="center"/>
      <protection locked="0"/>
    </xf>
    <xf numFmtId="0" fontId="5" fillId="14" borderId="15" xfId="0" applyFont="1" applyFill="1" applyBorder="1" applyAlignment="1" applyProtection="1">
      <alignment horizontal="center" vertical="center"/>
      <protection locked="0"/>
    </xf>
    <xf numFmtId="0" fontId="5" fillId="18" borderId="14" xfId="0" applyFont="1" applyFill="1" applyBorder="1" applyAlignment="1" applyProtection="1">
      <alignment horizontal="left" vertical="center"/>
      <protection locked="0"/>
    </xf>
    <xf numFmtId="0" fontId="5" fillId="18" borderId="14" xfId="0" applyFont="1" applyFill="1" applyBorder="1" applyAlignment="1">
      <alignment horizontal="center" vertical="center"/>
    </xf>
    <xf numFmtId="0" fontId="5" fillId="18" borderId="14" xfId="0" applyFont="1" applyFill="1" applyBorder="1" applyAlignment="1" applyProtection="1">
      <alignment horizontal="center" vertical="center"/>
      <protection locked="0"/>
    </xf>
    <xf numFmtId="0" fontId="5" fillId="18" borderId="8" xfId="0" applyFont="1" applyFill="1" applyBorder="1" applyAlignment="1" applyProtection="1">
      <alignment horizontal="center" vertical="center"/>
      <protection locked="0"/>
    </xf>
    <xf numFmtId="0" fontId="5" fillId="18" borderId="21" xfId="0" applyFont="1" applyFill="1" applyBorder="1" applyAlignment="1" applyProtection="1">
      <alignment horizontal="center" vertical="center"/>
      <protection locked="0"/>
    </xf>
    <xf numFmtId="0" fontId="5" fillId="18" borderId="13" xfId="0" applyFont="1" applyFill="1" applyBorder="1" applyAlignment="1">
      <alignment horizontal="center" vertical="center"/>
    </xf>
    <xf numFmtId="0" fontId="23" fillId="0" borderId="22" xfId="0" applyFont="1" applyBorder="1" applyAlignment="1">
      <alignment horizontal="center" vertical="center"/>
    </xf>
    <xf numFmtId="0" fontId="5" fillId="15" borderId="2" xfId="0" applyFont="1" applyFill="1" applyBorder="1" applyAlignment="1">
      <alignment horizontal="center" vertical="center"/>
    </xf>
    <xf numFmtId="0" fontId="5" fillId="15" borderId="20" xfId="0" applyFont="1" applyFill="1" applyBorder="1" applyAlignment="1">
      <alignment horizontal="left" vertical="center"/>
    </xf>
    <xf numFmtId="0" fontId="5" fillId="15" borderId="22" xfId="0" applyFont="1" applyFill="1" applyBorder="1" applyAlignment="1">
      <alignment horizontal="center" vertical="center"/>
    </xf>
    <xf numFmtId="0" fontId="5" fillId="15" borderId="22" xfId="0" applyFont="1" applyFill="1" applyBorder="1" applyAlignment="1" applyProtection="1">
      <alignment horizontal="center" vertical="center"/>
      <protection locked="0"/>
    </xf>
    <xf numFmtId="0" fontId="5" fillId="15" borderId="24" xfId="0" applyFont="1" applyFill="1" applyBorder="1" applyAlignment="1">
      <alignment horizontal="center" vertical="center"/>
    </xf>
    <xf numFmtId="0" fontId="5" fillId="15" borderId="6" xfId="0" applyFont="1" applyFill="1" applyBorder="1" applyAlignment="1">
      <alignment horizontal="center" vertical="center"/>
    </xf>
    <xf numFmtId="0" fontId="5" fillId="15" borderId="22" xfId="0" applyFont="1" applyFill="1" applyBorder="1" applyAlignment="1" applyProtection="1">
      <alignment horizontal="left" vertical="center"/>
      <protection locked="0"/>
    </xf>
    <xf numFmtId="0" fontId="5" fillId="15" borderId="19"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2" xfId="0" applyFont="1" applyFill="1" applyBorder="1" applyAlignment="1" applyProtection="1">
      <alignment horizontal="center" vertical="center"/>
      <protection locked="0"/>
    </xf>
    <xf numFmtId="0" fontId="5" fillId="7" borderId="20" xfId="0" applyFont="1" applyFill="1" applyBorder="1" applyAlignment="1">
      <alignment horizontal="left" vertical="center"/>
    </xf>
    <xf numFmtId="0" fontId="5" fillId="17" borderId="22" xfId="0" applyFont="1" applyFill="1" applyBorder="1" applyAlignment="1">
      <alignment horizontal="center" vertical="center"/>
    </xf>
    <xf numFmtId="0" fontId="5" fillId="17" borderId="22" xfId="0" applyFont="1" applyFill="1" applyBorder="1" applyAlignment="1" applyProtection="1">
      <alignment horizontal="center" vertical="center"/>
      <protection locked="0"/>
    </xf>
    <xf numFmtId="0" fontId="24" fillId="17" borderId="20" xfId="0" applyFont="1" applyFill="1" applyBorder="1" applyAlignment="1">
      <alignment vertical="center"/>
    </xf>
    <xf numFmtId="0" fontId="5" fillId="8" borderId="21" xfId="0" applyFont="1" applyFill="1" applyBorder="1" applyAlignment="1" applyProtection="1">
      <alignment horizontal="center" vertical="center"/>
      <protection locked="0"/>
    </xf>
    <xf numFmtId="0" fontId="5" fillId="8" borderId="0" xfId="0" applyFont="1" applyFill="1" applyAlignment="1" applyProtection="1">
      <alignment horizontal="center" vertical="center"/>
      <protection locked="0"/>
    </xf>
    <xf numFmtId="0" fontId="5" fillId="8" borderId="12" xfId="0" quotePrefix="1" applyFont="1" applyFill="1" applyBorder="1" applyAlignment="1" applyProtection="1">
      <alignment horizontal="left" vertical="top" wrapText="1"/>
      <protection locked="0"/>
    </xf>
    <xf numFmtId="0" fontId="5" fillId="8" borderId="0" xfId="0" applyFont="1" applyFill="1" applyAlignment="1" applyProtection="1">
      <alignment vertical="center"/>
      <protection locked="0"/>
    </xf>
    <xf numFmtId="0" fontId="5" fillId="18" borderId="19" xfId="0" applyFont="1" applyFill="1" applyBorder="1" applyAlignment="1">
      <alignment horizontal="center" vertical="center"/>
    </xf>
    <xf numFmtId="0" fontId="5" fillId="18" borderId="22" xfId="0" applyFont="1" applyFill="1" applyBorder="1" applyAlignment="1" applyProtection="1">
      <alignment horizontal="left" vertical="center"/>
      <protection locked="0"/>
    </xf>
    <xf numFmtId="0" fontId="5" fillId="18" borderId="22" xfId="0" applyFont="1" applyFill="1" applyBorder="1" applyAlignment="1">
      <alignment horizontal="center" vertical="center"/>
    </xf>
    <xf numFmtId="0" fontId="5" fillId="18" borderId="22" xfId="0" applyFont="1" applyFill="1" applyBorder="1" applyAlignment="1" applyProtection="1">
      <alignment horizontal="center" vertical="center"/>
      <protection locked="0"/>
    </xf>
    <xf numFmtId="0" fontId="5" fillId="18" borderId="20" xfId="0" applyFont="1" applyFill="1" applyBorder="1" applyAlignment="1" applyProtection="1">
      <alignment horizontal="left" vertical="center"/>
      <protection locked="0"/>
    </xf>
    <xf numFmtId="0" fontId="5" fillId="0" borderId="0" xfId="0" applyFont="1" applyAlignment="1" applyProtection="1">
      <alignment vertical="top" wrapText="1"/>
      <protection locked="0"/>
    </xf>
    <xf numFmtId="0" fontId="5" fillId="10" borderId="19" xfId="0" applyFont="1" applyFill="1" applyBorder="1" applyAlignment="1">
      <alignment horizontal="center" vertical="center"/>
    </xf>
    <xf numFmtId="0" fontId="5" fillId="10" borderId="22" xfId="0" applyFont="1" applyFill="1" applyBorder="1" applyAlignment="1">
      <alignment horizontal="center" vertical="center"/>
    </xf>
    <xf numFmtId="0" fontId="5" fillId="10" borderId="22" xfId="0" applyFont="1" applyFill="1" applyBorder="1" applyAlignment="1" applyProtection="1">
      <alignment horizontal="center" vertical="center"/>
      <protection locked="0"/>
    </xf>
    <xf numFmtId="0" fontId="5" fillId="10" borderId="22" xfId="0" applyFont="1" applyFill="1" applyBorder="1" applyAlignment="1" applyProtection="1">
      <alignment horizontal="left" vertical="center"/>
      <protection locked="0"/>
    </xf>
    <xf numFmtId="0" fontId="5" fillId="18" borderId="2" xfId="0" applyFont="1" applyFill="1" applyBorder="1" applyAlignment="1">
      <alignment horizontal="center" vertical="center"/>
    </xf>
    <xf numFmtId="0" fontId="5" fillId="18" borderId="10" xfId="0" applyFont="1" applyFill="1" applyBorder="1" applyAlignment="1" applyProtection="1">
      <alignment horizontal="left" vertical="center"/>
      <protection locked="0"/>
    </xf>
    <xf numFmtId="0" fontId="5" fillId="18" borderId="10" xfId="0" applyFont="1" applyFill="1" applyBorder="1" applyAlignment="1">
      <alignment horizontal="center" vertical="center"/>
    </xf>
    <xf numFmtId="0" fontId="5" fillId="18" borderId="10" xfId="0" applyFont="1" applyFill="1" applyBorder="1" applyAlignment="1" applyProtection="1">
      <alignment horizontal="center" vertical="center"/>
      <protection locked="0"/>
    </xf>
    <xf numFmtId="0" fontId="5" fillId="10" borderId="2" xfId="0" applyFont="1" applyFill="1" applyBorder="1" applyAlignment="1">
      <alignment horizontal="center" vertical="center"/>
    </xf>
    <xf numFmtId="0" fontId="24" fillId="10" borderId="52" xfId="0" applyFont="1" applyFill="1" applyBorder="1" applyAlignment="1">
      <alignment vertical="center"/>
    </xf>
    <xf numFmtId="0" fontId="5" fillId="10" borderId="10" xfId="0" applyFont="1" applyFill="1" applyBorder="1" applyAlignment="1">
      <alignment horizontal="center" vertical="center"/>
    </xf>
    <xf numFmtId="0" fontId="5" fillId="10" borderId="10" xfId="0" applyFont="1" applyFill="1" applyBorder="1" applyAlignment="1" applyProtection="1">
      <alignment horizontal="center" vertical="center"/>
      <protection locked="0"/>
    </xf>
    <xf numFmtId="0" fontId="5" fillId="10" borderId="13" xfId="0" applyFont="1" applyFill="1" applyBorder="1" applyAlignment="1">
      <alignment horizontal="center" vertical="center"/>
    </xf>
    <xf numFmtId="0" fontId="5" fillId="10" borderId="14" xfId="0" applyFont="1" applyFill="1" applyBorder="1" applyAlignment="1" applyProtection="1">
      <alignment horizontal="left" vertical="center"/>
      <protection locked="0"/>
    </xf>
    <xf numFmtId="0" fontId="5" fillId="10" borderId="14" xfId="0" applyFont="1" applyFill="1" applyBorder="1" applyAlignment="1">
      <alignment horizontal="center" vertical="center"/>
    </xf>
    <xf numFmtId="0" fontId="5" fillId="10" borderId="14" xfId="0" applyFont="1" applyFill="1" applyBorder="1" applyAlignment="1" applyProtection="1">
      <alignment horizontal="center" vertical="center"/>
      <protection locked="0"/>
    </xf>
    <xf numFmtId="0" fontId="5" fillId="16" borderId="10" xfId="0" applyFont="1" applyFill="1" applyBorder="1" applyAlignment="1" applyProtection="1">
      <alignment horizontal="left" vertical="center"/>
      <protection locked="0"/>
    </xf>
    <xf numFmtId="0" fontId="5" fillId="16" borderId="10" xfId="0" applyFont="1" applyFill="1" applyBorder="1" applyAlignment="1">
      <alignment horizontal="center" vertical="center"/>
    </xf>
    <xf numFmtId="0" fontId="5" fillId="16" borderId="10" xfId="0" applyFont="1" applyFill="1" applyBorder="1" applyAlignment="1" applyProtection="1">
      <alignment horizontal="center" vertical="center"/>
      <protection locked="0"/>
    </xf>
    <xf numFmtId="0" fontId="5" fillId="17" borderId="3" xfId="0" applyFont="1" applyFill="1" applyBorder="1" applyAlignment="1">
      <alignment vertical="center"/>
    </xf>
    <xf numFmtId="0" fontId="5" fillId="17" borderId="10" xfId="0" applyFont="1" applyFill="1" applyBorder="1" applyAlignment="1">
      <alignment horizontal="center" vertical="center"/>
    </xf>
    <xf numFmtId="0" fontId="5" fillId="17" borderId="10" xfId="0" applyFont="1" applyFill="1" applyBorder="1" applyAlignment="1" applyProtection="1">
      <alignment horizontal="center" vertical="center"/>
      <protection locked="0"/>
    </xf>
    <xf numFmtId="0" fontId="5" fillId="17" borderId="14" xfId="0" applyFont="1" applyFill="1" applyBorder="1" applyAlignment="1">
      <alignment vertical="center"/>
    </xf>
    <xf numFmtId="0" fontId="5" fillId="7" borderId="10" xfId="0" applyFont="1" applyFill="1" applyBorder="1" applyAlignment="1" applyProtection="1">
      <alignment horizontal="left" vertical="center"/>
      <protection locked="0"/>
    </xf>
    <xf numFmtId="0" fontId="5" fillId="7" borderId="10" xfId="0" applyFont="1" applyFill="1" applyBorder="1" applyAlignment="1">
      <alignment horizontal="center" vertical="center"/>
    </xf>
    <xf numFmtId="0" fontId="5" fillId="7" borderId="10" xfId="0" applyFont="1" applyFill="1" applyBorder="1" applyAlignment="1" applyProtection="1">
      <alignment horizontal="center" vertical="center"/>
      <protection locked="0"/>
    </xf>
    <xf numFmtId="0" fontId="5" fillId="8" borderId="6" xfId="0" applyFont="1" applyFill="1" applyBorder="1" applyAlignment="1">
      <alignment horizontal="center" vertical="center"/>
    </xf>
    <xf numFmtId="0" fontId="5" fillId="8" borderId="24" xfId="0" applyFont="1" applyFill="1" applyBorder="1" applyAlignment="1" applyProtection="1">
      <alignment horizontal="left" vertical="center"/>
      <protection locked="0"/>
    </xf>
    <xf numFmtId="0" fontId="5" fillId="8" borderId="24" xfId="0" applyFont="1" applyFill="1" applyBorder="1" applyAlignment="1">
      <alignment horizontal="center" vertical="center"/>
    </xf>
    <xf numFmtId="0" fontId="5" fillId="8" borderId="24" xfId="0" applyFont="1" applyFill="1" applyBorder="1" applyAlignment="1" applyProtection="1">
      <alignment horizontal="center" vertical="center"/>
      <protection locked="0"/>
    </xf>
    <xf numFmtId="0" fontId="5" fillId="8" borderId="8" xfId="0" applyFont="1" applyFill="1" applyBorder="1" applyAlignment="1" applyProtection="1">
      <alignment horizontal="center" vertical="center"/>
      <protection locked="0"/>
    </xf>
    <xf numFmtId="0" fontId="5" fillId="8" borderId="19" xfId="0" applyFont="1" applyFill="1" applyBorder="1" applyAlignment="1">
      <alignment horizontal="center" vertical="center"/>
    </xf>
    <xf numFmtId="0" fontId="5" fillId="8" borderId="22" xfId="0" applyFont="1" applyFill="1" applyBorder="1" applyAlignment="1" applyProtection="1">
      <alignment horizontal="left" vertical="center"/>
      <protection locked="0"/>
    </xf>
    <xf numFmtId="0" fontId="5" fillId="8" borderId="22" xfId="0" applyFont="1" applyFill="1" applyBorder="1" applyAlignment="1">
      <alignment horizontal="center" vertical="center"/>
    </xf>
    <xf numFmtId="0" fontId="5" fillId="8" borderId="22" xfId="0" applyFont="1" applyFill="1" applyBorder="1" applyAlignment="1" applyProtection="1">
      <alignment horizontal="center" vertical="center"/>
      <protection locked="0"/>
    </xf>
    <xf numFmtId="0" fontId="5" fillId="7" borderId="27" xfId="0" applyFont="1" applyFill="1" applyBorder="1" applyAlignment="1">
      <alignment horizontal="left" vertical="center"/>
    </xf>
    <xf numFmtId="0" fontId="5" fillId="19" borderId="19" xfId="0" applyFont="1" applyFill="1" applyBorder="1" applyAlignment="1">
      <alignment horizontal="center" vertical="center"/>
    </xf>
    <xf numFmtId="0" fontId="5" fillId="19" borderId="22" xfId="0" applyFont="1" applyFill="1" applyBorder="1" applyAlignment="1" applyProtection="1">
      <alignment horizontal="left" vertical="center"/>
      <protection locked="0"/>
    </xf>
    <xf numFmtId="0" fontId="5" fillId="19" borderId="22" xfId="0" applyFont="1" applyFill="1" applyBorder="1" applyAlignment="1">
      <alignment horizontal="center" vertical="center"/>
    </xf>
    <xf numFmtId="0" fontId="5" fillId="19" borderId="22" xfId="0" applyFont="1" applyFill="1" applyBorder="1" applyAlignment="1" applyProtection="1">
      <alignment horizontal="center" vertical="center"/>
      <protection locked="0"/>
    </xf>
    <xf numFmtId="0" fontId="5" fillId="19" borderId="21" xfId="0" applyFont="1" applyFill="1" applyBorder="1" applyAlignment="1" applyProtection="1">
      <alignment horizontal="center" vertical="center"/>
      <protection locked="0"/>
    </xf>
    <xf numFmtId="0" fontId="5" fillId="20" borderId="19" xfId="0" applyFont="1" applyFill="1" applyBorder="1" applyAlignment="1">
      <alignment horizontal="center" vertical="center"/>
    </xf>
    <xf numFmtId="0" fontId="5" fillId="20" borderId="22" xfId="0" applyFont="1" applyFill="1" applyBorder="1" applyAlignment="1">
      <alignment horizontal="center" vertical="center"/>
    </xf>
    <xf numFmtId="0" fontId="5" fillId="20" borderId="22" xfId="0" applyFont="1" applyFill="1" applyBorder="1" applyAlignment="1" applyProtection="1">
      <alignment horizontal="center" vertical="center"/>
      <protection locked="0"/>
    </xf>
    <xf numFmtId="0" fontId="5" fillId="20" borderId="21" xfId="0" applyFont="1" applyFill="1" applyBorder="1" applyAlignment="1" applyProtection="1">
      <alignment horizontal="center" vertical="center"/>
      <protection locked="0"/>
    </xf>
    <xf numFmtId="0" fontId="5" fillId="20" borderId="22" xfId="0" applyFont="1" applyFill="1" applyBorder="1" applyAlignment="1" applyProtection="1">
      <alignment horizontal="left" vertical="center"/>
      <protection locked="0"/>
    </xf>
    <xf numFmtId="0" fontId="5" fillId="7" borderId="22" xfId="0" applyFont="1" applyFill="1" applyBorder="1" applyAlignment="1" applyProtection="1">
      <alignment horizontal="left" vertical="center"/>
      <protection locked="0"/>
    </xf>
    <xf numFmtId="0" fontId="5" fillId="17" borderId="22" xfId="0" applyFont="1" applyFill="1" applyBorder="1" applyAlignment="1" applyProtection="1">
      <alignment horizontal="left" vertical="center"/>
      <protection locked="0"/>
    </xf>
    <xf numFmtId="0" fontId="5" fillId="8" borderId="12" xfId="0" applyFont="1" applyFill="1" applyBorder="1" applyAlignment="1" applyProtection="1">
      <alignment horizontal="left" vertical="top" wrapText="1"/>
      <protection locked="0"/>
    </xf>
    <xf numFmtId="0" fontId="14" fillId="0" borderId="0" xfId="0" applyFont="1" applyAlignment="1">
      <alignment horizontal="center" vertical="center"/>
    </xf>
    <xf numFmtId="0" fontId="3" fillId="10" borderId="55" xfId="0" applyFont="1" applyFill="1" applyBorder="1" applyAlignment="1" applyProtection="1">
      <alignment horizontal="center" vertical="center"/>
      <protection locked="0"/>
    </xf>
    <xf numFmtId="0" fontId="3" fillId="10" borderId="56" xfId="0" applyFont="1" applyFill="1" applyBorder="1" applyAlignment="1" applyProtection="1">
      <alignment horizontal="center" vertical="center"/>
      <protection locked="0"/>
    </xf>
    <xf numFmtId="0" fontId="3" fillId="10" borderId="57" xfId="0" applyFont="1" applyFill="1" applyBorder="1" applyAlignment="1" applyProtection="1">
      <alignment horizontal="center" vertical="center"/>
      <protection locked="0"/>
    </xf>
    <xf numFmtId="0" fontId="20" fillId="0" borderId="44" xfId="0" applyFont="1" applyBorder="1" applyAlignment="1">
      <alignment horizontal="center" vertical="center"/>
    </xf>
    <xf numFmtId="0" fontId="20" fillId="0" borderId="42" xfId="0" applyFont="1" applyBorder="1" applyAlignment="1">
      <alignment horizontal="center" vertical="center"/>
    </xf>
    <xf numFmtId="0" fontId="20" fillId="0" borderId="45" xfId="0" applyFont="1" applyBorder="1" applyAlignment="1">
      <alignment horizontal="center" vertical="center"/>
    </xf>
    <xf numFmtId="0" fontId="20" fillId="0" borderId="43" xfId="0" applyFont="1" applyBorder="1" applyAlignment="1">
      <alignment horizontal="center" vertical="center"/>
    </xf>
    <xf numFmtId="0" fontId="20" fillId="0" borderId="46" xfId="0" applyFont="1" applyBorder="1" applyAlignment="1">
      <alignment horizontal="center" vertical="center"/>
    </xf>
    <xf numFmtId="0" fontId="19" fillId="0" borderId="0" xfId="0" applyFont="1"/>
    <xf numFmtId="0" fontId="14" fillId="0" borderId="0" xfId="0" applyFont="1" applyAlignment="1">
      <alignment vertical="center"/>
    </xf>
    <xf numFmtId="0" fontId="20" fillId="0" borderId="0" xfId="0" applyFont="1" applyAlignment="1">
      <alignment horizontal="center" vertical="center"/>
    </xf>
    <xf numFmtId="0" fontId="20" fillId="0" borderId="61" xfId="0" applyFont="1" applyBorder="1" applyAlignment="1">
      <alignment horizontal="center" vertical="center"/>
    </xf>
    <xf numFmtId="0" fontId="20" fillId="0" borderId="62" xfId="0" applyFont="1" applyBorder="1" applyAlignment="1">
      <alignment horizontal="center" vertical="center"/>
    </xf>
    <xf numFmtId="0" fontId="20" fillId="0" borderId="63" xfId="0" applyFont="1" applyBorder="1" applyAlignment="1">
      <alignment horizontal="center" vertical="center"/>
    </xf>
    <xf numFmtId="0" fontId="20" fillId="0" borderId="64" xfId="0" applyFont="1" applyBorder="1" applyAlignment="1">
      <alignment horizontal="center" vertical="center"/>
    </xf>
    <xf numFmtId="0" fontId="20" fillId="0" borderId="65" xfId="0" applyFont="1" applyBorder="1" applyAlignment="1">
      <alignment horizontal="center" vertical="center"/>
    </xf>
    <xf numFmtId="0" fontId="20" fillId="0" borderId="66" xfId="0" applyFont="1" applyBorder="1" applyAlignment="1">
      <alignment horizontal="center" vertical="center"/>
    </xf>
    <xf numFmtId="0" fontId="20" fillId="0" borderId="58" xfId="0" applyFont="1" applyBorder="1" applyAlignment="1">
      <alignment horizontal="center" vertical="center"/>
    </xf>
    <xf numFmtId="0" fontId="20" fillId="0" borderId="59" xfId="0" applyFont="1" applyBorder="1" applyAlignment="1">
      <alignment horizontal="center" vertical="center"/>
    </xf>
    <xf numFmtId="0" fontId="20" fillId="0" borderId="55" xfId="0" applyFont="1" applyBorder="1" applyAlignment="1">
      <alignment horizontal="center" vertical="center"/>
    </xf>
    <xf numFmtId="0" fontId="20" fillId="0" borderId="56" xfId="0" applyFont="1" applyBorder="1" applyAlignment="1">
      <alignment horizontal="center" vertical="center"/>
    </xf>
    <xf numFmtId="0" fontId="20" fillId="0" borderId="57" xfId="0" applyFont="1" applyBorder="1" applyAlignment="1">
      <alignment horizontal="center" vertical="center"/>
    </xf>
    <xf numFmtId="0" fontId="25" fillId="0" borderId="0" xfId="0" applyFont="1"/>
    <xf numFmtId="0" fontId="26" fillId="0" borderId="59" xfId="0" applyFont="1" applyBorder="1" applyAlignment="1">
      <alignment horizontal="center" vertical="center"/>
    </xf>
    <xf numFmtId="0" fontId="26" fillId="0" borderId="60" xfId="0" applyFont="1" applyBorder="1" applyAlignment="1">
      <alignment horizontal="center" vertical="center"/>
    </xf>
    <xf numFmtId="0" fontId="26" fillId="0" borderId="63" xfId="0" applyFont="1" applyBorder="1" applyAlignment="1">
      <alignment horizontal="center" vertical="center"/>
    </xf>
    <xf numFmtId="0" fontId="26" fillId="0" borderId="62" xfId="0" applyFont="1" applyBorder="1" applyAlignment="1">
      <alignment horizontal="center" vertical="center"/>
    </xf>
    <xf numFmtId="0" fontId="20" fillId="0" borderId="69" xfId="0" applyFont="1" applyBorder="1" applyAlignment="1">
      <alignment horizontal="center" vertical="center"/>
    </xf>
    <xf numFmtId="0" fontId="20" fillId="0" borderId="70" xfId="0" applyFont="1" applyBorder="1" applyAlignment="1">
      <alignment horizontal="center" vertical="center"/>
    </xf>
    <xf numFmtId="0" fontId="20" fillId="0" borderId="71" xfId="0" applyFont="1" applyBorder="1" applyAlignment="1">
      <alignment horizontal="center" vertical="center"/>
    </xf>
    <xf numFmtId="0" fontId="5" fillId="5" borderId="19" xfId="0" applyFont="1" applyFill="1" applyBorder="1" applyAlignment="1">
      <alignment horizontal="center" vertical="center"/>
    </xf>
    <xf numFmtId="0" fontId="5" fillId="5" borderId="22" xfId="0" applyFont="1" applyFill="1" applyBorder="1" applyAlignment="1" applyProtection="1">
      <alignment horizontal="left" vertical="center"/>
      <protection locked="0"/>
    </xf>
    <xf numFmtId="0" fontId="5" fillId="5" borderId="22" xfId="0" applyFont="1" applyFill="1" applyBorder="1" applyAlignment="1">
      <alignment horizontal="center" vertical="center"/>
    </xf>
    <xf numFmtId="0" fontId="5" fillId="5" borderId="22" xfId="0" applyFont="1" applyFill="1" applyBorder="1" applyAlignment="1" applyProtection="1">
      <alignment horizontal="center" vertical="center"/>
      <protection locked="0"/>
    </xf>
    <xf numFmtId="0" fontId="5" fillId="6" borderId="22" xfId="0" applyFont="1" applyFill="1" applyBorder="1" applyAlignment="1" applyProtection="1">
      <alignment horizontal="left" vertical="center"/>
      <protection locked="0"/>
    </xf>
    <xf numFmtId="0" fontId="5" fillId="6" borderId="21" xfId="0" applyFont="1" applyFill="1" applyBorder="1" applyAlignment="1" applyProtection="1">
      <alignment horizontal="center" vertical="center"/>
      <protection locked="0"/>
    </xf>
    <xf numFmtId="0" fontId="5" fillId="6" borderId="2" xfId="0" applyFont="1" applyFill="1" applyBorder="1" applyAlignment="1">
      <alignment horizontal="center" vertical="center"/>
    </xf>
    <xf numFmtId="0" fontId="5" fillId="6" borderId="10" xfId="0" applyFont="1" applyFill="1" applyBorder="1" applyAlignment="1" applyProtection="1">
      <alignment horizontal="left" vertical="center"/>
      <protection locked="0"/>
    </xf>
    <xf numFmtId="0" fontId="5" fillId="6" borderId="10" xfId="0" applyFont="1" applyFill="1" applyBorder="1" applyAlignment="1">
      <alignment horizontal="center" vertical="center"/>
    </xf>
    <xf numFmtId="0" fontId="5" fillId="6" borderId="10" xfId="0" applyFont="1" applyFill="1" applyBorder="1" applyAlignment="1" applyProtection="1">
      <alignment horizontal="center" vertical="center"/>
      <protection locked="0"/>
    </xf>
    <xf numFmtId="0" fontId="5" fillId="6" borderId="4" xfId="0" applyFont="1" applyFill="1" applyBorder="1" applyAlignment="1" applyProtection="1">
      <alignment horizontal="center" vertical="center"/>
      <protection locked="0"/>
    </xf>
    <xf numFmtId="0" fontId="5" fillId="6" borderId="13" xfId="0" applyFont="1" applyFill="1" applyBorder="1" applyAlignment="1">
      <alignment horizontal="center" vertical="center"/>
    </xf>
    <xf numFmtId="0" fontId="5" fillId="6" borderId="14" xfId="0" applyFont="1" applyFill="1" applyBorder="1" applyAlignment="1" applyProtection="1">
      <alignment horizontal="left" vertical="center"/>
      <protection locked="0"/>
    </xf>
    <xf numFmtId="0" fontId="5" fillId="6" borderId="14" xfId="0" applyFont="1" applyFill="1" applyBorder="1" applyAlignment="1">
      <alignment horizontal="center" vertical="center"/>
    </xf>
    <xf numFmtId="0" fontId="5" fillId="6" borderId="14" xfId="0" applyFont="1" applyFill="1" applyBorder="1" applyAlignment="1" applyProtection="1">
      <alignment horizontal="center" vertical="center"/>
      <protection locked="0"/>
    </xf>
    <xf numFmtId="0" fontId="5" fillId="6" borderId="15" xfId="0" applyFont="1" applyFill="1" applyBorder="1" applyAlignment="1" applyProtection="1">
      <alignment horizontal="center" vertical="center"/>
      <protection locked="0"/>
    </xf>
    <xf numFmtId="0" fontId="5" fillId="7" borderId="24" xfId="0" applyFont="1" applyFill="1" applyBorder="1" applyAlignment="1" applyProtection="1">
      <alignment horizontal="center" vertical="center"/>
      <protection locked="0"/>
    </xf>
    <xf numFmtId="0" fontId="5" fillId="7" borderId="6" xfId="0" applyFont="1" applyFill="1" applyBorder="1" applyAlignment="1">
      <alignment horizontal="center" vertical="center"/>
    </xf>
    <xf numFmtId="0" fontId="5" fillId="7" borderId="24" xfId="0" applyFont="1" applyFill="1" applyBorder="1" applyAlignment="1" applyProtection="1">
      <alignment horizontal="left" vertical="center"/>
      <protection locked="0"/>
    </xf>
    <xf numFmtId="0" fontId="5" fillId="7" borderId="24" xfId="0" applyFont="1" applyFill="1" applyBorder="1" applyAlignment="1">
      <alignment horizontal="center" vertical="center"/>
    </xf>
    <xf numFmtId="0" fontId="5" fillId="7" borderId="8" xfId="0" applyFont="1" applyFill="1" applyBorder="1" applyAlignment="1" applyProtection="1">
      <alignment horizontal="center" vertical="center"/>
      <protection locked="0"/>
    </xf>
    <xf numFmtId="0" fontId="5" fillId="21" borderId="19" xfId="0" applyFont="1" applyFill="1" applyBorder="1" applyAlignment="1">
      <alignment horizontal="center" vertical="center"/>
    </xf>
    <xf numFmtId="0" fontId="5" fillId="21" borderId="22" xfId="0" applyFont="1" applyFill="1" applyBorder="1" applyAlignment="1" applyProtection="1">
      <alignment horizontal="left" vertical="center"/>
      <protection locked="0"/>
    </xf>
    <xf numFmtId="0" fontId="5" fillId="21" borderId="22" xfId="0" applyFont="1" applyFill="1" applyBorder="1" applyAlignment="1">
      <alignment horizontal="center" vertical="center"/>
    </xf>
    <xf numFmtId="0" fontId="5" fillId="21" borderId="22" xfId="0" applyFont="1" applyFill="1" applyBorder="1" applyAlignment="1" applyProtection="1">
      <alignment horizontal="center" vertical="center"/>
      <protection locked="0"/>
    </xf>
    <xf numFmtId="0" fontId="5" fillId="21" borderId="21" xfId="0" applyFont="1" applyFill="1" applyBorder="1" applyAlignment="1" applyProtection="1">
      <alignment horizontal="center" vertical="center"/>
      <protection locked="0"/>
    </xf>
    <xf numFmtId="0" fontId="5" fillId="22" borderId="19" xfId="0" applyFont="1" applyFill="1" applyBorder="1" applyAlignment="1">
      <alignment horizontal="center" vertical="center"/>
    </xf>
    <xf numFmtId="0" fontId="5" fillId="22" borderId="22" xfId="0" applyFont="1" applyFill="1" applyBorder="1" applyAlignment="1" applyProtection="1">
      <alignment horizontal="left" vertical="center"/>
      <protection locked="0"/>
    </xf>
    <xf numFmtId="0" fontId="5" fillId="22" borderId="22" xfId="0" applyFont="1" applyFill="1" applyBorder="1" applyAlignment="1">
      <alignment horizontal="center" vertical="center"/>
    </xf>
    <xf numFmtId="0" fontId="5" fillId="22" borderId="22" xfId="0" applyFont="1" applyFill="1" applyBorder="1" applyAlignment="1" applyProtection="1">
      <alignment horizontal="center" vertical="center"/>
      <protection locked="0"/>
    </xf>
    <xf numFmtId="0" fontId="5" fillId="4" borderId="19" xfId="0" applyFont="1" applyFill="1" applyBorder="1" applyAlignment="1">
      <alignment horizontal="center" vertical="center"/>
    </xf>
    <xf numFmtId="0" fontId="5" fillId="4" borderId="22" xfId="0" applyFont="1" applyFill="1" applyBorder="1" applyAlignment="1" applyProtection="1">
      <alignment horizontal="left" vertical="center"/>
      <protection locked="0"/>
    </xf>
    <xf numFmtId="0" fontId="5" fillId="4" borderId="22" xfId="0" applyFont="1" applyFill="1" applyBorder="1" applyAlignment="1">
      <alignment horizontal="center" vertical="center"/>
    </xf>
    <xf numFmtId="0" fontId="5" fillId="4" borderId="22" xfId="0" applyFont="1" applyFill="1" applyBorder="1" applyAlignment="1" applyProtection="1">
      <alignment horizontal="center" vertical="center"/>
      <protection locked="0"/>
    </xf>
    <xf numFmtId="0" fontId="24" fillId="4" borderId="19" xfId="0" applyFont="1" applyFill="1" applyBorder="1" applyAlignment="1">
      <alignment horizontal="center" vertical="center"/>
    </xf>
    <xf numFmtId="0" fontId="5" fillId="8" borderId="20" xfId="0" applyFont="1" applyFill="1" applyBorder="1" applyAlignment="1" applyProtection="1">
      <alignment horizontal="left" vertical="center"/>
      <protection locked="0"/>
    </xf>
    <xf numFmtId="0" fontId="5" fillId="8" borderId="20" xfId="0" applyFont="1" applyFill="1" applyBorder="1" applyAlignment="1" applyProtection="1">
      <alignment horizontal="center" vertical="center"/>
      <protection locked="0"/>
    </xf>
    <xf numFmtId="0" fontId="7" fillId="0" borderId="22" xfId="0" applyFont="1" applyBorder="1" applyAlignment="1" applyProtection="1">
      <alignment horizontal="left" vertical="center"/>
      <protection locked="0"/>
    </xf>
    <xf numFmtId="164" fontId="6" fillId="0" borderId="0" xfId="0" applyNumberFormat="1" applyFont="1" applyAlignment="1" applyProtection="1">
      <alignment horizontal="center" vertical="center"/>
      <protection locked="0"/>
    </xf>
    <xf numFmtId="0" fontId="5" fillId="0" borderId="17" xfId="0" applyFont="1" applyBorder="1" applyAlignment="1" applyProtection="1">
      <alignment horizontal="left" vertical="top" wrapText="1"/>
      <protection locked="0"/>
    </xf>
    <xf numFmtId="0" fontId="5" fillId="0" borderId="36" xfId="0" applyFont="1" applyBorder="1" applyAlignment="1" applyProtection="1">
      <alignment horizontal="left" vertical="top" wrapText="1"/>
      <protection locked="0"/>
    </xf>
    <xf numFmtId="0" fontId="5" fillId="0" borderId="29"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49" xfId="0" applyFont="1" applyBorder="1" applyAlignment="1" applyProtection="1">
      <alignment horizontal="center" vertical="center"/>
      <protection locked="0"/>
    </xf>
    <xf numFmtId="17" fontId="5" fillId="0" borderId="49" xfId="0" applyNumberFormat="1" applyFont="1" applyBorder="1" applyAlignment="1" applyProtection="1">
      <alignment horizontal="center" vertical="center" wrapText="1"/>
      <protection locked="0"/>
    </xf>
    <xf numFmtId="17" fontId="5" fillId="0" borderId="49" xfId="0" applyNumberFormat="1" applyFont="1" applyBorder="1" applyAlignment="1" applyProtection="1">
      <alignment horizontal="center" vertical="center"/>
      <protection locked="0"/>
    </xf>
    <xf numFmtId="0" fontId="20" fillId="0" borderId="54" xfId="0" applyFont="1" applyBorder="1" applyAlignment="1">
      <alignment horizontal="center" vertical="center"/>
    </xf>
    <xf numFmtId="0" fontId="20" fillId="0" borderId="53" xfId="0" applyFont="1" applyBorder="1" applyAlignment="1">
      <alignment horizontal="center" vertical="center"/>
    </xf>
    <xf numFmtId="0" fontId="20" fillId="0" borderId="41"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xf>
    <xf numFmtId="0" fontId="20" fillId="0" borderId="67" xfId="0" applyFont="1" applyBorder="1" applyAlignment="1">
      <alignment horizontal="center" vertical="center"/>
    </xf>
    <xf numFmtId="0" fontId="20" fillId="0" borderId="68" xfId="0" applyFont="1" applyBorder="1" applyAlignment="1">
      <alignment horizontal="center" vertical="center"/>
    </xf>
    <xf numFmtId="0" fontId="20" fillId="0" borderId="52" xfId="0" applyFont="1" applyBorder="1" applyAlignment="1">
      <alignment horizontal="center" vertical="center"/>
    </xf>
    <xf numFmtId="0" fontId="20" fillId="0" borderId="0" xfId="0" applyFont="1" applyAlignment="1">
      <alignment horizontal="center" vertical="center"/>
    </xf>
    <xf numFmtId="0" fontId="10" fillId="0" borderId="25" xfId="1" applyFont="1" applyBorder="1" applyAlignment="1">
      <alignment horizontal="left" vertical="center" wrapText="1"/>
    </xf>
    <xf numFmtId="0" fontId="10" fillId="0" borderId="30" xfId="1" applyFont="1" applyBorder="1" applyAlignment="1">
      <alignment horizontal="left" vertical="center" wrapText="1"/>
    </xf>
    <xf numFmtId="0" fontId="10" fillId="3" borderId="32" xfId="1" applyFont="1" applyFill="1" applyBorder="1" applyAlignment="1">
      <alignment horizontal="left" vertical="center"/>
    </xf>
    <xf numFmtId="0" fontId="10" fillId="3" borderId="31" xfId="1" applyFont="1" applyFill="1" applyBorder="1" applyAlignment="1">
      <alignment horizontal="left" vertical="center"/>
    </xf>
    <xf numFmtId="0" fontId="10" fillId="0" borderId="0" xfId="1" applyFont="1" applyAlignment="1">
      <alignment horizontal="center" vertical="center"/>
    </xf>
    <xf numFmtId="0" fontId="5" fillId="2" borderId="22" xfId="1" quotePrefix="1" applyFont="1" applyFill="1" applyBorder="1" applyAlignment="1" applyProtection="1">
      <alignment horizontal="left" vertical="center" wrapText="1"/>
      <protection locked="0"/>
    </xf>
    <xf numFmtId="0" fontId="5" fillId="2" borderId="7" xfId="1" quotePrefix="1" applyFont="1" applyFill="1" applyBorder="1" applyAlignment="1" applyProtection="1">
      <alignment horizontal="left" vertical="center" wrapText="1"/>
      <protection locked="0"/>
    </xf>
  </cellXfs>
  <cellStyles count="4">
    <cellStyle name="Hyperlink" xfId="3" builtinId="8"/>
    <cellStyle name="Normal" xfId="0" builtinId="0"/>
    <cellStyle name="Normal 2" xfId="1" xr:uid="{00000000-0005-0000-0000-000002000000}"/>
    <cellStyle name="Normal 3" xfId="2" xr:uid="{00000000-0005-0000-0000-000003000000}"/>
  </cellStyles>
  <dxfs count="20">
    <dxf>
      <font>
        <b/>
        <i val="0"/>
      </font>
      <fill>
        <patternFill>
          <bgColor rgb="FF92D050"/>
        </patternFill>
      </fill>
    </dxf>
    <dxf>
      <font>
        <b/>
        <i val="0"/>
      </font>
      <fill>
        <patternFill>
          <bgColor rgb="FFFF0000"/>
        </patternFill>
      </fill>
    </dxf>
    <dxf>
      <font>
        <b/>
        <i val="0"/>
      </font>
      <fill>
        <patternFill>
          <bgColor rgb="FFFFC000"/>
        </patternFill>
      </fill>
    </dxf>
    <dxf>
      <font>
        <b/>
        <i val="0"/>
      </font>
      <fill>
        <patternFill>
          <bgColor rgb="FF00B0F0"/>
        </patternFill>
      </fill>
    </dxf>
    <dxf>
      <font>
        <color theme="3"/>
      </font>
    </dxf>
    <dxf>
      <font>
        <color theme="0" tint="-4.9989318521683403E-2"/>
      </font>
    </dxf>
    <dxf>
      <font>
        <color theme="0" tint="-0.14996795556505021"/>
      </font>
    </dxf>
    <dxf>
      <font>
        <b/>
        <i val="0"/>
      </font>
      <fill>
        <patternFill>
          <bgColor rgb="FF92D050"/>
        </patternFill>
      </fill>
    </dxf>
    <dxf>
      <font>
        <b/>
        <i val="0"/>
      </font>
      <fill>
        <patternFill>
          <bgColor rgb="FFFF0000"/>
        </patternFill>
      </fill>
    </dxf>
    <dxf>
      <font>
        <b/>
        <i val="0"/>
      </font>
      <fill>
        <patternFill>
          <bgColor theme="3" tint="0.39994506668294322"/>
        </patternFill>
      </fill>
    </dxf>
    <dxf>
      <font>
        <b/>
        <i val="0"/>
      </font>
      <fill>
        <patternFill>
          <bgColor rgb="FF92D050"/>
        </patternFill>
      </fill>
    </dxf>
    <dxf>
      <font>
        <b/>
        <i val="0"/>
      </font>
      <fill>
        <patternFill>
          <bgColor theme="5" tint="0.39994506668294322"/>
        </patternFill>
      </fill>
    </dxf>
    <dxf>
      <font>
        <b/>
        <i val="0"/>
      </font>
      <fill>
        <patternFill>
          <bgColor rgb="FFFFC000"/>
        </patternFill>
      </fill>
    </dxf>
    <dxf>
      <font>
        <b/>
        <i val="0"/>
      </font>
      <fill>
        <patternFill>
          <bgColor theme="3" tint="0.59996337778862885"/>
        </patternFill>
      </fill>
    </dxf>
    <dxf>
      <font>
        <b/>
        <i val="0"/>
      </font>
      <fill>
        <patternFill>
          <bgColor rgb="FF92D050"/>
        </patternFill>
      </fill>
    </dxf>
    <dxf>
      <font>
        <b/>
        <i val="0"/>
      </font>
      <fill>
        <patternFill>
          <bgColor rgb="FFFF0000"/>
        </patternFill>
      </fill>
    </dxf>
    <dxf>
      <font>
        <b/>
        <i val="0"/>
      </font>
      <fill>
        <patternFill>
          <bgColor rgb="FFFFC000"/>
        </patternFill>
      </fill>
    </dxf>
    <dxf>
      <font>
        <b/>
        <i val="0"/>
      </font>
      <fill>
        <patternFill>
          <bgColor theme="3" tint="0.39994506668294322"/>
        </patternFill>
      </fill>
    </dxf>
    <dxf>
      <font>
        <b/>
        <i val="0"/>
      </font>
      <fill>
        <patternFill>
          <bgColor rgb="FF92D050"/>
        </patternFill>
      </fill>
    </dxf>
    <dxf>
      <font>
        <b/>
        <i val="0"/>
      </font>
      <fill>
        <patternFill>
          <bgColor theme="5" tint="0.39994506668294322"/>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BIL PERMOHONAN JTPKSAS 2010-2025</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6.8129413870023095E-2"/>
          <c:y val="0.15536712718208281"/>
          <c:w val="0.88175895621023526"/>
          <c:h val="0.73657424736821919"/>
        </c:manualLayout>
      </c:layout>
      <c:scatterChart>
        <c:scatterStyle val="lineMarker"/>
        <c:varyColors val="0"/>
        <c:ser>
          <c:idx val="0"/>
          <c:order val="0"/>
          <c:tx>
            <c:strRef>
              <c:f>Sheet3!$B$7</c:f>
              <c:strCache>
                <c:ptCount val="1"/>
                <c:pt idx="0">
                  <c:v>BIL PERMOHONAN</c:v>
                </c:pt>
              </c:strCache>
            </c:strRef>
          </c:tx>
          <c:spPr>
            <a:ln w="28575" cap="rnd">
              <a:solidFill>
                <a:schemeClr val="lt1">
                  <a:alpha val="50000"/>
                </a:schemeClr>
              </a:solidFill>
              <a:round/>
            </a:ln>
            <a:effectLst>
              <a:outerShdw dist="25400" dir="2700000" algn="tl" rotWithShape="0">
                <a:schemeClr val="accent5"/>
              </a:outerShdw>
            </a:effectLst>
          </c:spPr>
          <c:marker>
            <c:symbol val="circle"/>
            <c:size val="6"/>
            <c:spPr>
              <a:solidFill>
                <a:schemeClr val="accent5"/>
              </a:solidFill>
              <a:ln w="22225">
                <a:solidFill>
                  <a:schemeClr val="lt1"/>
                </a:solidFill>
                <a:round/>
              </a:ln>
              <a:effectLst/>
            </c:spPr>
          </c:marker>
          <c:dLbls>
            <c:dLbl>
              <c:idx val="0"/>
              <c:layout>
                <c:manualLayout>
                  <c:x val="-3.0042860662631617E-2"/>
                  <c:y val="3.8303471522863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1E3-4906-B9B9-3CF9CB2CE3B6}"/>
                </c:ext>
              </c:extLst>
            </c:dLbl>
            <c:dLbl>
              <c:idx val="1"/>
              <c:layout>
                <c:manualLayout>
                  <c:x val="-2.7731871380890703E-2"/>
                  <c:y val="-3.1339203973251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E3-4906-B9B9-3CF9CB2CE3B6}"/>
                </c:ext>
              </c:extLst>
            </c:dLbl>
            <c:dLbl>
              <c:idx val="2"/>
              <c:layout>
                <c:manualLayout>
                  <c:x val="-3.0042860662631593E-2"/>
                  <c:y val="3.48213377480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E3-4906-B9B9-3CF9CB2CE3B6}"/>
                </c:ext>
              </c:extLst>
            </c:dLbl>
            <c:dLbl>
              <c:idx val="3"/>
              <c:layout>
                <c:manualLayout>
                  <c:x val="-2.7731871380890744E-2"/>
                  <c:y val="-3.48213377480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E3-4906-B9B9-3CF9CB2CE3B6}"/>
                </c:ext>
              </c:extLst>
            </c:dLbl>
            <c:dLbl>
              <c:idx val="4"/>
              <c:layout>
                <c:manualLayout>
                  <c:x val="-3.0042860662631593E-2"/>
                  <c:y val="2.7857070198445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1E3-4906-B9B9-3CF9CB2CE3B6}"/>
                </c:ext>
              </c:extLst>
            </c:dLbl>
            <c:dLbl>
              <c:idx val="5"/>
              <c:layout>
                <c:manualLayout>
                  <c:x val="-3.0042860662631593E-2"/>
                  <c:y val="-3.8303471522863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E3-4906-B9B9-3CF9CB2CE3B6}"/>
                </c:ext>
              </c:extLst>
            </c:dLbl>
            <c:dLbl>
              <c:idx val="6"/>
              <c:layout>
                <c:manualLayout>
                  <c:x val="-2.3109892817409005E-2"/>
                  <c:y val="2.7857070198445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E3-4906-B9B9-3CF9CB2CE3B6}"/>
                </c:ext>
              </c:extLst>
            </c:dLbl>
            <c:dLbl>
              <c:idx val="7"/>
              <c:layout>
                <c:manualLayout>
                  <c:x val="-3.0042860662631593E-2"/>
                  <c:y val="-3.48213377480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E3-4906-B9B9-3CF9CB2CE3B6}"/>
                </c:ext>
              </c:extLst>
            </c:dLbl>
            <c:dLbl>
              <c:idx val="8"/>
              <c:layout>
                <c:manualLayout>
                  <c:x val="-3.2291071101679607E-2"/>
                  <c:y val="-3.8512673733113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E3-4906-B9B9-3CF9CB2CE3B6}"/>
                </c:ext>
              </c:extLst>
            </c:dLbl>
            <c:dLbl>
              <c:idx val="9"/>
              <c:layout>
                <c:manualLayout>
                  <c:x val="-3.229525635785914E-2"/>
                  <c:y val="-3.5030539958307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E3-4906-B9B9-3CF9CB2CE3B6}"/>
                </c:ext>
              </c:extLst>
            </c:dLbl>
            <c:dLbl>
              <c:idx val="10"/>
              <c:layout>
                <c:manualLayout>
                  <c:x val="-3.004286066263151E-2"/>
                  <c:y val="3.48213377480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1E3-4906-B9B9-3CF9CB2CE3B6}"/>
                </c:ext>
              </c:extLst>
            </c:dLbl>
            <c:dLbl>
              <c:idx val="11"/>
              <c:layout>
                <c:manualLayout>
                  <c:x val="-3.0042860662631593E-2"/>
                  <c:y val="3.48213377480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1E3-4906-B9B9-3CF9CB2CE3B6}"/>
                </c:ext>
              </c:extLst>
            </c:dLbl>
            <c:dLbl>
              <c:idx val="15"/>
              <c:layout>
                <c:manualLayout>
                  <c:x val="-3.0042860662631763E-2"/>
                  <c:y val="-3.1339203973251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25-4C14-8785-3778165F8C6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xVal>
            <c:numRef>
              <c:f>Sheet3!$A$8:$A$23</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xVal>
          <c:yVal>
            <c:numRef>
              <c:f>Sheet3!$B$8:$B$23</c:f>
              <c:numCache>
                <c:formatCode>General</c:formatCode>
                <c:ptCount val="16"/>
                <c:pt idx="0">
                  <c:v>24</c:v>
                </c:pt>
                <c:pt idx="1">
                  <c:v>37</c:v>
                </c:pt>
                <c:pt idx="2">
                  <c:v>14</c:v>
                </c:pt>
                <c:pt idx="3">
                  <c:v>18</c:v>
                </c:pt>
                <c:pt idx="4">
                  <c:v>16</c:v>
                </c:pt>
                <c:pt idx="5">
                  <c:v>23</c:v>
                </c:pt>
                <c:pt idx="6">
                  <c:v>9</c:v>
                </c:pt>
                <c:pt idx="7">
                  <c:v>18</c:v>
                </c:pt>
                <c:pt idx="8">
                  <c:v>19</c:v>
                </c:pt>
                <c:pt idx="9">
                  <c:v>20</c:v>
                </c:pt>
                <c:pt idx="10">
                  <c:v>10</c:v>
                </c:pt>
                <c:pt idx="11">
                  <c:v>10</c:v>
                </c:pt>
                <c:pt idx="12">
                  <c:v>24</c:v>
                </c:pt>
                <c:pt idx="13">
                  <c:v>28</c:v>
                </c:pt>
                <c:pt idx="14">
                  <c:v>34</c:v>
                </c:pt>
                <c:pt idx="15">
                  <c:v>36</c:v>
                </c:pt>
              </c:numCache>
            </c:numRef>
          </c:yVal>
          <c:smooth val="0"/>
          <c:extLst>
            <c:ext xmlns:c16="http://schemas.microsoft.com/office/drawing/2014/chart" uri="{C3380CC4-5D6E-409C-BE32-E72D297353CC}">
              <c16:uniqueId val="{00000000-71E3-4906-B9B9-3CF9CB2CE3B6}"/>
            </c:ext>
          </c:extLst>
        </c:ser>
        <c:dLbls>
          <c:showLegendKey val="0"/>
          <c:showVal val="0"/>
          <c:showCatName val="0"/>
          <c:showSerName val="0"/>
          <c:showPercent val="0"/>
          <c:showBubbleSize val="0"/>
        </c:dLbls>
        <c:axId val="1389309631"/>
        <c:axId val="1389310047"/>
      </c:scatterChart>
      <c:valAx>
        <c:axId val="13893096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89310047"/>
        <c:crosses val="autoZero"/>
        <c:crossBetween val="midCat"/>
      </c:valAx>
      <c:valAx>
        <c:axId val="1389310047"/>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9309631"/>
        <c:crosses val="autoZero"/>
        <c:crossBetween val="midCat"/>
      </c:valAx>
      <c:spPr>
        <a:noFill/>
        <a:ln>
          <a:noFill/>
        </a:ln>
        <a:effectLst/>
      </c:spPr>
    </c:plotArea>
    <c:plotVisOnly val="1"/>
    <c:dispBlanksAs val="gap"/>
    <c:showDLblsOverMax val="0"/>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125058</xdr:colOff>
      <xdr:row>30</xdr:row>
      <xdr:rowOff>70440</xdr:rowOff>
    </xdr:from>
    <xdr:to>
      <xdr:col>5</xdr:col>
      <xdr:colOff>415880</xdr:colOff>
      <xdr:row>51</xdr:row>
      <xdr:rowOff>40247</xdr:rowOff>
    </xdr:to>
    <xdr:graphicFrame macro="">
      <xdr:nvGraphicFramePr>
        <xdr:cNvPr id="4" name="Chart 3">
          <a:extLst>
            <a:ext uri="{FF2B5EF4-FFF2-40B4-BE49-F238E27FC236}">
              <a16:creationId xmlns:a16="http://schemas.microsoft.com/office/drawing/2014/main" id="{2BDD8777-A296-4C1D-87F1-F8A3467C8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36701</xdr:colOff>
      <xdr:row>191</xdr:row>
      <xdr:rowOff>768145</xdr:rowOff>
    </xdr:from>
    <xdr:ext cx="1663405" cy="46974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299120" y="1229032"/>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201</a:t>
          </a:r>
          <a:endParaRPr lang="en-MY" sz="1200">
            <a:latin typeface="Century Gothic" panose="020B0502020202020204" pitchFamily="34" charset="0"/>
          </a:endParaRPr>
        </a:p>
      </xdr:txBody>
    </xdr:sp>
    <xdr:clientData/>
  </xdr:oneCellAnchor>
  <xdr:oneCellAnchor>
    <xdr:from>
      <xdr:col>4</xdr:col>
      <xdr:colOff>6142953</xdr:colOff>
      <xdr:row>195</xdr:row>
      <xdr:rowOff>813005</xdr:rowOff>
    </xdr:from>
    <xdr:ext cx="1830949" cy="469744"/>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0195571" y="11191661"/>
          <a:ext cx="1830949"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perlu dirujuk ke MMKN</a:t>
          </a:r>
        </a:p>
        <a:p>
          <a:pPr algn="ctr"/>
          <a:r>
            <a:rPr lang="en-MY" sz="1200">
              <a:latin typeface="Century Gothic" panose="020B0502020202020204" pitchFamily="34" charset="0"/>
            </a:rPr>
            <a:t>dan bukan KSAS</a:t>
          </a:r>
        </a:p>
      </xdr:txBody>
    </xdr:sp>
    <xdr:clientData/>
  </xdr:oneCellAnchor>
  <xdr:oneCellAnchor>
    <xdr:from>
      <xdr:col>5</xdr:col>
      <xdr:colOff>17972</xdr:colOff>
      <xdr:row>209</xdr:row>
      <xdr:rowOff>219939</xdr:rowOff>
    </xdr:from>
    <xdr:ext cx="1842100" cy="65845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145024" y="36657557"/>
          <a:ext cx="1842100" cy="658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MY" sz="1200">
              <a:latin typeface="Century Gothic" panose="020B0502020202020204" pitchFamily="34" charset="0"/>
            </a:rPr>
            <a:t>-kawasan</a:t>
          </a:r>
          <a:r>
            <a:rPr lang="en-MY" sz="1200" baseline="0">
              <a:latin typeface="Century Gothic" panose="020B0502020202020204" pitchFamily="34" charset="0"/>
            </a:rPr>
            <a:t> prasejarah</a:t>
          </a:r>
        </a:p>
        <a:p>
          <a:pPr algn="ctr"/>
          <a:r>
            <a:rPr lang="en-MY" sz="1200" baseline="0">
              <a:latin typeface="Century Gothic" panose="020B0502020202020204" pitchFamily="34" charset="0"/>
            </a:rPr>
            <a:t>-perlu sediakan RKK Bandar Batu Arang</a:t>
          </a:r>
          <a:endParaRPr lang="en-MY" sz="1200">
            <a:latin typeface="Century Gothic" panose="020B0502020202020204" pitchFamily="34" charset="0"/>
          </a:endParaRPr>
        </a:p>
      </xdr:txBody>
    </xdr:sp>
    <xdr:clientData/>
  </xdr:oneCellAnchor>
  <xdr:oneCellAnchor>
    <xdr:from>
      <xdr:col>5</xdr:col>
      <xdr:colOff>107831</xdr:colOff>
      <xdr:row>211</xdr:row>
      <xdr:rowOff>521179</xdr:rowOff>
    </xdr:from>
    <xdr:ext cx="1663405" cy="469744"/>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0234883" y="40669953"/>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215</a:t>
          </a:r>
          <a:endParaRPr lang="en-MY" sz="1200">
            <a:latin typeface="Century Gothic" panose="020B0502020202020204" pitchFamily="34" charset="0"/>
          </a:endParaRPr>
        </a:p>
      </xdr:txBody>
    </xdr:sp>
    <xdr:clientData/>
  </xdr:oneCellAnchor>
  <xdr:oneCellAnchor>
    <xdr:from>
      <xdr:col>5</xdr:col>
      <xdr:colOff>98845</xdr:colOff>
      <xdr:row>218</xdr:row>
      <xdr:rowOff>611038</xdr:rowOff>
    </xdr:from>
    <xdr:ext cx="1663405" cy="469744"/>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0225897" y="50159010"/>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219</a:t>
          </a:r>
          <a:endParaRPr lang="en-MY" sz="1200">
            <a:latin typeface="Century Gothic" panose="020B0502020202020204" pitchFamily="34" charset="0"/>
          </a:endParaRPr>
        </a:p>
      </xdr:txBody>
    </xdr:sp>
    <xdr:clientData/>
  </xdr:oneCellAnchor>
  <xdr:oneCellAnchor>
    <xdr:from>
      <xdr:col>5</xdr:col>
      <xdr:colOff>62901</xdr:colOff>
      <xdr:row>223</xdr:row>
      <xdr:rowOff>826698</xdr:rowOff>
    </xdr:from>
    <xdr:ext cx="1663405" cy="469744"/>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0189953" y="61526108"/>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218</a:t>
          </a:r>
          <a:endParaRPr lang="en-MY" sz="1200">
            <a:latin typeface="Century Gothic" panose="020B0502020202020204" pitchFamily="34" charset="0"/>
          </a:endParaRPr>
        </a:p>
      </xdr:txBody>
    </xdr:sp>
    <xdr:clientData/>
  </xdr:oneCellAnchor>
  <xdr:oneCellAnchor>
    <xdr:from>
      <xdr:col>5</xdr:col>
      <xdr:colOff>53915</xdr:colOff>
      <xdr:row>224</xdr:row>
      <xdr:rowOff>664952</xdr:rowOff>
    </xdr:from>
    <xdr:ext cx="1663405" cy="469744"/>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0180967" y="62784127"/>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228</a:t>
          </a:r>
          <a:endParaRPr lang="en-MY" sz="1200">
            <a:latin typeface="Century Gothic" panose="020B0502020202020204" pitchFamily="34" charset="0"/>
          </a:endParaRPr>
        </a:p>
      </xdr:txBody>
    </xdr:sp>
    <xdr:clientData/>
  </xdr:oneCellAnchor>
  <xdr:oneCellAnchor>
    <xdr:from>
      <xdr:col>5</xdr:col>
      <xdr:colOff>134788</xdr:colOff>
      <xdr:row>233</xdr:row>
      <xdr:rowOff>1527594</xdr:rowOff>
    </xdr:from>
    <xdr:ext cx="1663405" cy="469744"/>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0261840" y="84745542"/>
          <a:ext cx="1663405" cy="469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MY" sz="1200">
              <a:latin typeface="Century Gothic" panose="020B0502020202020204" pitchFamily="34" charset="0"/>
            </a:rPr>
            <a:t>telah dirujuk</a:t>
          </a:r>
          <a:r>
            <a:rPr lang="en-MY" sz="1200" baseline="0">
              <a:latin typeface="Century Gothic" panose="020B0502020202020204" pitchFamily="34" charset="0"/>
            </a:rPr>
            <a:t> semula</a:t>
          </a:r>
        </a:p>
        <a:p>
          <a:pPr algn="ctr"/>
          <a:r>
            <a:rPr lang="en-MY" sz="1200" baseline="0">
              <a:latin typeface="Century Gothic" panose="020B0502020202020204" pitchFamily="34" charset="0"/>
            </a:rPr>
            <a:t>-bil 232</a:t>
          </a:r>
          <a:endParaRPr lang="en-MY" sz="1200">
            <a:latin typeface="Century Gothic" panose="020B0502020202020204" pitchFamily="34" charset="0"/>
          </a:endParaRPr>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AF156A-EC60-40D1-9346-00276B26A812}">
    <nsvFilter filterId="{00000000-0001-0000-0000-000000000000}" ref="A3:F1445" tableId="0"/>
  </namedSheetView>
</namedSheetView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sheetPr>
  <dimension ref="A1:AG1458"/>
  <sheetViews>
    <sheetView zoomScaleNormal="100" zoomScaleSheetLayoutView="71" workbookViewId="0">
      <pane ySplit="3" topLeftCell="A4" activePane="bottomLeft" state="frozen"/>
      <selection pane="bottomLeft" activeCell="G3" sqref="G3"/>
    </sheetView>
  </sheetViews>
  <sheetFormatPr defaultColWidth="9.140625" defaultRowHeight="17.25" x14ac:dyDescent="0.2"/>
  <cols>
    <col min="1" max="1" width="6.5703125" style="7" customWidth="1"/>
    <col min="2" max="2" width="59.7109375" style="8" customWidth="1"/>
    <col min="3" max="3" width="6.5703125" style="7" hidden="1" customWidth="1"/>
    <col min="4" max="4" width="10.42578125" style="7" customWidth="1"/>
    <col min="5" max="5" width="16.140625" style="7" customWidth="1"/>
    <col min="6" max="6" width="24.42578125" style="7" customWidth="1"/>
    <col min="7" max="7" width="20" style="7" customWidth="1"/>
    <col min="8" max="8" width="59.28515625" style="120" customWidth="1"/>
    <col min="9" max="9" width="13.140625" style="7" customWidth="1"/>
    <col min="10" max="11" width="9.140625" style="7" customWidth="1"/>
    <col min="12" max="12" width="9.140625" style="7" hidden="1" customWidth="1"/>
    <col min="13" max="13" width="9.85546875" style="9" hidden="1" customWidth="1"/>
    <col min="14" max="25" width="9.140625" style="9" hidden="1" customWidth="1"/>
    <col min="26" max="29" width="14" style="7" hidden="1" customWidth="1"/>
    <col min="30" max="32" width="9.140625" style="7" hidden="1" customWidth="1"/>
    <col min="33" max="16384" width="9.140625" style="7"/>
  </cols>
  <sheetData>
    <row r="1" spans="1:30" ht="33.75" customHeight="1" x14ac:dyDescent="0.2">
      <c r="A1" s="376" t="s">
        <v>0</v>
      </c>
      <c r="B1" s="376"/>
      <c r="C1" s="376"/>
      <c r="D1" s="376"/>
      <c r="E1" s="376"/>
      <c r="F1" s="376"/>
      <c r="G1" s="123"/>
      <c r="M1" s="9">
        <f>M525</f>
        <v>16</v>
      </c>
      <c r="N1" s="9">
        <f t="shared" ref="N1:AC1" si="0">N525</f>
        <v>79</v>
      </c>
      <c r="O1" s="9">
        <f t="shared" si="0"/>
        <v>1</v>
      </c>
      <c r="P1" s="9">
        <f t="shared" si="0"/>
        <v>28</v>
      </c>
      <c r="Q1" s="9">
        <f t="shared" si="0"/>
        <v>31</v>
      </c>
      <c r="R1" s="9">
        <f t="shared" si="0"/>
        <v>19</v>
      </c>
      <c r="S1" s="9">
        <f t="shared" si="0"/>
        <v>4</v>
      </c>
      <c r="T1" s="9">
        <f t="shared" si="0"/>
        <v>79</v>
      </c>
      <c r="U1" s="9">
        <f t="shared" si="0"/>
        <v>49</v>
      </c>
      <c r="V1" s="9">
        <f t="shared" si="0"/>
        <v>6</v>
      </c>
      <c r="W1" s="9">
        <f t="shared" si="0"/>
        <v>26</v>
      </c>
      <c r="X1" s="9">
        <f t="shared" si="0"/>
        <v>0</v>
      </c>
      <c r="Y1" s="9" t="e">
        <f t="shared" ref="Y1" si="1">Y525</f>
        <v>#REF!</v>
      </c>
      <c r="Z1" s="9">
        <f t="shared" si="0"/>
        <v>143</v>
      </c>
      <c r="AA1" s="9">
        <f t="shared" si="0"/>
        <v>143</v>
      </c>
      <c r="AB1" s="9">
        <f t="shared" si="0"/>
        <v>143</v>
      </c>
      <c r="AC1" s="9">
        <f t="shared" si="0"/>
        <v>144</v>
      </c>
    </row>
    <row r="2" spans="1:30" ht="8.25" customHeight="1" thickBot="1" x14ac:dyDescent="0.25">
      <c r="A2" s="9"/>
      <c r="C2" s="9"/>
      <c r="D2" s="6"/>
      <c r="E2" s="9"/>
      <c r="F2" s="9"/>
      <c r="G2" s="9"/>
    </row>
    <row r="3" spans="1:30" s="5" customFormat="1" ht="38.25" customHeight="1" thickBot="1" x14ac:dyDescent="0.25">
      <c r="A3" s="1" t="s">
        <v>1</v>
      </c>
      <c r="B3" s="2" t="s">
        <v>2</v>
      </c>
      <c r="C3" s="2"/>
      <c r="D3" s="2" t="s">
        <v>3</v>
      </c>
      <c r="E3" s="3" t="s">
        <v>4</v>
      </c>
      <c r="F3" s="4" t="s">
        <v>5</v>
      </c>
      <c r="G3" s="5" t="s">
        <v>6</v>
      </c>
      <c r="H3" s="121" t="s">
        <v>7</v>
      </c>
      <c r="M3" s="5" t="s">
        <v>8</v>
      </c>
      <c r="N3" s="5" t="s">
        <v>9</v>
      </c>
      <c r="O3" s="5" t="s">
        <v>10</v>
      </c>
      <c r="P3" s="5" t="s">
        <v>11</v>
      </c>
      <c r="Q3" s="5" t="s">
        <v>12</v>
      </c>
      <c r="R3" s="5" t="s">
        <v>13</v>
      </c>
      <c r="S3" s="5" t="s">
        <v>14</v>
      </c>
      <c r="T3" s="5" t="s">
        <v>15</v>
      </c>
      <c r="U3" s="5" t="s">
        <v>16</v>
      </c>
      <c r="V3" s="5" t="s">
        <v>17</v>
      </c>
      <c r="W3" s="5" t="s">
        <v>18</v>
      </c>
      <c r="X3" s="5" t="s">
        <v>19</v>
      </c>
      <c r="Y3" s="5" t="s">
        <v>20</v>
      </c>
      <c r="Z3" s="5">
        <f>J12</f>
        <v>0</v>
      </c>
      <c r="AA3" s="5">
        <f>J13</f>
        <v>0</v>
      </c>
      <c r="AB3" s="5">
        <f>J14</f>
        <v>0</v>
      </c>
      <c r="AC3" s="5">
        <f>J15</f>
        <v>0</v>
      </c>
      <c r="AD3" s="5" t="s">
        <v>21</v>
      </c>
    </row>
    <row r="4" spans="1:30" ht="21" customHeight="1" x14ac:dyDescent="0.2">
      <c r="A4" s="12">
        <v>1</v>
      </c>
      <c r="B4" s="24" t="s">
        <v>22</v>
      </c>
      <c r="C4" s="13" t="str">
        <f>IF(B4="","","vs")</f>
        <v>vs</v>
      </c>
      <c r="D4" s="31" t="s">
        <v>13</v>
      </c>
      <c r="E4" s="13">
        <v>2010</v>
      </c>
      <c r="F4" s="119" t="s">
        <v>23</v>
      </c>
      <c r="G4" s="9"/>
      <c r="H4" s="117" t="s">
        <v>24</v>
      </c>
      <c r="M4" s="9" t="str">
        <f>IF(D4=$M$3,1,"")</f>
        <v/>
      </c>
      <c r="N4" s="9" t="str">
        <f>IF(D4=$N$3,1,"")</f>
        <v/>
      </c>
      <c r="O4" s="9" t="str">
        <f>IF(D4=$O$3,1,"")</f>
        <v/>
      </c>
      <c r="P4" s="9" t="str">
        <f>IF(D4=$P$3,1,"")</f>
        <v/>
      </c>
      <c r="Q4" s="9" t="str">
        <f>IF(D4=$Q$3,1,"")</f>
        <v/>
      </c>
      <c r="R4" s="9">
        <f>IF(D4=$R$3,1,"")</f>
        <v>1</v>
      </c>
      <c r="S4" s="9" t="str">
        <f>IF(D4=$S$3,1,"")</f>
        <v/>
      </c>
      <c r="T4" s="9" t="str">
        <f>IF(D4=$T$3,1,"")</f>
        <v/>
      </c>
      <c r="U4" s="9" t="str">
        <f>IF(D4=$U$3,1,"")</f>
        <v/>
      </c>
      <c r="V4" s="9" t="str">
        <f>IF(D4=$V$3,1,"")</f>
        <v/>
      </c>
      <c r="W4" s="9" t="str">
        <f>IF(D4=$W$3,1,"")</f>
        <v/>
      </c>
      <c r="X4" s="9" t="str">
        <f>IF(D4=$X$3,1,"")</f>
        <v/>
      </c>
      <c r="Y4" s="9" t="e">
        <f>IF(#REF!=$X$3,1,"")</f>
        <v>#REF!</v>
      </c>
      <c r="Z4" s="9" t="str">
        <f t="shared" ref="Z4:Z19" si="2">IF(F4=$Z$3,1,"")</f>
        <v/>
      </c>
      <c r="AA4" s="9" t="str">
        <f t="shared" ref="AA4:AA19" si="3">IF(F4=$AA$3,1,"")</f>
        <v/>
      </c>
      <c r="AB4" s="9" t="str">
        <f t="shared" ref="AB4:AB19" si="4">IF(F4=$AB$3,1,"")</f>
        <v/>
      </c>
      <c r="AC4" s="9" t="str">
        <f t="shared" ref="AC4:AC19" si="5">IF(F4=$AC$3,1,"")</f>
        <v/>
      </c>
      <c r="AD4" s="9" t="str">
        <f t="shared" ref="AD4:AD19" si="6">IF(F4=$AE$3,1,"")</f>
        <v/>
      </c>
    </row>
    <row r="5" spans="1:30" ht="21" customHeight="1" x14ac:dyDescent="0.2">
      <c r="A5" s="15">
        <f>IF(B5="","",A4+1)</f>
        <v>2</v>
      </c>
      <c r="B5" s="25" t="s">
        <v>25</v>
      </c>
      <c r="C5" s="16" t="str">
        <f>IF(B5="","","vs")</f>
        <v>vs</v>
      </c>
      <c r="D5" s="17" t="s">
        <v>16</v>
      </c>
      <c r="E5" s="16">
        <v>2010</v>
      </c>
      <c r="F5" s="18" t="s">
        <v>23</v>
      </c>
      <c r="G5" s="9"/>
      <c r="H5" s="19" t="s">
        <v>26</v>
      </c>
      <c r="M5" s="9" t="str">
        <f>IF(D5=$M$3,1,"")</f>
        <v/>
      </c>
      <c r="N5" s="9" t="str">
        <f>IF(D5=$N$3,1,"")</f>
        <v/>
      </c>
      <c r="O5" s="9" t="str">
        <f>IF(D5=$O$3,1,"")</f>
        <v/>
      </c>
      <c r="P5" s="9" t="str">
        <f>IF(D5=$P$3,1,"")</f>
        <v/>
      </c>
      <c r="Q5" s="9" t="str">
        <f>IF(D5=$Q$3,1,"")</f>
        <v/>
      </c>
      <c r="R5" s="9" t="str">
        <f>IF(D5=$R$3,1,"")</f>
        <v/>
      </c>
      <c r="S5" s="9" t="str">
        <f>IF(D5=$S$3,1,"")</f>
        <v/>
      </c>
      <c r="T5" s="9" t="str">
        <f>IF(D5=$T$3,1,"")</f>
        <v/>
      </c>
      <c r="U5" s="9">
        <f>IF(D5=$U$3,1,"")</f>
        <v>1</v>
      </c>
      <c r="V5" s="9" t="str">
        <f>IF(D5=$V$3,1,"")</f>
        <v/>
      </c>
      <c r="W5" s="9" t="str">
        <f>IF(D5=$W$3,1,"")</f>
        <v/>
      </c>
      <c r="X5" s="9" t="str">
        <f>IF(D5=$X$3,1,"")</f>
        <v/>
      </c>
      <c r="Y5" s="9" t="e">
        <f>IF(#REF!=$X$3,1,"")</f>
        <v>#REF!</v>
      </c>
      <c r="Z5" s="9" t="str">
        <f t="shared" si="2"/>
        <v/>
      </c>
      <c r="AA5" s="9" t="str">
        <f t="shared" si="3"/>
        <v/>
      </c>
      <c r="AB5" s="9" t="str">
        <f t="shared" si="4"/>
        <v/>
      </c>
      <c r="AC5" s="9" t="str">
        <f t="shared" si="5"/>
        <v/>
      </c>
      <c r="AD5" s="9" t="str">
        <f t="shared" si="6"/>
        <v/>
      </c>
    </row>
    <row r="6" spans="1:30" ht="21" customHeight="1" x14ac:dyDescent="0.2">
      <c r="A6" s="15">
        <f t="shared" ref="A6:A65" si="7">IF(B6="","",A5+1)</f>
        <v>3</v>
      </c>
      <c r="B6" s="25" t="s">
        <v>27</v>
      </c>
      <c r="C6" s="16" t="str">
        <f t="shared" ref="C6:C25" si="8">IF(B6="","","vs")</f>
        <v>vs</v>
      </c>
      <c r="D6" s="17" t="s">
        <v>15</v>
      </c>
      <c r="E6" s="16">
        <v>2010</v>
      </c>
      <c r="F6" s="18" t="s">
        <v>23</v>
      </c>
      <c r="G6" s="381" t="s">
        <v>28</v>
      </c>
      <c r="H6" s="19" t="s">
        <v>29</v>
      </c>
      <c r="M6" s="9" t="str">
        <f>IF(D6=$M$3,1,"")</f>
        <v/>
      </c>
      <c r="N6" s="9" t="str">
        <f>IF(D6=$N$3,1,"")</f>
        <v/>
      </c>
      <c r="O6" s="9" t="str">
        <f>IF(D6=$O$3,1,"")</f>
        <v/>
      </c>
      <c r="P6" s="9" t="str">
        <f>IF(D6=$P$3,1,"")</f>
        <v/>
      </c>
      <c r="Q6" s="9" t="str">
        <f>IF(D6=$Q$3,1,"")</f>
        <v/>
      </c>
      <c r="R6" s="9" t="str">
        <f>IF(D6=$R$3,1,"")</f>
        <v/>
      </c>
      <c r="S6" s="9" t="str">
        <f>IF(D6=$S$3,1,"")</f>
        <v/>
      </c>
      <c r="T6" s="9">
        <f>IF(D6=$T$3,1,"")</f>
        <v>1</v>
      </c>
      <c r="U6" s="9" t="str">
        <f>IF(D6=$U$3,1,"")</f>
        <v/>
      </c>
      <c r="V6" s="9" t="str">
        <f>IF(D6=$V$3,1,"")</f>
        <v/>
      </c>
      <c r="W6" s="9" t="str">
        <f>IF(D6=$W$3,1,"")</f>
        <v/>
      </c>
      <c r="X6" s="9" t="str">
        <f>IF(D6=$X$3,1,"")</f>
        <v/>
      </c>
      <c r="Y6" s="9" t="e">
        <f>IF(#REF!=$X$3,1,"")</f>
        <v>#REF!</v>
      </c>
      <c r="Z6" s="9" t="str">
        <f t="shared" si="2"/>
        <v/>
      </c>
      <c r="AA6" s="9" t="str">
        <f t="shared" si="3"/>
        <v/>
      </c>
      <c r="AB6" s="9" t="str">
        <f t="shared" si="4"/>
        <v/>
      </c>
      <c r="AC6" s="9" t="str">
        <f t="shared" si="5"/>
        <v/>
      </c>
      <c r="AD6" s="9" t="str">
        <f t="shared" si="6"/>
        <v/>
      </c>
    </row>
    <row r="7" spans="1:30" ht="21" customHeight="1" x14ac:dyDescent="0.2">
      <c r="A7" s="15">
        <f t="shared" si="7"/>
        <v>4</v>
      </c>
      <c r="B7" s="25" t="s">
        <v>30</v>
      </c>
      <c r="C7" s="16" t="str">
        <f t="shared" si="8"/>
        <v>vs</v>
      </c>
      <c r="D7" s="17" t="s">
        <v>15</v>
      </c>
      <c r="E7" s="16">
        <v>2010</v>
      </c>
      <c r="F7" s="18" t="s">
        <v>23</v>
      </c>
      <c r="G7" s="381"/>
      <c r="H7" s="19" t="s">
        <v>31</v>
      </c>
      <c r="M7" s="9" t="str">
        <f>IF(D7=$M$3,1,"")</f>
        <v/>
      </c>
      <c r="N7" s="9" t="str">
        <f>IF(D7=$N$3,1,"")</f>
        <v/>
      </c>
      <c r="O7" s="9" t="str">
        <f>IF(D7=$O$3,1,"")</f>
        <v/>
      </c>
      <c r="P7" s="9" t="str">
        <f>IF(D7=$P$3,1,"")</f>
        <v/>
      </c>
      <c r="Q7" s="9" t="str">
        <f>IF(D7=$Q$3,1,"")</f>
        <v/>
      </c>
      <c r="R7" s="9" t="str">
        <f>IF(D7=$R$3,1,"")</f>
        <v/>
      </c>
      <c r="S7" s="9" t="str">
        <f>IF(D7=$S$3,1,"")</f>
        <v/>
      </c>
      <c r="T7" s="9">
        <f>IF(D7=$T$3,1,"")</f>
        <v>1</v>
      </c>
      <c r="U7" s="9" t="str">
        <f>IF(D7=$U$3,1,"")</f>
        <v/>
      </c>
      <c r="V7" s="9" t="str">
        <f>IF(D7=$V$3,1,"")</f>
        <v/>
      </c>
      <c r="W7" s="9" t="str">
        <f>IF(D7=$W$3,1,"")</f>
        <v/>
      </c>
      <c r="X7" s="9" t="str">
        <f>IF(D7=$X$3,1,"")</f>
        <v/>
      </c>
      <c r="Y7" s="9" t="e">
        <f>IF(#REF!=$X$3,1,"")</f>
        <v>#REF!</v>
      </c>
      <c r="Z7" s="9" t="str">
        <f t="shared" si="2"/>
        <v/>
      </c>
      <c r="AA7" s="9" t="str">
        <f t="shared" si="3"/>
        <v/>
      </c>
      <c r="AB7" s="9" t="str">
        <f t="shared" si="4"/>
        <v/>
      </c>
      <c r="AC7" s="9" t="str">
        <f t="shared" si="5"/>
        <v/>
      </c>
      <c r="AD7" s="9" t="str">
        <f t="shared" si="6"/>
        <v/>
      </c>
    </row>
    <row r="8" spans="1:30" ht="21" customHeight="1" x14ac:dyDescent="0.2">
      <c r="A8" s="15">
        <f t="shared" si="7"/>
        <v>5</v>
      </c>
      <c r="B8" s="25" t="s">
        <v>32</v>
      </c>
      <c r="C8" s="16" t="str">
        <f t="shared" si="8"/>
        <v>vs</v>
      </c>
      <c r="D8" s="17" t="s">
        <v>15</v>
      </c>
      <c r="E8" s="16">
        <v>2010</v>
      </c>
      <c r="F8" s="18" t="s">
        <v>33</v>
      </c>
      <c r="G8" s="9"/>
      <c r="H8" s="19" t="s">
        <v>34</v>
      </c>
      <c r="M8" s="9" t="str">
        <f>IF(D8=$M$3,1,"")</f>
        <v/>
      </c>
      <c r="N8" s="9" t="str">
        <f>IF(D8=$N$3,1,"")</f>
        <v/>
      </c>
      <c r="O8" s="9" t="str">
        <f>IF(D8=$O$3,1,"")</f>
        <v/>
      </c>
      <c r="P8" s="9" t="str">
        <f>IF(D8=$P$3,1,"")</f>
        <v/>
      </c>
      <c r="Q8" s="9" t="str">
        <f>IF(D8=$Q$3,1,"")</f>
        <v/>
      </c>
      <c r="R8" s="9" t="str">
        <f>IF(D8=$R$3,1,"")</f>
        <v/>
      </c>
      <c r="S8" s="9" t="str">
        <f>IF(D8=$S$3,1,"")</f>
        <v/>
      </c>
      <c r="T8" s="9">
        <f>IF(D8=$T$3,1,"")</f>
        <v>1</v>
      </c>
      <c r="U8" s="9" t="str">
        <f>IF(D8=$U$3,1,"")</f>
        <v/>
      </c>
      <c r="V8" s="9" t="str">
        <f>IF(D8=$V$3,1,"")</f>
        <v/>
      </c>
      <c r="W8" s="9" t="str">
        <f>IF(D8=$W$3,1,"")</f>
        <v/>
      </c>
      <c r="X8" s="9" t="str">
        <f>IF(D8=$X$3,1,"")</f>
        <v/>
      </c>
      <c r="Y8" s="9" t="e">
        <f>IF(#REF!=$X$3,1,"")</f>
        <v>#REF!</v>
      </c>
      <c r="Z8" s="9" t="str">
        <f t="shared" si="2"/>
        <v/>
      </c>
      <c r="AA8" s="9" t="str">
        <f t="shared" si="3"/>
        <v/>
      </c>
      <c r="AB8" s="9" t="str">
        <f t="shared" si="4"/>
        <v/>
      </c>
      <c r="AC8" s="9" t="str">
        <f t="shared" si="5"/>
        <v/>
      </c>
      <c r="AD8" s="9" t="str">
        <f t="shared" si="6"/>
        <v/>
      </c>
    </row>
    <row r="9" spans="1:30" ht="21" customHeight="1" x14ac:dyDescent="0.2">
      <c r="A9" s="15">
        <f t="shared" si="7"/>
        <v>6</v>
      </c>
      <c r="B9" s="25" t="s">
        <v>35</v>
      </c>
      <c r="C9" s="16" t="str">
        <f t="shared" si="8"/>
        <v>vs</v>
      </c>
      <c r="D9" s="17" t="s">
        <v>18</v>
      </c>
      <c r="E9" s="16">
        <v>2010</v>
      </c>
      <c r="F9" s="18" t="s">
        <v>23</v>
      </c>
      <c r="G9" s="9" t="s">
        <v>36</v>
      </c>
      <c r="H9" s="19" t="s">
        <v>37</v>
      </c>
      <c r="M9" s="9" t="str">
        <f>IF(D9=$M$3,1,"")</f>
        <v/>
      </c>
      <c r="N9" s="9" t="str">
        <f>IF(D9=$N$3,1,"")</f>
        <v/>
      </c>
      <c r="O9" s="9" t="str">
        <f>IF(D9=$O$3,1,"")</f>
        <v/>
      </c>
      <c r="P9" s="9" t="str">
        <f>IF(D9=$P$3,1,"")</f>
        <v/>
      </c>
      <c r="Q9" s="9" t="str">
        <f>IF(D9=$Q$3,1,"")</f>
        <v/>
      </c>
      <c r="R9" s="9" t="str">
        <f>IF(D9=$R$3,1,"")</f>
        <v/>
      </c>
      <c r="S9" s="9" t="str">
        <f>IF(D9=$S$3,1,"")</f>
        <v/>
      </c>
      <c r="T9" s="9" t="str">
        <f>IF(D9=$T$3,1,"")</f>
        <v/>
      </c>
      <c r="U9" s="9" t="str">
        <f>IF(D9=$U$3,1,"")</f>
        <v/>
      </c>
      <c r="V9" s="9" t="str">
        <f>IF(D9=$V$3,1,"")</f>
        <v/>
      </c>
      <c r="W9" s="9">
        <f>IF(D9=$W$3,1,"")</f>
        <v>1</v>
      </c>
      <c r="X9" s="9" t="str">
        <f>IF(D9=$X$3,1,"")</f>
        <v/>
      </c>
      <c r="Y9" s="9" t="e">
        <f>IF(#REF!=$X$3,1,"")</f>
        <v>#REF!</v>
      </c>
      <c r="Z9" s="9" t="str">
        <f t="shared" si="2"/>
        <v/>
      </c>
      <c r="AA9" s="9" t="str">
        <f t="shared" si="3"/>
        <v/>
      </c>
      <c r="AB9" s="9" t="str">
        <f t="shared" si="4"/>
        <v/>
      </c>
      <c r="AC9" s="9" t="str">
        <f t="shared" si="5"/>
        <v/>
      </c>
      <c r="AD9" s="9" t="str">
        <f t="shared" si="6"/>
        <v/>
      </c>
    </row>
    <row r="10" spans="1:30" ht="21" customHeight="1" x14ac:dyDescent="0.2">
      <c r="A10" s="15">
        <f t="shared" si="7"/>
        <v>7</v>
      </c>
      <c r="B10" s="25" t="s">
        <v>38</v>
      </c>
      <c r="C10" s="16" t="str">
        <f t="shared" si="8"/>
        <v>vs</v>
      </c>
      <c r="D10" s="17" t="s">
        <v>16</v>
      </c>
      <c r="E10" s="16">
        <v>2010</v>
      </c>
      <c r="F10" s="18" t="s">
        <v>23</v>
      </c>
      <c r="G10" s="9"/>
      <c r="H10" s="19" t="s">
        <v>39</v>
      </c>
      <c r="M10" s="9" t="str">
        <f>IF(D10=$M$3,1,"")</f>
        <v/>
      </c>
      <c r="N10" s="9" t="str">
        <f>IF(D10=$N$3,1,"")</f>
        <v/>
      </c>
      <c r="O10" s="9" t="str">
        <f>IF(D10=$O$3,1,"")</f>
        <v/>
      </c>
      <c r="P10" s="9" t="str">
        <f>IF(D10=$P$3,1,"")</f>
        <v/>
      </c>
      <c r="Q10" s="9" t="str">
        <f>IF(D10=$Q$3,1,"")</f>
        <v/>
      </c>
      <c r="R10" s="9" t="str">
        <f>IF(D10=$R$3,1,"")</f>
        <v/>
      </c>
      <c r="S10" s="9" t="str">
        <f>IF(D10=$S$3,1,"")</f>
        <v/>
      </c>
      <c r="T10" s="9" t="str">
        <f>IF(D10=$T$3,1,"")</f>
        <v/>
      </c>
      <c r="U10" s="9">
        <f>IF(D10=$U$3,1,"")</f>
        <v>1</v>
      </c>
      <c r="V10" s="9" t="str">
        <f>IF(D10=$V$3,1,"")</f>
        <v/>
      </c>
      <c r="W10" s="9" t="str">
        <f>IF(D10=$W$3,1,"")</f>
        <v/>
      </c>
      <c r="X10" s="9" t="str">
        <f>IF(D10=$X$3,1,"")</f>
        <v/>
      </c>
      <c r="Y10" s="9" t="e">
        <f>IF(#REF!=$X$3,1,"")</f>
        <v>#REF!</v>
      </c>
      <c r="Z10" s="9" t="str">
        <f t="shared" si="2"/>
        <v/>
      </c>
      <c r="AA10" s="9" t="str">
        <f t="shared" si="3"/>
        <v/>
      </c>
      <c r="AB10" s="9" t="str">
        <f t="shared" si="4"/>
        <v/>
      </c>
      <c r="AC10" s="9" t="str">
        <f t="shared" si="5"/>
        <v/>
      </c>
      <c r="AD10" s="9" t="str">
        <f t="shared" si="6"/>
        <v/>
      </c>
    </row>
    <row r="11" spans="1:30" ht="21" customHeight="1" x14ac:dyDescent="0.2">
      <c r="A11" s="15">
        <f t="shared" si="7"/>
        <v>8</v>
      </c>
      <c r="B11" s="25" t="s">
        <v>40</v>
      </c>
      <c r="C11" s="16" t="str">
        <f t="shared" si="8"/>
        <v>vs</v>
      </c>
      <c r="D11" s="17" t="s">
        <v>13</v>
      </c>
      <c r="E11" s="16">
        <v>2010</v>
      </c>
      <c r="F11" s="18" t="s">
        <v>23</v>
      </c>
      <c r="G11" s="109">
        <v>41145</v>
      </c>
      <c r="H11" s="19" t="s">
        <v>41</v>
      </c>
      <c r="M11" s="9" t="str">
        <f>IF(D11=$M$3,1,"")</f>
        <v/>
      </c>
      <c r="N11" s="9" t="str">
        <f>IF(D11=$N$3,1,"")</f>
        <v/>
      </c>
      <c r="O11" s="9" t="str">
        <f>IF(D11=$O$3,1,"")</f>
        <v/>
      </c>
      <c r="P11" s="9" t="str">
        <f>IF(D11=$P$3,1,"")</f>
        <v/>
      </c>
      <c r="Q11" s="9" t="str">
        <f>IF(D11=$Q$3,1,"")</f>
        <v/>
      </c>
      <c r="R11" s="9">
        <f>IF(D11=$R$3,1,"")</f>
        <v>1</v>
      </c>
      <c r="S11" s="9" t="str">
        <f>IF(D11=$S$3,1,"")</f>
        <v/>
      </c>
      <c r="T11" s="9" t="str">
        <f>IF(D11=$T$3,1,"")</f>
        <v/>
      </c>
      <c r="U11" s="9" t="str">
        <f>IF(D11=$U$3,1,"")</f>
        <v/>
      </c>
      <c r="V11" s="9" t="str">
        <f>IF(D11=$V$3,1,"")</f>
        <v/>
      </c>
      <c r="W11" s="9" t="str">
        <f>IF(D11=$W$3,1,"")</f>
        <v/>
      </c>
      <c r="X11" s="9" t="str">
        <f>IF(D11=$X$3,1,"")</f>
        <v/>
      </c>
      <c r="Y11" s="9" t="e">
        <f>IF(#REF!=$X$3,1,"")</f>
        <v>#REF!</v>
      </c>
      <c r="Z11" s="9" t="str">
        <f t="shared" si="2"/>
        <v/>
      </c>
      <c r="AA11" s="9" t="str">
        <f t="shared" si="3"/>
        <v/>
      </c>
      <c r="AB11" s="9" t="str">
        <f t="shared" si="4"/>
        <v/>
      </c>
      <c r="AC11" s="9" t="str">
        <f t="shared" si="5"/>
        <v/>
      </c>
      <c r="AD11" s="9" t="str">
        <f t="shared" si="6"/>
        <v/>
      </c>
    </row>
    <row r="12" spans="1:30" ht="21" customHeight="1" x14ac:dyDescent="0.2">
      <c r="A12" s="15">
        <f t="shared" si="7"/>
        <v>9</v>
      </c>
      <c r="B12" s="25" t="s">
        <v>42</v>
      </c>
      <c r="C12" s="16" t="str">
        <f t="shared" si="8"/>
        <v>vs</v>
      </c>
      <c r="D12" s="17" t="s">
        <v>13</v>
      </c>
      <c r="E12" s="16">
        <v>2010</v>
      </c>
      <c r="F12" s="18" t="s">
        <v>23</v>
      </c>
      <c r="G12" s="114" t="s">
        <v>43</v>
      </c>
      <c r="H12" s="19" t="s">
        <v>44</v>
      </c>
      <c r="M12" s="9" t="str">
        <f>IF(D12=$M$3,1,"")</f>
        <v/>
      </c>
      <c r="N12" s="9" t="str">
        <f>IF(D12=$N$3,1,"")</f>
        <v/>
      </c>
      <c r="O12" s="9" t="str">
        <f>IF(D12=$O$3,1,"")</f>
        <v/>
      </c>
      <c r="P12" s="9" t="str">
        <f>IF(D12=$P$3,1,"")</f>
        <v/>
      </c>
      <c r="Q12" s="9" t="str">
        <f>IF(D12=$Q$3,1,"")</f>
        <v/>
      </c>
      <c r="R12" s="9">
        <f>IF(D12=$R$3,1,"")</f>
        <v>1</v>
      </c>
      <c r="S12" s="9" t="str">
        <f>IF(D12=$S$3,1,"")</f>
        <v/>
      </c>
      <c r="T12" s="9" t="str">
        <f>IF(D12=$T$3,1,"")</f>
        <v/>
      </c>
      <c r="U12" s="9" t="str">
        <f>IF(D12=$U$3,1,"")</f>
        <v/>
      </c>
      <c r="V12" s="9" t="str">
        <f>IF(D12=$V$3,1,"")</f>
        <v/>
      </c>
      <c r="W12" s="9" t="str">
        <f>IF(D12=$W$3,1,"")</f>
        <v/>
      </c>
      <c r="X12" s="9" t="str">
        <f>IF(D12=$X$3,1,"")</f>
        <v/>
      </c>
      <c r="Y12" s="9" t="e">
        <f>IF(#REF!=$X$3,1,"")</f>
        <v>#REF!</v>
      </c>
      <c r="Z12" s="9" t="str">
        <f t="shared" si="2"/>
        <v/>
      </c>
      <c r="AA12" s="9" t="str">
        <f t="shared" si="3"/>
        <v/>
      </c>
      <c r="AB12" s="9" t="str">
        <f t="shared" si="4"/>
        <v/>
      </c>
      <c r="AC12" s="9" t="str">
        <f t="shared" si="5"/>
        <v/>
      </c>
      <c r="AD12" s="9" t="str">
        <f t="shared" si="6"/>
        <v/>
      </c>
    </row>
    <row r="13" spans="1:30" ht="21" customHeight="1" x14ac:dyDescent="0.2">
      <c r="A13" s="15">
        <f t="shared" si="7"/>
        <v>10</v>
      </c>
      <c r="B13" s="25" t="s">
        <v>45</v>
      </c>
      <c r="C13" s="16" t="str">
        <f t="shared" si="8"/>
        <v>vs</v>
      </c>
      <c r="D13" s="17" t="s">
        <v>13</v>
      </c>
      <c r="E13" s="16">
        <v>2010</v>
      </c>
      <c r="F13" s="18" t="s">
        <v>23</v>
      </c>
      <c r="G13" s="9"/>
      <c r="H13" s="19" t="s">
        <v>46</v>
      </c>
      <c r="M13" s="9" t="str">
        <f>IF(D13=$M$3,1,"")</f>
        <v/>
      </c>
      <c r="N13" s="9" t="str">
        <f>IF(D13=$N$3,1,"")</f>
        <v/>
      </c>
      <c r="O13" s="9" t="str">
        <f>IF(D13=$O$3,1,"")</f>
        <v/>
      </c>
      <c r="P13" s="9" t="str">
        <f>IF(D13=$P$3,1,"")</f>
        <v/>
      </c>
      <c r="Q13" s="9" t="str">
        <f>IF(D13=$Q$3,1,"")</f>
        <v/>
      </c>
      <c r="R13" s="9">
        <f>IF(D13=$R$3,1,"")</f>
        <v>1</v>
      </c>
      <c r="S13" s="9" t="str">
        <f>IF(D13=$S$3,1,"")</f>
        <v/>
      </c>
      <c r="T13" s="9" t="str">
        <f>IF(D13=$T$3,1,"")</f>
        <v/>
      </c>
      <c r="U13" s="9" t="str">
        <f>IF(D13=$U$3,1,"")</f>
        <v/>
      </c>
      <c r="V13" s="9" t="str">
        <f>IF(D13=$V$3,1,"")</f>
        <v/>
      </c>
      <c r="W13" s="9" t="str">
        <f>IF(D13=$W$3,1,"")</f>
        <v/>
      </c>
      <c r="X13" s="9" t="str">
        <f>IF(D13=$X$3,1,"")</f>
        <v/>
      </c>
      <c r="Y13" s="9" t="e">
        <f>IF(#REF!=$X$3,1,"")</f>
        <v>#REF!</v>
      </c>
      <c r="Z13" s="9" t="str">
        <f t="shared" si="2"/>
        <v/>
      </c>
      <c r="AA13" s="9" t="str">
        <f t="shared" si="3"/>
        <v/>
      </c>
      <c r="AB13" s="9" t="str">
        <f t="shared" si="4"/>
        <v/>
      </c>
      <c r="AC13" s="9" t="str">
        <f t="shared" si="5"/>
        <v/>
      </c>
      <c r="AD13" s="9" t="str">
        <f t="shared" si="6"/>
        <v/>
      </c>
    </row>
    <row r="14" spans="1:30" ht="21" customHeight="1" x14ac:dyDescent="0.2">
      <c r="A14" s="15">
        <f t="shared" si="7"/>
        <v>11</v>
      </c>
      <c r="B14" s="25" t="s">
        <v>48</v>
      </c>
      <c r="C14" s="16" t="str">
        <f t="shared" si="8"/>
        <v>vs</v>
      </c>
      <c r="D14" s="17" t="s">
        <v>16</v>
      </c>
      <c r="E14" s="16">
        <v>2010</v>
      </c>
      <c r="F14" s="18" t="s">
        <v>23</v>
      </c>
      <c r="G14" s="9"/>
      <c r="H14" s="19" t="s">
        <v>49</v>
      </c>
      <c r="M14" s="9" t="str">
        <f>IF(D14=$M$3,1,"")</f>
        <v/>
      </c>
      <c r="N14" s="9" t="str">
        <f>IF(D14=$N$3,1,"")</f>
        <v/>
      </c>
      <c r="O14" s="9" t="str">
        <f>IF(D14=$O$3,1,"")</f>
        <v/>
      </c>
      <c r="P14" s="9" t="str">
        <f>IF(D14=$P$3,1,"")</f>
        <v/>
      </c>
      <c r="Q14" s="9" t="str">
        <f>IF(D14=$Q$3,1,"")</f>
        <v/>
      </c>
      <c r="R14" s="9" t="str">
        <f>IF(D14=$R$3,1,"")</f>
        <v/>
      </c>
      <c r="S14" s="9" t="str">
        <f>IF(D14=$S$3,1,"")</f>
        <v/>
      </c>
      <c r="T14" s="9" t="str">
        <f>IF(D14=$T$3,1,"")</f>
        <v/>
      </c>
      <c r="U14" s="9">
        <f>IF(D14=$U$3,1,"")</f>
        <v>1</v>
      </c>
      <c r="V14" s="9" t="str">
        <f>IF(D14=$V$3,1,"")</f>
        <v/>
      </c>
      <c r="W14" s="9" t="str">
        <f>IF(D14=$W$3,1,"")</f>
        <v/>
      </c>
      <c r="X14" s="9" t="str">
        <f>IF(D14=$X$3,1,"")</f>
        <v/>
      </c>
      <c r="Y14" s="9" t="e">
        <f>IF(#REF!=$X$3,1,"")</f>
        <v>#REF!</v>
      </c>
      <c r="Z14" s="9" t="str">
        <f t="shared" si="2"/>
        <v/>
      </c>
      <c r="AA14" s="9" t="str">
        <f t="shared" si="3"/>
        <v/>
      </c>
      <c r="AB14" s="9" t="str">
        <f t="shared" si="4"/>
        <v/>
      </c>
      <c r="AC14" s="9" t="str">
        <f t="shared" si="5"/>
        <v/>
      </c>
      <c r="AD14" s="9" t="str">
        <f t="shared" si="6"/>
        <v/>
      </c>
    </row>
    <row r="15" spans="1:30" ht="21" customHeight="1" x14ac:dyDescent="0.2">
      <c r="A15" s="15">
        <f t="shared" si="7"/>
        <v>12</v>
      </c>
      <c r="B15" s="144" t="s">
        <v>50</v>
      </c>
      <c r="C15" s="16" t="str">
        <f t="shared" si="8"/>
        <v>vs</v>
      </c>
      <c r="D15" s="17" t="s">
        <v>9</v>
      </c>
      <c r="E15" s="16">
        <v>2010</v>
      </c>
      <c r="F15" s="18" t="s">
        <v>33</v>
      </c>
      <c r="G15" s="9"/>
      <c r="H15" s="19" t="s">
        <v>51</v>
      </c>
      <c r="M15" s="9" t="str">
        <f>IF(D15=$M$3,1,"")</f>
        <v/>
      </c>
      <c r="N15" s="9">
        <f>IF(D15=$N$3,1,"")</f>
        <v>1</v>
      </c>
      <c r="O15" s="9" t="str">
        <f>IF(D15=$O$3,1,"")</f>
        <v/>
      </c>
      <c r="P15" s="9" t="str">
        <f>IF(D15=$P$3,1,"")</f>
        <v/>
      </c>
      <c r="Q15" s="9" t="str">
        <f>IF(D15=$Q$3,1,"")</f>
        <v/>
      </c>
      <c r="R15" s="9" t="str">
        <f>IF(D15=$R$3,1,"")</f>
        <v/>
      </c>
      <c r="S15" s="9" t="str">
        <f>IF(D15=$S$3,1,"")</f>
        <v/>
      </c>
      <c r="T15" s="9" t="str">
        <f>IF(D15=$T$3,1,"")</f>
        <v/>
      </c>
      <c r="U15" s="9" t="str">
        <f>IF(D15=$U$3,1,"")</f>
        <v/>
      </c>
      <c r="V15" s="9" t="str">
        <f>IF(D15=$V$3,1,"")</f>
        <v/>
      </c>
      <c r="W15" s="9" t="str">
        <f>IF(D15=$W$3,1,"")</f>
        <v/>
      </c>
      <c r="X15" s="9" t="str">
        <f>IF(D15=$X$3,1,"")</f>
        <v/>
      </c>
      <c r="Y15" s="9" t="e">
        <f>IF(#REF!=$X$3,1,"")</f>
        <v>#REF!</v>
      </c>
      <c r="Z15" s="9" t="str">
        <f t="shared" si="2"/>
        <v/>
      </c>
      <c r="AA15" s="9" t="str">
        <f t="shared" si="3"/>
        <v/>
      </c>
      <c r="AB15" s="9" t="str">
        <f t="shared" si="4"/>
        <v/>
      </c>
      <c r="AC15" s="9" t="str">
        <f t="shared" si="5"/>
        <v/>
      </c>
      <c r="AD15" s="9" t="str">
        <f t="shared" si="6"/>
        <v/>
      </c>
    </row>
    <row r="16" spans="1:30" ht="21" customHeight="1" x14ac:dyDescent="0.3">
      <c r="A16" s="15">
        <f>IF(B16="","",A15+1)</f>
        <v>13</v>
      </c>
      <c r="B16" s="25" t="s">
        <v>53</v>
      </c>
      <c r="C16" s="16" t="str">
        <f t="shared" si="8"/>
        <v>vs</v>
      </c>
      <c r="D16" s="17" t="s">
        <v>15</v>
      </c>
      <c r="E16" s="16">
        <v>2010</v>
      </c>
      <c r="F16" s="138" t="s">
        <v>23</v>
      </c>
      <c r="G16" s="88"/>
      <c r="H16" s="19" t="s">
        <v>54</v>
      </c>
      <c r="M16" s="9" t="str">
        <f>IF(D16=$M$3,1,"")</f>
        <v/>
      </c>
      <c r="N16" s="9" t="str">
        <f>IF(D16=$N$3,1,"")</f>
        <v/>
      </c>
      <c r="O16" s="9" t="str">
        <f>IF(D16=$O$3,1,"")</f>
        <v/>
      </c>
      <c r="P16" s="9" t="str">
        <f>IF(D16=$P$3,1,"")</f>
        <v/>
      </c>
      <c r="Q16" s="9" t="str">
        <f>IF(D16=$Q$3,1,"")</f>
        <v/>
      </c>
      <c r="R16" s="9" t="str">
        <f>IF(D16=$R$3,1,"")</f>
        <v/>
      </c>
      <c r="S16" s="9" t="str">
        <f>IF(D16=$S$3,1,"")</f>
        <v/>
      </c>
      <c r="T16" s="9">
        <f>IF(D16=$T$3,1,"")</f>
        <v>1</v>
      </c>
      <c r="U16" s="9" t="str">
        <f>IF(D16=$U$3,1,"")</f>
        <v/>
      </c>
      <c r="V16" s="9" t="str">
        <f>IF(D16=$V$3,1,"")</f>
        <v/>
      </c>
      <c r="W16" s="9" t="str">
        <f>IF(D16=$W$3,1,"")</f>
        <v/>
      </c>
      <c r="X16" s="9" t="str">
        <f>IF(D16=$X$3,1,"")</f>
        <v/>
      </c>
      <c r="Y16" s="9" t="e">
        <f>IF(#REF!=$X$3,1,"")</f>
        <v>#REF!</v>
      </c>
      <c r="Z16" s="9" t="str">
        <f t="shared" si="2"/>
        <v/>
      </c>
      <c r="AA16" s="9" t="str">
        <f t="shared" si="3"/>
        <v/>
      </c>
      <c r="AB16" s="9" t="str">
        <f t="shared" si="4"/>
        <v/>
      </c>
      <c r="AC16" s="9" t="str">
        <f t="shared" si="5"/>
        <v/>
      </c>
      <c r="AD16" s="9" t="str">
        <f t="shared" si="6"/>
        <v/>
      </c>
    </row>
    <row r="17" spans="1:30" ht="21" customHeight="1" x14ac:dyDescent="0.2">
      <c r="A17" s="15">
        <f t="shared" si="7"/>
        <v>14</v>
      </c>
      <c r="B17" s="25" t="s">
        <v>55</v>
      </c>
      <c r="C17" s="16" t="str">
        <f t="shared" si="8"/>
        <v>vs</v>
      </c>
      <c r="D17" s="17" t="s">
        <v>15</v>
      </c>
      <c r="E17" s="16">
        <v>2010</v>
      </c>
      <c r="F17" s="18" t="s">
        <v>23</v>
      </c>
      <c r="G17" s="9"/>
      <c r="H17" s="19" t="s">
        <v>56</v>
      </c>
      <c r="M17" s="9" t="str">
        <f>IF(D17=$M$3,1,"")</f>
        <v/>
      </c>
      <c r="N17" s="9" t="str">
        <f>IF(D17=$N$3,1,"")</f>
        <v/>
      </c>
      <c r="O17" s="9" t="str">
        <f>IF(D17=$O$3,1,"")</f>
        <v/>
      </c>
      <c r="P17" s="9" t="str">
        <f>IF(D17=$P$3,1,"")</f>
        <v/>
      </c>
      <c r="Q17" s="9" t="str">
        <f>IF(D17=$Q$3,1,"")</f>
        <v/>
      </c>
      <c r="R17" s="9" t="str">
        <f>IF(D17=$R$3,1,"")</f>
        <v/>
      </c>
      <c r="S17" s="9" t="str">
        <f>IF(D17=$S$3,1,"")</f>
        <v/>
      </c>
      <c r="T17" s="9">
        <f>IF(D17=$T$3,1,"")</f>
        <v>1</v>
      </c>
      <c r="U17" s="9" t="str">
        <f>IF(D17=$U$3,1,"")</f>
        <v/>
      </c>
      <c r="V17" s="9" t="str">
        <f>IF(D17=$V$3,1,"")</f>
        <v/>
      </c>
      <c r="W17" s="9" t="str">
        <f>IF(D17=$W$3,1,"")</f>
        <v/>
      </c>
      <c r="X17" s="9" t="str">
        <f>IF(D17=$X$3,1,"")</f>
        <v/>
      </c>
      <c r="Y17" s="9" t="e">
        <f>IF(#REF!=$X$3,1,"")</f>
        <v>#REF!</v>
      </c>
      <c r="Z17" s="9" t="str">
        <f t="shared" si="2"/>
        <v/>
      </c>
      <c r="AA17" s="9" t="str">
        <f t="shared" si="3"/>
        <v/>
      </c>
      <c r="AB17" s="9" t="str">
        <f t="shared" si="4"/>
        <v/>
      </c>
      <c r="AC17" s="9" t="str">
        <f t="shared" si="5"/>
        <v/>
      </c>
      <c r="AD17" s="9" t="str">
        <f t="shared" si="6"/>
        <v/>
      </c>
    </row>
    <row r="18" spans="1:30" ht="21" customHeight="1" x14ac:dyDescent="0.2">
      <c r="A18" s="15">
        <f t="shared" si="7"/>
        <v>15</v>
      </c>
      <c r="B18" s="25" t="s">
        <v>35</v>
      </c>
      <c r="C18" s="16" t="str">
        <f t="shared" si="8"/>
        <v>vs</v>
      </c>
      <c r="D18" s="17" t="s">
        <v>18</v>
      </c>
      <c r="E18" s="16">
        <v>2010</v>
      </c>
      <c r="F18" s="18" t="s">
        <v>33</v>
      </c>
      <c r="G18" s="9"/>
      <c r="H18" s="19" t="s">
        <v>57</v>
      </c>
      <c r="M18" s="9" t="str">
        <f>IF(D18=$M$3,1,"")</f>
        <v/>
      </c>
      <c r="N18" s="9" t="str">
        <f>IF(D18=$N$3,1,"")</f>
        <v/>
      </c>
      <c r="O18" s="9" t="str">
        <f>IF(D18=$O$3,1,"")</f>
        <v/>
      </c>
      <c r="P18" s="9" t="str">
        <f>IF(D18=$P$3,1,"")</f>
        <v/>
      </c>
      <c r="Q18" s="9" t="str">
        <f>IF(D18=$Q$3,1,"")</f>
        <v/>
      </c>
      <c r="R18" s="9" t="str">
        <f>IF(D18=$R$3,1,"")</f>
        <v/>
      </c>
      <c r="S18" s="9" t="str">
        <f>IF(D18=$S$3,1,"")</f>
        <v/>
      </c>
      <c r="T18" s="9" t="str">
        <f>IF(D18=$T$3,1,"")</f>
        <v/>
      </c>
      <c r="U18" s="9" t="str">
        <f>IF(D18=$U$3,1,"")</f>
        <v/>
      </c>
      <c r="V18" s="9" t="str">
        <f>IF(D18=$V$3,1,"")</f>
        <v/>
      </c>
      <c r="W18" s="9">
        <f>IF(D18=$W$3,1,"")</f>
        <v>1</v>
      </c>
      <c r="X18" s="9" t="str">
        <f>IF(D18=$X$3,1,"")</f>
        <v/>
      </c>
      <c r="Y18" s="9" t="e">
        <f>IF(#REF!=$X$3,1,"")</f>
        <v>#REF!</v>
      </c>
      <c r="Z18" s="9" t="str">
        <f t="shared" si="2"/>
        <v/>
      </c>
      <c r="AA18" s="9" t="str">
        <f t="shared" si="3"/>
        <v/>
      </c>
      <c r="AB18" s="9" t="str">
        <f t="shared" si="4"/>
        <v/>
      </c>
      <c r="AC18" s="9" t="str">
        <f t="shared" si="5"/>
        <v/>
      </c>
      <c r="AD18" s="9" t="str">
        <f t="shared" si="6"/>
        <v/>
      </c>
    </row>
    <row r="19" spans="1:30" ht="23.25" customHeight="1" x14ac:dyDescent="0.3">
      <c r="A19" s="15">
        <f>IF(B19="","",A18+1)</f>
        <v>16</v>
      </c>
      <c r="B19" s="25" t="s">
        <v>58</v>
      </c>
      <c r="C19" s="16" t="str">
        <f t="shared" si="8"/>
        <v>vs</v>
      </c>
      <c r="D19" s="17" t="s">
        <v>9</v>
      </c>
      <c r="E19" s="16">
        <v>2010</v>
      </c>
      <c r="F19" s="138" t="s">
        <v>23</v>
      </c>
      <c r="G19" s="88" t="s">
        <v>28</v>
      </c>
      <c r="H19" s="19" t="s">
        <v>59</v>
      </c>
      <c r="M19" s="9" t="str">
        <f>IF(D19=$M$3,1,"")</f>
        <v/>
      </c>
      <c r="N19" s="9">
        <f>IF(D19=$N$3,1,"")</f>
        <v>1</v>
      </c>
      <c r="O19" s="9" t="str">
        <f>IF(D19=$O$3,1,"")</f>
        <v/>
      </c>
      <c r="P19" s="9" t="str">
        <f>IF(D19=$P$3,1,"")</f>
        <v/>
      </c>
      <c r="Q19" s="9" t="str">
        <f>IF(D19=$Q$3,1,"")</f>
        <v/>
      </c>
      <c r="R19" s="9" t="str">
        <f>IF(D19=$R$3,1,"")</f>
        <v/>
      </c>
      <c r="S19" s="9" t="str">
        <f>IF(D19=$S$3,1,"")</f>
        <v/>
      </c>
      <c r="T19" s="9" t="str">
        <f>IF(D19=$T$3,1,"")</f>
        <v/>
      </c>
      <c r="U19" s="9" t="str">
        <f>IF(D19=$U$3,1,"")</f>
        <v/>
      </c>
      <c r="V19" s="9" t="str">
        <f>IF(D19=$V$3,1,"")</f>
        <v/>
      </c>
      <c r="W19" s="9" t="str">
        <f>IF(D19=$W$3,1,"")</f>
        <v/>
      </c>
      <c r="X19" s="9" t="str">
        <f>IF(D19=$X$3,1,"")</f>
        <v/>
      </c>
      <c r="Y19" s="9" t="e">
        <f>IF(#REF!=$X$3,1,"")</f>
        <v>#REF!</v>
      </c>
      <c r="Z19" s="9" t="str">
        <f t="shared" si="2"/>
        <v/>
      </c>
      <c r="AA19" s="9" t="str">
        <f t="shared" si="3"/>
        <v/>
      </c>
      <c r="AB19" s="9" t="str">
        <f t="shared" si="4"/>
        <v/>
      </c>
      <c r="AC19" s="9" t="str">
        <f t="shared" si="5"/>
        <v/>
      </c>
      <c r="AD19" s="9" t="str">
        <f t="shared" si="6"/>
        <v/>
      </c>
    </row>
    <row r="20" spans="1:30" ht="23.25" customHeight="1" x14ac:dyDescent="0.2">
      <c r="A20" s="15">
        <f t="shared" si="7"/>
        <v>17</v>
      </c>
      <c r="B20" s="25" t="s">
        <v>60</v>
      </c>
      <c r="C20" s="16" t="str">
        <f t="shared" si="8"/>
        <v>vs</v>
      </c>
      <c r="D20" s="17" t="s">
        <v>61</v>
      </c>
      <c r="E20" s="16">
        <v>2010</v>
      </c>
      <c r="F20" s="18" t="s">
        <v>23</v>
      </c>
      <c r="G20" s="9"/>
      <c r="H20" s="19" t="s">
        <v>62</v>
      </c>
      <c r="M20" s="9" t="str">
        <f>IF(D20=$M$3,1,"")</f>
        <v/>
      </c>
      <c r="N20" s="9" t="str">
        <f>IF(D20=$N$3,1,"")</f>
        <v/>
      </c>
      <c r="O20" s="9" t="str">
        <f>IF(D20=$O$3,1,"")</f>
        <v/>
      </c>
      <c r="P20" s="9" t="str">
        <f>IF(D20=$P$3,1,"")</f>
        <v/>
      </c>
      <c r="Q20" s="9" t="str">
        <f>IF(D20=$Q$3,1,"")</f>
        <v/>
      </c>
      <c r="R20" s="9" t="str">
        <f>IF(D20=$R$3,1,"")</f>
        <v/>
      </c>
      <c r="S20" s="9" t="str">
        <f>IF(D20=$S$3,1,"")</f>
        <v/>
      </c>
      <c r="T20" s="9" t="str">
        <f>IF(D20=$T$3,1,"")</f>
        <v/>
      </c>
      <c r="U20" s="9" t="str">
        <f>IF(D20=$U$3,1,"")</f>
        <v/>
      </c>
      <c r="V20" s="9" t="str">
        <f>IF(D20=$V$3,1,"")</f>
        <v/>
      </c>
      <c r="W20" s="9" t="str">
        <f>IF(D20=$W$3,1,"")</f>
        <v/>
      </c>
      <c r="X20" s="9" t="str">
        <f>IF(D20=$X$3,1,"")</f>
        <v/>
      </c>
      <c r="Y20" s="9" t="e">
        <f>IF(#REF!=$X$3,1,"")</f>
        <v>#REF!</v>
      </c>
      <c r="Z20" s="9" t="str">
        <f t="shared" ref="Z20:Z83" si="9">IF(F20=$Z$3,1,"")</f>
        <v/>
      </c>
      <c r="AA20" s="9" t="str">
        <f t="shared" ref="AA20:AA83" si="10">IF(F20=$AA$3,1,"")</f>
        <v/>
      </c>
      <c r="AB20" s="9" t="str">
        <f t="shared" ref="AB20:AB83" si="11">IF(F20=$AB$3,1,"")</f>
        <v/>
      </c>
      <c r="AC20" s="9" t="str">
        <f t="shared" ref="AC20:AC83" si="12">IF(F20=$AC$3,1,"")</f>
        <v/>
      </c>
      <c r="AD20" s="9" t="str">
        <f t="shared" ref="AD20:AD83" si="13">IF(F20=$AE$3,1,"")</f>
        <v/>
      </c>
    </row>
    <row r="21" spans="1:30" ht="21.75" customHeight="1" x14ac:dyDescent="0.2">
      <c r="A21" s="15">
        <f t="shared" si="7"/>
        <v>18</v>
      </c>
      <c r="B21" s="25" t="s">
        <v>63</v>
      </c>
      <c r="C21" s="16" t="str">
        <f t="shared" si="8"/>
        <v>vs</v>
      </c>
      <c r="D21" s="17" t="s">
        <v>15</v>
      </c>
      <c r="E21" s="16">
        <v>2010</v>
      </c>
      <c r="F21" s="18" t="s">
        <v>23</v>
      </c>
      <c r="G21" s="9" t="s">
        <v>28</v>
      </c>
      <c r="H21" s="19" t="s">
        <v>64</v>
      </c>
      <c r="M21" s="9" t="str">
        <f>IF(D21=$M$3,1,"")</f>
        <v/>
      </c>
      <c r="N21" s="9" t="str">
        <f>IF(D21=$N$3,1,"")</f>
        <v/>
      </c>
      <c r="O21" s="9" t="str">
        <f>IF(D21=$O$3,1,"")</f>
        <v/>
      </c>
      <c r="P21" s="9" t="str">
        <f>IF(D21=$P$3,1,"")</f>
        <v/>
      </c>
      <c r="Q21" s="9" t="str">
        <f>IF(D21=$Q$3,1,"")</f>
        <v/>
      </c>
      <c r="R21" s="9" t="str">
        <f>IF(D21=$R$3,1,"")</f>
        <v/>
      </c>
      <c r="S21" s="9" t="str">
        <f>IF(D21=$S$3,1,"")</f>
        <v/>
      </c>
      <c r="T21" s="9">
        <f>IF(D21=$T$3,1,"")</f>
        <v>1</v>
      </c>
      <c r="U21" s="9" t="str">
        <f>IF(D21=$U$3,1,"")</f>
        <v/>
      </c>
      <c r="V21" s="9" t="str">
        <f>IF(D21=$V$3,1,"")</f>
        <v/>
      </c>
      <c r="W21" s="9" t="str">
        <f>IF(D21=$W$3,1,"")</f>
        <v/>
      </c>
      <c r="X21" s="9" t="str">
        <f>IF(D21=$X$3,1,"")</f>
        <v/>
      </c>
      <c r="Y21" s="9" t="e">
        <f>IF(#REF!=$X$3,1,"")</f>
        <v>#REF!</v>
      </c>
      <c r="Z21" s="9" t="str">
        <f t="shared" si="9"/>
        <v/>
      </c>
      <c r="AA21" s="9" t="str">
        <f t="shared" si="10"/>
        <v/>
      </c>
      <c r="AB21" s="9" t="str">
        <f t="shared" si="11"/>
        <v/>
      </c>
      <c r="AC21" s="9" t="str">
        <f t="shared" si="12"/>
        <v/>
      </c>
      <c r="AD21" s="9" t="str">
        <f t="shared" si="13"/>
        <v/>
      </c>
    </row>
    <row r="22" spans="1:30" ht="21.75" customHeight="1" x14ac:dyDescent="0.2">
      <c r="A22" s="15">
        <f t="shared" si="7"/>
        <v>19</v>
      </c>
      <c r="B22" s="25" t="s">
        <v>65</v>
      </c>
      <c r="C22" s="16" t="str">
        <f t="shared" si="8"/>
        <v>vs</v>
      </c>
      <c r="D22" s="17" t="s">
        <v>15</v>
      </c>
      <c r="E22" s="16">
        <v>2010</v>
      </c>
      <c r="F22" s="18" t="s">
        <v>23</v>
      </c>
      <c r="G22" s="9"/>
      <c r="H22" s="19" t="s">
        <v>66</v>
      </c>
      <c r="M22" s="9" t="str">
        <f>IF(D22=$M$3,1,"")</f>
        <v/>
      </c>
      <c r="N22" s="9" t="str">
        <f>IF(D22=$N$3,1,"")</f>
        <v/>
      </c>
      <c r="O22" s="9" t="str">
        <f>IF(D22=$O$3,1,"")</f>
        <v/>
      </c>
      <c r="P22" s="9" t="str">
        <f>IF(D22=$P$3,1,"")</f>
        <v/>
      </c>
      <c r="Q22" s="9" t="str">
        <f>IF(D22=$Q$3,1,"")</f>
        <v/>
      </c>
      <c r="R22" s="9" t="str">
        <f>IF(D22=$R$3,1,"")</f>
        <v/>
      </c>
      <c r="S22" s="9" t="str">
        <f>IF(D22=$S$3,1,"")</f>
        <v/>
      </c>
      <c r="T22" s="9">
        <f>IF(D22=$T$3,1,"")</f>
        <v>1</v>
      </c>
      <c r="U22" s="9" t="str">
        <f>IF(D22=$U$3,1,"")</f>
        <v/>
      </c>
      <c r="V22" s="9" t="str">
        <f>IF(D22=$V$3,1,"")</f>
        <v/>
      </c>
      <c r="W22" s="9" t="str">
        <f>IF(D22=$W$3,1,"")</f>
        <v/>
      </c>
      <c r="X22" s="9" t="str">
        <f>IF(D22=$X$3,1,"")</f>
        <v/>
      </c>
      <c r="Y22" s="9" t="e">
        <f>IF(#REF!=$X$3,1,"")</f>
        <v>#REF!</v>
      </c>
      <c r="Z22" s="9" t="str">
        <f t="shared" si="9"/>
        <v/>
      </c>
      <c r="AA22" s="9" t="str">
        <f t="shared" si="10"/>
        <v/>
      </c>
      <c r="AB22" s="9" t="str">
        <f t="shared" si="11"/>
        <v/>
      </c>
      <c r="AC22" s="9" t="str">
        <f t="shared" si="12"/>
        <v/>
      </c>
      <c r="AD22" s="9" t="str">
        <f t="shared" si="13"/>
        <v/>
      </c>
    </row>
    <row r="23" spans="1:30" ht="21.75" customHeight="1" x14ac:dyDescent="0.3">
      <c r="A23" s="15"/>
      <c r="B23" s="137" t="s">
        <v>67</v>
      </c>
      <c r="C23" s="16"/>
      <c r="D23" s="17" t="s">
        <v>15</v>
      </c>
      <c r="E23" s="16">
        <v>2010</v>
      </c>
      <c r="F23" s="136" t="s">
        <v>23</v>
      </c>
      <c r="G23" s="9"/>
      <c r="H23" s="19"/>
      <c r="M23" s="9" t="str">
        <f>IF(D23=$M$3,1,"")</f>
        <v/>
      </c>
      <c r="N23" s="9" t="str">
        <f>IF(D23=$N$3,1,"")</f>
        <v/>
      </c>
      <c r="O23" s="9" t="str">
        <f>IF(D23=$O$3,1,"")</f>
        <v/>
      </c>
      <c r="P23" s="9" t="str">
        <f>IF(D23=$P$3,1,"")</f>
        <v/>
      </c>
      <c r="Q23" s="9" t="str">
        <f>IF(D23=$Q$3,1,"")</f>
        <v/>
      </c>
      <c r="R23" s="9" t="str">
        <f>IF(D23=$R$3,1,"")</f>
        <v/>
      </c>
      <c r="S23" s="9" t="str">
        <f>IF(D23=$S$3,1,"")</f>
        <v/>
      </c>
      <c r="T23" s="9">
        <f>IF(D23=$T$3,1,"")</f>
        <v>1</v>
      </c>
      <c r="U23" s="9" t="str">
        <f>IF(D23=$U$3,1,"")</f>
        <v/>
      </c>
      <c r="V23" s="9" t="str">
        <f>IF(D23=$V$3,1,"")</f>
        <v/>
      </c>
      <c r="W23" s="9" t="str">
        <f>IF(D23=$W$3,1,"")</f>
        <v/>
      </c>
      <c r="X23" s="9" t="str">
        <f>IF(D23=$X$3,1,"")</f>
        <v/>
      </c>
      <c r="Y23" s="9" t="e">
        <f>IF(#REF!=$X$3,1,"")</f>
        <v>#REF!</v>
      </c>
      <c r="Z23" s="9"/>
      <c r="AA23" s="9" t="str">
        <f t="shared" si="10"/>
        <v/>
      </c>
      <c r="AB23" s="9" t="str">
        <f t="shared" si="11"/>
        <v/>
      </c>
      <c r="AC23" s="9" t="str">
        <f t="shared" si="12"/>
        <v/>
      </c>
      <c r="AD23" s="9" t="str">
        <f t="shared" si="13"/>
        <v/>
      </c>
    </row>
    <row r="24" spans="1:30" ht="21.75" customHeight="1" x14ac:dyDescent="0.3">
      <c r="A24" s="15">
        <f>IF(B24="","",A22+1)</f>
        <v>20</v>
      </c>
      <c r="B24" s="32" t="s">
        <v>68</v>
      </c>
      <c r="C24" s="16" t="str">
        <f t="shared" si="8"/>
        <v>vs</v>
      </c>
      <c r="D24" s="17" t="s">
        <v>11</v>
      </c>
      <c r="E24" s="16">
        <v>2010</v>
      </c>
      <c r="F24" s="105" t="s">
        <v>23</v>
      </c>
      <c r="G24" s="88" t="s">
        <v>69</v>
      </c>
      <c r="H24" s="19" t="s">
        <v>70</v>
      </c>
      <c r="M24" s="9" t="str">
        <f>IF(D24=$M$3,1,"")</f>
        <v/>
      </c>
      <c r="N24" s="9" t="str">
        <f>IF(D24=$N$3,1,"")</f>
        <v/>
      </c>
      <c r="O24" s="9" t="str">
        <f>IF(D24=$O$3,1,"")</f>
        <v/>
      </c>
      <c r="P24" s="9">
        <f>IF(D24=$P$3,1,"")</f>
        <v>1</v>
      </c>
      <c r="Q24" s="9" t="str">
        <f>IF(D24=$Q$3,1,"")</f>
        <v/>
      </c>
      <c r="R24" s="9" t="str">
        <f>IF(D24=$R$3,1,"")</f>
        <v/>
      </c>
      <c r="S24" s="9" t="str">
        <f>IF(D24=$S$3,1,"")</f>
        <v/>
      </c>
      <c r="T24" s="9" t="str">
        <f>IF(D24=$T$3,1,"")</f>
        <v/>
      </c>
      <c r="U24" s="9" t="str">
        <f>IF(D24=$U$3,1,"")</f>
        <v/>
      </c>
      <c r="V24" s="9" t="str">
        <f>IF(D24=$V$3,1,"")</f>
        <v/>
      </c>
      <c r="W24" s="9" t="str">
        <f>IF(D24=$W$3,1,"")</f>
        <v/>
      </c>
      <c r="X24" s="9" t="str">
        <f>IF(D24=$X$3,1,"")</f>
        <v/>
      </c>
      <c r="Y24" s="9" t="e">
        <f>IF(#REF!=$X$3,1,"")</f>
        <v>#REF!</v>
      </c>
      <c r="Z24" s="9" t="str">
        <f t="shared" si="9"/>
        <v/>
      </c>
      <c r="AA24" s="9" t="str">
        <f t="shared" si="10"/>
        <v/>
      </c>
      <c r="AB24" s="9" t="str">
        <f t="shared" si="11"/>
        <v/>
      </c>
      <c r="AC24" s="9" t="str">
        <f t="shared" si="12"/>
        <v/>
      </c>
      <c r="AD24" s="9" t="str">
        <f t="shared" si="13"/>
        <v/>
      </c>
    </row>
    <row r="25" spans="1:30" ht="21" customHeight="1" x14ac:dyDescent="0.3">
      <c r="A25" s="15">
        <f t="shared" si="7"/>
        <v>21</v>
      </c>
      <c r="B25" s="25" t="s">
        <v>71</v>
      </c>
      <c r="C25" s="16" t="str">
        <f t="shared" si="8"/>
        <v>vs</v>
      </c>
      <c r="D25" s="17" t="s">
        <v>11</v>
      </c>
      <c r="E25" s="16">
        <v>2010</v>
      </c>
      <c r="F25" s="104" t="s">
        <v>23</v>
      </c>
      <c r="G25" s="88" t="s">
        <v>36</v>
      </c>
      <c r="H25" s="19" t="s">
        <v>72</v>
      </c>
      <c r="M25" s="9" t="str">
        <f>IF(D25=$M$3,1,"")</f>
        <v/>
      </c>
      <c r="N25" s="9" t="str">
        <f>IF(D25=$N$3,1,"")</f>
        <v/>
      </c>
      <c r="O25" s="9" t="str">
        <f>IF(D25=$O$3,1,"")</f>
        <v/>
      </c>
      <c r="P25" s="9">
        <f>IF(D25=$P$3,1,"")</f>
        <v>1</v>
      </c>
      <c r="Q25" s="9" t="str">
        <f>IF(D25=$Q$3,1,"")</f>
        <v/>
      </c>
      <c r="R25" s="9" t="str">
        <f>IF(D25=$R$3,1,"")</f>
        <v/>
      </c>
      <c r="S25" s="9" t="str">
        <f>IF(D25=$S$3,1,"")</f>
        <v/>
      </c>
      <c r="T25" s="9" t="str">
        <f>IF(D25=$T$3,1,"")</f>
        <v/>
      </c>
      <c r="U25" s="9" t="str">
        <f>IF(D25=$U$3,1,"")</f>
        <v/>
      </c>
      <c r="V25" s="9" t="str">
        <f>IF(D25=$V$3,1,"")</f>
        <v/>
      </c>
      <c r="W25" s="9" t="str">
        <f>IF(D25=$W$3,1,"")</f>
        <v/>
      </c>
      <c r="X25" s="9" t="str">
        <f>IF(D25=$X$3,1,"")</f>
        <v/>
      </c>
      <c r="Y25" s="9" t="e">
        <f>IF(#REF!=$X$3,1,"")</f>
        <v>#REF!</v>
      </c>
      <c r="Z25" s="9" t="str">
        <f t="shared" si="9"/>
        <v/>
      </c>
      <c r="AA25" s="9" t="str">
        <f t="shared" si="10"/>
        <v/>
      </c>
      <c r="AB25" s="9" t="str">
        <f t="shared" si="11"/>
        <v/>
      </c>
      <c r="AC25" s="9" t="str">
        <f t="shared" si="12"/>
        <v/>
      </c>
      <c r="AD25" s="9" t="str">
        <f t="shared" si="13"/>
        <v/>
      </c>
    </row>
    <row r="26" spans="1:30" ht="21" customHeight="1" x14ac:dyDescent="0.2">
      <c r="A26" s="15">
        <f t="shared" si="7"/>
        <v>22</v>
      </c>
      <c r="B26" s="25" t="s">
        <v>73</v>
      </c>
      <c r="C26" s="16" t="e">
        <f>IF(#REF!="","","vs")</f>
        <v>#REF!</v>
      </c>
      <c r="D26" s="17" t="s">
        <v>13</v>
      </c>
      <c r="E26" s="16">
        <v>2010</v>
      </c>
      <c r="F26" s="18" t="s">
        <v>23</v>
      </c>
      <c r="G26" s="9"/>
      <c r="H26" s="19" t="s">
        <v>74</v>
      </c>
      <c r="M26" s="9" t="str">
        <f>IF(D26=$M$3,1,"")</f>
        <v/>
      </c>
      <c r="N26" s="9" t="str">
        <f>IF(D26=$N$3,1,"")</f>
        <v/>
      </c>
      <c r="O26" s="9" t="str">
        <f>IF(D26=$O$3,1,"")</f>
        <v/>
      </c>
      <c r="P26" s="9" t="str">
        <f>IF(D26=$P$3,1,"")</f>
        <v/>
      </c>
      <c r="Q26" s="9" t="str">
        <f>IF(D26=$Q$3,1,"")</f>
        <v/>
      </c>
      <c r="R26" s="9">
        <f>IF(D26=$R$3,1,"")</f>
        <v>1</v>
      </c>
      <c r="S26" s="9" t="str">
        <f>IF(D26=$S$3,1,"")</f>
        <v/>
      </c>
      <c r="T26" s="9" t="str">
        <f>IF(D26=$T$3,1,"")</f>
        <v/>
      </c>
      <c r="U26" s="9" t="str">
        <f>IF(D26=$U$3,1,"")</f>
        <v/>
      </c>
      <c r="V26" s="9" t="str">
        <f>IF(D26=$V$3,1,"")</f>
        <v/>
      </c>
      <c r="W26" s="9" t="str">
        <f>IF(D26=$W$3,1,"")</f>
        <v/>
      </c>
      <c r="X26" s="9" t="str">
        <f>IF(D26=$X$3,1,"")</f>
        <v/>
      </c>
      <c r="Y26" s="9" t="e">
        <f>IF(#REF!=$X$3,1,"")</f>
        <v>#REF!</v>
      </c>
      <c r="Z26" s="9" t="str">
        <f t="shared" si="9"/>
        <v/>
      </c>
      <c r="AA26" s="9" t="str">
        <f t="shared" si="10"/>
        <v/>
      </c>
      <c r="AB26" s="9" t="str">
        <f t="shared" si="11"/>
        <v/>
      </c>
      <c r="AC26" s="9" t="str">
        <f t="shared" si="12"/>
        <v/>
      </c>
      <c r="AD26" s="9" t="str">
        <f t="shared" si="13"/>
        <v/>
      </c>
    </row>
    <row r="27" spans="1:30" ht="21" customHeight="1" x14ac:dyDescent="0.2">
      <c r="A27" s="15">
        <f t="shared" si="7"/>
        <v>23</v>
      </c>
      <c r="B27" s="25" t="s">
        <v>75</v>
      </c>
      <c r="C27" s="16" t="str">
        <f>IF(B26="","","vs")</f>
        <v>vs</v>
      </c>
      <c r="D27" s="17" t="s">
        <v>9</v>
      </c>
      <c r="E27" s="16">
        <v>2010</v>
      </c>
      <c r="F27" s="18" t="s">
        <v>33</v>
      </c>
      <c r="G27" s="9"/>
      <c r="H27" s="19" t="s">
        <v>76</v>
      </c>
      <c r="M27" s="9" t="str">
        <f>IF(D27=$M$3,1,"")</f>
        <v/>
      </c>
      <c r="N27" s="9">
        <f>IF(D27=$N$3,1,"")</f>
        <v>1</v>
      </c>
      <c r="O27" s="9" t="str">
        <f>IF(D27=$O$3,1,"")</f>
        <v/>
      </c>
      <c r="P27" s="9" t="str">
        <f>IF(D27=$P$3,1,"")</f>
        <v/>
      </c>
      <c r="Q27" s="9" t="str">
        <f>IF(D27=$Q$3,1,"")</f>
        <v/>
      </c>
      <c r="R27" s="9" t="str">
        <f>IF(D27=$R$3,1,"")</f>
        <v/>
      </c>
      <c r="S27" s="9" t="str">
        <f>IF(D27=$S$3,1,"")</f>
        <v/>
      </c>
      <c r="T27" s="9" t="str">
        <f>IF(D27=$T$3,1,"")</f>
        <v/>
      </c>
      <c r="U27" s="9" t="str">
        <f>IF(D27=$U$3,1,"")</f>
        <v/>
      </c>
      <c r="V27" s="9" t="str">
        <f>IF(D27=$V$3,1,"")</f>
        <v/>
      </c>
      <c r="W27" s="9" t="str">
        <f>IF(D27=$W$3,1,"")</f>
        <v/>
      </c>
      <c r="X27" s="9" t="str">
        <f>IF(D27=$X$3,1,"")</f>
        <v/>
      </c>
      <c r="Y27" s="9" t="e">
        <f>IF(#REF!=$X$3,1,"")</f>
        <v>#REF!</v>
      </c>
      <c r="Z27" s="9" t="str">
        <f t="shared" si="9"/>
        <v/>
      </c>
      <c r="AA27" s="9" t="str">
        <f t="shared" si="10"/>
        <v/>
      </c>
      <c r="AB27" s="9" t="str">
        <f t="shared" si="11"/>
        <v/>
      </c>
      <c r="AC27" s="9" t="str">
        <f t="shared" si="12"/>
        <v/>
      </c>
      <c r="AD27" s="9" t="str">
        <f t="shared" si="13"/>
        <v/>
      </c>
    </row>
    <row r="28" spans="1:30" ht="21" customHeight="1" thickBot="1" x14ac:dyDescent="0.25">
      <c r="A28" s="15">
        <f t="shared" si="7"/>
        <v>24</v>
      </c>
      <c r="B28" s="26" t="s">
        <v>77</v>
      </c>
      <c r="C28" s="23" t="str">
        <f>IF(B27="","","vs")</f>
        <v>vs</v>
      </c>
      <c r="D28" s="10" t="s">
        <v>9</v>
      </c>
      <c r="E28" s="23">
        <v>2010</v>
      </c>
      <c r="F28" s="11" t="s">
        <v>23</v>
      </c>
      <c r="G28" s="9"/>
      <c r="H28" s="19" t="s">
        <v>78</v>
      </c>
      <c r="M28" s="9" t="str">
        <f>IF(D28=$M$3,1,"")</f>
        <v/>
      </c>
      <c r="N28" s="9">
        <f>IF(D28=$N$3,1,"")</f>
        <v>1</v>
      </c>
      <c r="O28" s="9" t="str">
        <f>IF(D28=$O$3,1,"")</f>
        <v/>
      </c>
      <c r="P28" s="9" t="str">
        <f>IF(D28=$P$3,1,"")</f>
        <v/>
      </c>
      <c r="Q28" s="9" t="str">
        <f>IF(D28=$Q$3,1,"")</f>
        <v/>
      </c>
      <c r="R28" s="9" t="str">
        <f>IF(D28=$R$3,1,"")</f>
        <v/>
      </c>
      <c r="S28" s="9" t="str">
        <f>IF(D28=$S$3,1,"")</f>
        <v/>
      </c>
      <c r="T28" s="9" t="str">
        <f>IF(D28=$T$3,1,"")</f>
        <v/>
      </c>
      <c r="U28" s="9" t="str">
        <f>IF(D28=$U$3,1,"")</f>
        <v/>
      </c>
      <c r="V28" s="9" t="str">
        <f>IF(D28=$V$3,1,"")</f>
        <v/>
      </c>
      <c r="W28" s="9" t="str">
        <f>IF(D28=$W$3,1,"")</f>
        <v/>
      </c>
      <c r="X28" s="9" t="str">
        <f>IF(D28=$X$3,1,"")</f>
        <v/>
      </c>
      <c r="Y28" s="9" t="e">
        <f>IF(#REF!=$X$3,1,"")</f>
        <v>#REF!</v>
      </c>
      <c r="Z28" s="9" t="str">
        <f t="shared" si="9"/>
        <v/>
      </c>
      <c r="AA28" s="9" t="str">
        <f t="shared" si="10"/>
        <v/>
      </c>
      <c r="AB28" s="9" t="str">
        <f t="shared" si="11"/>
        <v/>
      </c>
      <c r="AC28" s="9" t="str">
        <f t="shared" si="12"/>
        <v/>
      </c>
      <c r="AD28" s="9" t="str">
        <f t="shared" si="13"/>
        <v/>
      </c>
    </row>
    <row r="29" spans="1:30" ht="21" customHeight="1" x14ac:dyDescent="0.2">
      <c r="A29" s="15">
        <f>IF(B29="","",A28+1)</f>
        <v>25</v>
      </c>
      <c r="B29" s="24" t="s">
        <v>79</v>
      </c>
      <c r="C29" s="13" t="str">
        <f>IF(B29="","","vs")</f>
        <v>vs</v>
      </c>
      <c r="D29" s="31" t="s">
        <v>18</v>
      </c>
      <c r="E29" s="13">
        <v>2011</v>
      </c>
      <c r="F29" s="119" t="s">
        <v>23</v>
      </c>
      <c r="G29" s="9" t="s">
        <v>80</v>
      </c>
      <c r="H29" s="19" t="s">
        <v>81</v>
      </c>
      <c r="M29" s="9" t="str">
        <f>IF(D29=$M$3,1,"")</f>
        <v/>
      </c>
      <c r="N29" s="9" t="str">
        <f>IF(D29=$N$3,1,"")</f>
        <v/>
      </c>
      <c r="O29" s="9" t="str">
        <f>IF(D29=$O$3,1,"")</f>
        <v/>
      </c>
      <c r="P29" s="9" t="str">
        <f>IF(D29=$P$3,1,"")</f>
        <v/>
      </c>
      <c r="Q29" s="9" t="str">
        <f>IF(D29=$Q$3,1,"")</f>
        <v/>
      </c>
      <c r="R29" s="9" t="str">
        <f>IF(D29=$R$3,1,"")</f>
        <v/>
      </c>
      <c r="S29" s="9" t="str">
        <f>IF(D29=$S$3,1,"")</f>
        <v/>
      </c>
      <c r="T29" s="9" t="str">
        <f>IF(D29=$T$3,1,"")</f>
        <v/>
      </c>
      <c r="U29" s="9" t="str">
        <f>IF(D29=$U$3,1,"")</f>
        <v/>
      </c>
      <c r="V29" s="9" t="str">
        <f>IF(D29=$V$3,1,"")</f>
        <v/>
      </c>
      <c r="W29" s="9">
        <f>IF(D29=$W$3,1,"")</f>
        <v>1</v>
      </c>
      <c r="X29" s="9" t="str">
        <f>IF(D29=$X$3,1,"")</f>
        <v/>
      </c>
      <c r="Y29" s="9" t="e">
        <f>IF(#REF!=$X$3,1,"")</f>
        <v>#REF!</v>
      </c>
      <c r="Z29" s="9" t="str">
        <f t="shared" si="9"/>
        <v/>
      </c>
      <c r="AA29" s="9" t="str">
        <f t="shared" si="10"/>
        <v/>
      </c>
      <c r="AB29" s="9" t="str">
        <f t="shared" si="11"/>
        <v/>
      </c>
      <c r="AC29" s="9" t="str">
        <f t="shared" si="12"/>
        <v/>
      </c>
      <c r="AD29" s="9" t="str">
        <f t="shared" si="13"/>
        <v/>
      </c>
    </row>
    <row r="30" spans="1:30" ht="21" customHeight="1" x14ac:dyDescent="0.2">
      <c r="A30" s="15">
        <f t="shared" si="7"/>
        <v>26</v>
      </c>
      <c r="B30" s="25" t="s">
        <v>82</v>
      </c>
      <c r="C30" s="16" t="str">
        <f>IF(B30="","","vs")</f>
        <v>vs</v>
      </c>
      <c r="D30" s="17" t="s">
        <v>9</v>
      </c>
      <c r="E30" s="16">
        <v>2011</v>
      </c>
      <c r="F30" s="18" t="s">
        <v>47</v>
      </c>
      <c r="G30" s="9" t="s">
        <v>83</v>
      </c>
      <c r="H30" s="19" t="s">
        <v>84</v>
      </c>
      <c r="M30" s="9" t="str">
        <f>IF(D30=$M$3,1,"")</f>
        <v/>
      </c>
      <c r="N30" s="9">
        <f>IF(D30=$N$3,1,"")</f>
        <v>1</v>
      </c>
      <c r="O30" s="9" t="str">
        <f>IF(D30=$O$3,1,"")</f>
        <v/>
      </c>
      <c r="P30" s="9" t="str">
        <f>IF(D30=$P$3,1,"")</f>
        <v/>
      </c>
      <c r="Q30" s="9" t="str">
        <f>IF(D30=$Q$3,1,"")</f>
        <v/>
      </c>
      <c r="R30" s="9" t="str">
        <f>IF(D30=$R$3,1,"")</f>
        <v/>
      </c>
      <c r="S30" s="9" t="str">
        <f>IF(D30=$S$3,1,"")</f>
        <v/>
      </c>
      <c r="T30" s="9" t="str">
        <f>IF(D30=$T$3,1,"")</f>
        <v/>
      </c>
      <c r="U30" s="9" t="str">
        <f>IF(D30=$U$3,1,"")</f>
        <v/>
      </c>
      <c r="V30" s="9" t="str">
        <f>IF(D30=$V$3,1,"")</f>
        <v/>
      </c>
      <c r="W30" s="9" t="str">
        <f>IF(D30=$W$3,1,"")</f>
        <v/>
      </c>
      <c r="X30" s="9" t="str">
        <f>IF(D30=$X$3,1,"")</f>
        <v/>
      </c>
      <c r="Y30" s="9" t="e">
        <f>IF(#REF!=$X$3,1,"")</f>
        <v>#REF!</v>
      </c>
      <c r="Z30" s="9" t="str">
        <f t="shared" si="9"/>
        <v/>
      </c>
      <c r="AA30" s="9" t="str">
        <f t="shared" si="10"/>
        <v/>
      </c>
      <c r="AB30" s="9" t="str">
        <f t="shared" si="11"/>
        <v/>
      </c>
      <c r="AC30" s="9" t="str">
        <f t="shared" si="12"/>
        <v/>
      </c>
      <c r="AD30" s="9" t="str">
        <f t="shared" si="13"/>
        <v/>
      </c>
    </row>
    <row r="31" spans="1:30" ht="21" customHeight="1" x14ac:dyDescent="0.2">
      <c r="A31" s="15">
        <f t="shared" si="7"/>
        <v>27</v>
      </c>
      <c r="B31" s="25" t="s">
        <v>85</v>
      </c>
      <c r="C31" s="16" t="str">
        <f t="shared" ref="C31:C67" si="14">IF(B31="","","vs")</f>
        <v>vs</v>
      </c>
      <c r="D31" s="17" t="s">
        <v>13</v>
      </c>
      <c r="E31" s="16">
        <v>2011</v>
      </c>
      <c r="F31" s="18" t="s">
        <v>23</v>
      </c>
      <c r="G31" s="9"/>
      <c r="H31" s="19" t="s">
        <v>86</v>
      </c>
      <c r="M31" s="9" t="str">
        <f>IF(D31=$M$3,1,"")</f>
        <v/>
      </c>
      <c r="N31" s="9" t="str">
        <f>IF(D31=$N$3,1,"")</f>
        <v/>
      </c>
      <c r="O31" s="9" t="str">
        <f>IF(D31=$O$3,1,"")</f>
        <v/>
      </c>
      <c r="P31" s="9" t="str">
        <f>IF(D31=$P$3,1,"")</f>
        <v/>
      </c>
      <c r="Q31" s="9" t="str">
        <f>IF(D31=$Q$3,1,"")</f>
        <v/>
      </c>
      <c r="R31" s="9">
        <f>IF(D31=$R$3,1,"")</f>
        <v>1</v>
      </c>
      <c r="S31" s="9" t="str">
        <f>IF(D31=$S$3,1,"")</f>
        <v/>
      </c>
      <c r="T31" s="9" t="str">
        <f>IF(D31=$T$3,1,"")</f>
        <v/>
      </c>
      <c r="U31" s="9" t="str">
        <f>IF(D31=$U$3,1,"")</f>
        <v/>
      </c>
      <c r="V31" s="9" t="str">
        <f>IF(D31=$V$3,1,"")</f>
        <v/>
      </c>
      <c r="W31" s="9" t="str">
        <f>IF(D31=$W$3,1,"")</f>
        <v/>
      </c>
      <c r="X31" s="9" t="str">
        <f>IF(D31=$X$3,1,"")</f>
        <v/>
      </c>
      <c r="Y31" s="9" t="e">
        <f>IF(#REF!=$X$3,1,"")</f>
        <v>#REF!</v>
      </c>
      <c r="Z31" s="9" t="str">
        <f t="shared" si="9"/>
        <v/>
      </c>
      <c r="AA31" s="9" t="str">
        <f t="shared" si="10"/>
        <v/>
      </c>
      <c r="AB31" s="9" t="str">
        <f t="shared" si="11"/>
        <v/>
      </c>
      <c r="AC31" s="9" t="str">
        <f t="shared" si="12"/>
        <v/>
      </c>
      <c r="AD31" s="9" t="str">
        <f t="shared" si="13"/>
        <v/>
      </c>
    </row>
    <row r="32" spans="1:30" ht="48" customHeight="1" x14ac:dyDescent="0.2">
      <c r="A32" s="54">
        <f t="shared" si="7"/>
        <v>28</v>
      </c>
      <c r="B32" s="139" t="s">
        <v>87</v>
      </c>
      <c r="C32" s="20" t="str">
        <f t="shared" si="14"/>
        <v>vs</v>
      </c>
      <c r="D32" s="21" t="s">
        <v>15</v>
      </c>
      <c r="E32" s="20">
        <v>2011</v>
      </c>
      <c r="F32" s="55" t="s">
        <v>47</v>
      </c>
      <c r="G32" s="9"/>
      <c r="H32" s="117" t="s">
        <v>88</v>
      </c>
      <c r="M32" s="9" t="str">
        <f>IF(D32=$M$3,1,"")</f>
        <v/>
      </c>
      <c r="N32" s="9" t="str">
        <f>IF(D32=$N$3,1,"")</f>
        <v/>
      </c>
      <c r="O32" s="9" t="str">
        <f>IF(D32=$O$3,1,"")</f>
        <v/>
      </c>
      <c r="P32" s="9" t="str">
        <f>IF(D32=$P$3,1,"")</f>
        <v/>
      </c>
      <c r="Q32" s="9" t="str">
        <f>IF(D32=$Q$3,1,"")</f>
        <v/>
      </c>
      <c r="R32" s="9" t="str">
        <f>IF(D32=$R$3,1,"")</f>
        <v/>
      </c>
      <c r="S32" s="9" t="str">
        <f>IF(D32=$S$3,1,"")</f>
        <v/>
      </c>
      <c r="T32" s="9">
        <f>IF(D32=$T$3,1,"")</f>
        <v>1</v>
      </c>
      <c r="U32" s="9" t="str">
        <f>IF(D32=$U$3,1,"")</f>
        <v/>
      </c>
      <c r="V32" s="9" t="str">
        <f>IF(D32=$V$3,1,"")</f>
        <v/>
      </c>
      <c r="W32" s="9" t="str">
        <f>IF(D32=$W$3,1,"")</f>
        <v/>
      </c>
      <c r="X32" s="9" t="str">
        <f>IF(D32=$X$3,1,"")</f>
        <v/>
      </c>
      <c r="Y32" s="9" t="e">
        <f>IF(#REF!=$X$3,1,"")</f>
        <v>#REF!</v>
      </c>
      <c r="Z32" s="9" t="str">
        <f t="shared" si="9"/>
        <v/>
      </c>
      <c r="AA32" s="9" t="str">
        <f t="shared" si="10"/>
        <v/>
      </c>
      <c r="AB32" s="9" t="str">
        <f t="shared" si="11"/>
        <v/>
      </c>
      <c r="AC32" s="9" t="str">
        <f t="shared" si="12"/>
        <v/>
      </c>
      <c r="AD32" s="9" t="str">
        <f t="shared" si="13"/>
        <v/>
      </c>
    </row>
    <row r="33" spans="1:30" ht="48" customHeight="1" x14ac:dyDescent="0.2">
      <c r="A33" s="132"/>
      <c r="B33" s="145" t="s">
        <v>89</v>
      </c>
      <c r="C33" s="27"/>
      <c r="D33" s="115" t="s">
        <v>9</v>
      </c>
      <c r="E33" s="27">
        <v>2011</v>
      </c>
      <c r="F33" s="134" t="s">
        <v>47</v>
      </c>
      <c r="G33" s="9" t="s">
        <v>90</v>
      </c>
      <c r="H33" s="146"/>
      <c r="M33" s="9" t="str">
        <f>IF(D33=$M$3,1,"")</f>
        <v/>
      </c>
      <c r="N33" s="9">
        <f>IF(D33=$N$3,1,"")</f>
        <v>1</v>
      </c>
      <c r="O33" s="9" t="str">
        <f>IF(D33=$O$3,1,"")</f>
        <v/>
      </c>
      <c r="P33" s="9" t="str">
        <f>IF(D33=$P$3,1,"")</f>
        <v/>
      </c>
      <c r="Q33" s="9" t="str">
        <f>IF(D33=$Q$3,1,"")</f>
        <v/>
      </c>
      <c r="R33" s="9" t="str">
        <f>IF(D33=$R$3,1,"")</f>
        <v/>
      </c>
      <c r="S33" s="9" t="str">
        <f>IF(D33=$S$3,1,"")</f>
        <v/>
      </c>
      <c r="T33" s="9" t="str">
        <f>IF(D33=$T$3,1,"")</f>
        <v/>
      </c>
      <c r="U33" s="9" t="str">
        <f>IF(D33=$U$3,1,"")</f>
        <v/>
      </c>
      <c r="V33" s="9" t="str">
        <f>IF(D33=$V$3,1,"")</f>
        <v/>
      </c>
      <c r="W33" s="9" t="str">
        <f>IF(D33=$W$3,1,"")</f>
        <v/>
      </c>
      <c r="X33" s="9" t="str">
        <f>IF(D33=$X$3,1,"")</f>
        <v/>
      </c>
      <c r="Y33" s="9" t="e">
        <f>IF(#REF!=$X$3,1,"")</f>
        <v>#REF!</v>
      </c>
      <c r="Z33" s="9" t="str">
        <f t="shared" si="9"/>
        <v/>
      </c>
      <c r="AA33" s="9"/>
      <c r="AB33" s="9" t="str">
        <f t="shared" si="11"/>
        <v/>
      </c>
      <c r="AC33" s="9" t="str">
        <f t="shared" si="12"/>
        <v/>
      </c>
      <c r="AD33" s="9" t="str">
        <f t="shared" si="13"/>
        <v/>
      </c>
    </row>
    <row r="34" spans="1:30" ht="48" customHeight="1" thickBot="1" x14ac:dyDescent="0.25">
      <c r="A34" s="132"/>
      <c r="B34" s="145" t="s">
        <v>91</v>
      </c>
      <c r="C34" s="27"/>
      <c r="D34" s="115" t="s">
        <v>9</v>
      </c>
      <c r="E34" s="27">
        <v>2011</v>
      </c>
      <c r="F34" s="134" t="s">
        <v>47</v>
      </c>
      <c r="G34" s="9" t="s">
        <v>90</v>
      </c>
      <c r="H34" s="146"/>
      <c r="M34" s="9" t="str">
        <f>IF(D34=$M$3,1,"")</f>
        <v/>
      </c>
      <c r="N34" s="9">
        <f>IF(D34=$N$3,1,"")</f>
        <v>1</v>
      </c>
      <c r="O34" s="9" t="str">
        <f>IF(D34=$O$3,1,"")</f>
        <v/>
      </c>
      <c r="P34" s="9" t="str">
        <f>IF(D34=$P$3,1,"")</f>
        <v/>
      </c>
      <c r="Q34" s="9" t="str">
        <f>IF(D34=$Q$3,1,"")</f>
        <v/>
      </c>
      <c r="R34" s="9" t="str">
        <f>IF(D34=$R$3,1,"")</f>
        <v/>
      </c>
      <c r="S34" s="9" t="str">
        <f>IF(D34=$S$3,1,"")</f>
        <v/>
      </c>
      <c r="T34" s="9" t="str">
        <f>IF(D34=$T$3,1,"")</f>
        <v/>
      </c>
      <c r="U34" s="9" t="str">
        <f>IF(D34=$U$3,1,"")</f>
        <v/>
      </c>
      <c r="V34" s="9" t="str">
        <f>IF(D34=$V$3,1,"")</f>
        <v/>
      </c>
      <c r="W34" s="9" t="str">
        <f>IF(D34=$W$3,1,"")</f>
        <v/>
      </c>
      <c r="X34" s="9" t="str">
        <f>IF(D34=$X$3,1,"")</f>
        <v/>
      </c>
      <c r="Y34" s="9" t="e">
        <f>IF(#REF!=$X$3,1,"")</f>
        <v>#REF!</v>
      </c>
      <c r="Z34" s="9" t="str">
        <f t="shared" si="9"/>
        <v/>
      </c>
      <c r="AA34" s="9"/>
      <c r="AB34" s="9" t="str">
        <f t="shared" si="11"/>
        <v/>
      </c>
      <c r="AC34" s="9" t="str">
        <f t="shared" si="12"/>
        <v/>
      </c>
      <c r="AD34" s="9" t="str">
        <f t="shared" si="13"/>
        <v/>
      </c>
    </row>
    <row r="35" spans="1:30" ht="21" customHeight="1" x14ac:dyDescent="0.2">
      <c r="A35" s="12">
        <f>IF(B35="","",A32+1)</f>
        <v>29</v>
      </c>
      <c r="B35" s="24" t="s">
        <v>92</v>
      </c>
      <c r="C35" s="13" t="str">
        <f t="shared" si="14"/>
        <v>vs</v>
      </c>
      <c r="D35" s="31" t="s">
        <v>18</v>
      </c>
      <c r="E35" s="13">
        <v>2011</v>
      </c>
      <c r="F35" s="119" t="s">
        <v>23</v>
      </c>
      <c r="G35" s="14"/>
      <c r="H35" s="60" t="s">
        <v>93</v>
      </c>
      <c r="M35" s="9" t="str">
        <f>IF(D35=$M$3,1,"")</f>
        <v/>
      </c>
      <c r="N35" s="9" t="str">
        <f>IF(D35=$N$3,1,"")</f>
        <v/>
      </c>
      <c r="O35" s="9" t="str">
        <f>IF(D35=$O$3,1,"")</f>
        <v/>
      </c>
      <c r="P35" s="9" t="str">
        <f>IF(D35=$P$3,1,"")</f>
        <v/>
      </c>
      <c r="Q35" s="9" t="str">
        <f>IF(D35=$Q$3,1,"")</f>
        <v/>
      </c>
      <c r="R35" s="9" t="str">
        <f>IF(D35=$R$3,1,"")</f>
        <v/>
      </c>
      <c r="S35" s="9" t="str">
        <f>IF(D35=$S$3,1,"")</f>
        <v/>
      </c>
      <c r="T35" s="9" t="str">
        <f>IF(D35=$T$3,1,"")</f>
        <v/>
      </c>
      <c r="U35" s="9" t="str">
        <f>IF(D35=$U$3,1,"")</f>
        <v/>
      </c>
      <c r="V35" s="9" t="str">
        <f>IF(D35=$V$3,1,"")</f>
        <v/>
      </c>
      <c r="W35" s="9">
        <f>IF(D35=$W$3,1,"")</f>
        <v>1</v>
      </c>
      <c r="X35" s="9" t="str">
        <f>IF(D35=$X$3,1,"")</f>
        <v/>
      </c>
      <c r="Y35" s="9" t="e">
        <f>IF(#REF!=$X$3,1,"")</f>
        <v>#REF!</v>
      </c>
      <c r="Z35" s="9" t="str">
        <f t="shared" si="9"/>
        <v/>
      </c>
      <c r="AA35" s="9" t="str">
        <f t="shared" si="10"/>
        <v/>
      </c>
      <c r="AB35" s="9" t="str">
        <f t="shared" si="11"/>
        <v/>
      </c>
      <c r="AC35" s="9" t="str">
        <f t="shared" si="12"/>
        <v/>
      </c>
      <c r="AD35" s="9" t="str">
        <f t="shared" si="13"/>
        <v/>
      </c>
    </row>
    <row r="36" spans="1:30" ht="21" customHeight="1" x14ac:dyDescent="0.2">
      <c r="A36" s="15">
        <f t="shared" si="7"/>
        <v>30</v>
      </c>
      <c r="B36" s="25" t="s">
        <v>94</v>
      </c>
      <c r="C36" s="16" t="str">
        <f t="shared" si="14"/>
        <v>vs</v>
      </c>
      <c r="D36" s="17" t="s">
        <v>9</v>
      </c>
      <c r="E36" s="16">
        <v>2011</v>
      </c>
      <c r="F36" s="18" t="s">
        <v>23</v>
      </c>
      <c r="G36" s="59"/>
      <c r="H36" s="61" t="s">
        <v>95</v>
      </c>
      <c r="M36" s="9" t="str">
        <f>IF(D36=$M$3,1,"")</f>
        <v/>
      </c>
      <c r="N36" s="9">
        <f>IF(D36=$N$3,1,"")</f>
        <v>1</v>
      </c>
      <c r="O36" s="9" t="str">
        <f>IF(D36=$O$3,1,"")</f>
        <v/>
      </c>
      <c r="P36" s="9" t="str">
        <f>IF(D36=$P$3,1,"")</f>
        <v/>
      </c>
      <c r="Q36" s="9" t="str">
        <f>IF(D36=$Q$3,1,"")</f>
        <v/>
      </c>
      <c r="R36" s="9" t="str">
        <f>IF(D36=$R$3,1,"")</f>
        <v/>
      </c>
      <c r="S36" s="9" t="str">
        <f>IF(D36=$S$3,1,"")</f>
        <v/>
      </c>
      <c r="T36" s="9" t="str">
        <f>IF(D36=$T$3,1,"")</f>
        <v/>
      </c>
      <c r="U36" s="9" t="str">
        <f>IF(D36=$U$3,1,"")</f>
        <v/>
      </c>
      <c r="V36" s="9" t="str">
        <f>IF(D36=$V$3,1,"")</f>
        <v/>
      </c>
      <c r="W36" s="9" t="str">
        <f>IF(D36=$W$3,1,"")</f>
        <v/>
      </c>
      <c r="X36" s="9" t="str">
        <f>IF(D36=$X$3,1,"")</f>
        <v/>
      </c>
      <c r="Y36" s="9" t="e">
        <f>IF(#REF!=$X$3,1,"")</f>
        <v>#REF!</v>
      </c>
      <c r="Z36" s="9" t="str">
        <f t="shared" si="9"/>
        <v/>
      </c>
      <c r="AA36" s="9" t="str">
        <f t="shared" si="10"/>
        <v/>
      </c>
      <c r="AB36" s="9" t="str">
        <f t="shared" si="11"/>
        <v/>
      </c>
      <c r="AC36" s="9" t="str">
        <f t="shared" si="12"/>
        <v/>
      </c>
      <c r="AD36" s="9" t="str">
        <f t="shared" si="13"/>
        <v/>
      </c>
    </row>
    <row r="37" spans="1:30" ht="21" customHeight="1" x14ac:dyDescent="0.2">
      <c r="A37" s="15">
        <f t="shared" si="7"/>
        <v>31</v>
      </c>
      <c r="B37" s="25" t="s">
        <v>96</v>
      </c>
      <c r="C37" s="16" t="str">
        <f t="shared" si="14"/>
        <v>vs</v>
      </c>
      <c r="D37" s="17" t="s">
        <v>9</v>
      </c>
      <c r="E37" s="16">
        <v>2011</v>
      </c>
      <c r="F37" s="18" t="s">
        <v>23</v>
      </c>
      <c r="G37" s="59"/>
      <c r="H37" s="61" t="s">
        <v>97</v>
      </c>
      <c r="M37" s="9" t="str">
        <f>IF(D37=$M$3,1,"")</f>
        <v/>
      </c>
      <c r="N37" s="9">
        <f>IF(D37=$N$3,1,"")</f>
        <v>1</v>
      </c>
      <c r="O37" s="9" t="str">
        <f>IF(D37=$O$3,1,"")</f>
        <v/>
      </c>
      <c r="P37" s="9" t="str">
        <f>IF(D37=$P$3,1,"")</f>
        <v/>
      </c>
      <c r="Q37" s="9" t="str">
        <f>IF(D37=$Q$3,1,"")</f>
        <v/>
      </c>
      <c r="R37" s="9" t="str">
        <f>IF(D37=$R$3,1,"")</f>
        <v/>
      </c>
      <c r="S37" s="9" t="str">
        <f>IF(D37=$S$3,1,"")</f>
        <v/>
      </c>
      <c r="T37" s="9" t="str">
        <f>IF(D37=$T$3,1,"")</f>
        <v/>
      </c>
      <c r="U37" s="9" t="str">
        <f>IF(D37=$U$3,1,"")</f>
        <v/>
      </c>
      <c r="V37" s="9" t="str">
        <f>IF(D37=$V$3,1,"")</f>
        <v/>
      </c>
      <c r="W37" s="9" t="str">
        <f>IF(D37=$W$3,1,"")</f>
        <v/>
      </c>
      <c r="X37" s="9" t="str">
        <f>IF(D37=$X$3,1,"")</f>
        <v/>
      </c>
      <c r="Y37" s="9" t="e">
        <f>IF(#REF!=$X$3,1,"")</f>
        <v>#REF!</v>
      </c>
      <c r="Z37" s="9" t="str">
        <f t="shared" si="9"/>
        <v/>
      </c>
      <c r="AA37" s="9" t="str">
        <f t="shared" si="10"/>
        <v/>
      </c>
      <c r="AB37" s="9" t="str">
        <f t="shared" si="11"/>
        <v/>
      </c>
      <c r="AC37" s="9" t="str">
        <f t="shared" si="12"/>
        <v/>
      </c>
      <c r="AD37" s="9" t="str">
        <f t="shared" si="13"/>
        <v/>
      </c>
    </row>
    <row r="38" spans="1:30" ht="21" customHeight="1" x14ac:dyDescent="0.2">
      <c r="A38" s="15">
        <f t="shared" si="7"/>
        <v>32</v>
      </c>
      <c r="B38" s="25" t="s">
        <v>98</v>
      </c>
      <c r="C38" s="16" t="str">
        <f t="shared" si="14"/>
        <v>vs</v>
      </c>
      <c r="D38" s="17" t="s">
        <v>16</v>
      </c>
      <c r="E38" s="16">
        <v>2011</v>
      </c>
      <c r="F38" s="18" t="s">
        <v>23</v>
      </c>
      <c r="G38" s="59"/>
      <c r="H38" s="61" t="s">
        <v>99</v>
      </c>
      <c r="M38" s="9" t="str">
        <f>IF(D38=$M$3,1,"")</f>
        <v/>
      </c>
      <c r="N38" s="9" t="str">
        <f>IF(D38=$N$3,1,"")</f>
        <v/>
      </c>
      <c r="O38" s="9" t="str">
        <f>IF(D38=$O$3,1,"")</f>
        <v/>
      </c>
      <c r="P38" s="9" t="str">
        <f>IF(D38=$P$3,1,"")</f>
        <v/>
      </c>
      <c r="Q38" s="9" t="str">
        <f>IF(D38=$Q$3,1,"")</f>
        <v/>
      </c>
      <c r="R38" s="9" t="str">
        <f>IF(D38=$R$3,1,"")</f>
        <v/>
      </c>
      <c r="S38" s="9" t="str">
        <f>IF(D38=$S$3,1,"")</f>
        <v/>
      </c>
      <c r="T38" s="9" t="str">
        <f>IF(D38=$T$3,1,"")</f>
        <v/>
      </c>
      <c r="U38" s="9">
        <f>IF(D38=$U$3,1,"")</f>
        <v>1</v>
      </c>
      <c r="V38" s="9" t="str">
        <f>IF(D38=$V$3,1,"")</f>
        <v/>
      </c>
      <c r="W38" s="9" t="str">
        <f>IF(D38=$W$3,1,"")</f>
        <v/>
      </c>
      <c r="X38" s="9" t="str">
        <f>IF(D38=$X$3,1,"")</f>
        <v/>
      </c>
      <c r="Y38" s="9" t="e">
        <f>IF(#REF!=$X$3,1,"")</f>
        <v>#REF!</v>
      </c>
      <c r="Z38" s="9" t="str">
        <f t="shared" si="9"/>
        <v/>
      </c>
      <c r="AA38" s="9" t="str">
        <f t="shared" si="10"/>
        <v/>
      </c>
      <c r="AB38" s="9" t="str">
        <f t="shared" si="11"/>
        <v/>
      </c>
      <c r="AC38" s="9" t="str">
        <f t="shared" si="12"/>
        <v/>
      </c>
      <c r="AD38" s="9" t="str">
        <f t="shared" si="13"/>
        <v/>
      </c>
    </row>
    <row r="39" spans="1:30" ht="21" customHeight="1" x14ac:dyDescent="0.2">
      <c r="A39" s="15">
        <f t="shared" si="7"/>
        <v>33</v>
      </c>
      <c r="B39" s="25" t="s">
        <v>100</v>
      </c>
      <c r="C39" s="16" t="str">
        <f t="shared" si="14"/>
        <v>vs</v>
      </c>
      <c r="D39" s="17" t="s">
        <v>9</v>
      </c>
      <c r="E39" s="16">
        <v>2011</v>
      </c>
      <c r="F39" s="18" t="s">
        <v>23</v>
      </c>
      <c r="G39" s="59"/>
      <c r="H39" s="61" t="s">
        <v>101</v>
      </c>
      <c r="M39" s="9" t="str">
        <f>IF(D39=$M$3,1,"")</f>
        <v/>
      </c>
      <c r="N39" s="9">
        <f>IF(D39=$N$3,1,"")</f>
        <v>1</v>
      </c>
      <c r="O39" s="9" t="str">
        <f>IF(D39=$O$3,1,"")</f>
        <v/>
      </c>
      <c r="P39" s="9" t="str">
        <f>IF(D39=$P$3,1,"")</f>
        <v/>
      </c>
      <c r="Q39" s="9" t="str">
        <f>IF(D39=$Q$3,1,"")</f>
        <v/>
      </c>
      <c r="R39" s="9" t="str">
        <f>IF(D39=$R$3,1,"")</f>
        <v/>
      </c>
      <c r="S39" s="9" t="str">
        <f>IF(D39=$S$3,1,"")</f>
        <v/>
      </c>
      <c r="T39" s="9" t="str">
        <f>IF(D39=$T$3,1,"")</f>
        <v/>
      </c>
      <c r="U39" s="9" t="str">
        <f>IF(D39=$U$3,1,"")</f>
        <v/>
      </c>
      <c r="V39" s="9" t="str">
        <f>IF(D39=$V$3,1,"")</f>
        <v/>
      </c>
      <c r="W39" s="9" t="str">
        <f>IF(D39=$W$3,1,"")</f>
        <v/>
      </c>
      <c r="X39" s="9" t="str">
        <f>IF(D39=$X$3,1,"")</f>
        <v/>
      </c>
      <c r="Y39" s="9" t="e">
        <f>IF(#REF!=$X$3,1,"")</f>
        <v>#REF!</v>
      </c>
      <c r="Z39" s="9" t="str">
        <f t="shared" si="9"/>
        <v/>
      </c>
      <c r="AA39" s="9" t="str">
        <f t="shared" si="10"/>
        <v/>
      </c>
      <c r="AB39" s="9" t="str">
        <f t="shared" si="11"/>
        <v/>
      </c>
      <c r="AC39" s="9" t="str">
        <f t="shared" si="12"/>
        <v/>
      </c>
      <c r="AD39" s="9" t="str">
        <f t="shared" si="13"/>
        <v/>
      </c>
    </row>
    <row r="40" spans="1:30" ht="21" customHeight="1" thickBot="1" x14ac:dyDescent="0.25">
      <c r="A40" s="22">
        <f t="shared" si="7"/>
        <v>34</v>
      </c>
      <c r="B40" s="26" t="s">
        <v>102</v>
      </c>
      <c r="C40" s="23" t="str">
        <f t="shared" si="14"/>
        <v>vs</v>
      </c>
      <c r="D40" s="10" t="s">
        <v>16</v>
      </c>
      <c r="E40" s="23">
        <v>2011</v>
      </c>
      <c r="F40" s="11" t="s">
        <v>47</v>
      </c>
      <c r="G40" s="87"/>
      <c r="H40" s="62" t="s">
        <v>103</v>
      </c>
      <c r="I40" s="7" t="s">
        <v>104</v>
      </c>
      <c r="M40" s="9" t="str">
        <f>IF(D40=$M$3,1,"")</f>
        <v/>
      </c>
      <c r="N40" s="9" t="str">
        <f>IF(D40=$N$3,1,"")</f>
        <v/>
      </c>
      <c r="O40" s="9" t="str">
        <f>IF(D40=$O$3,1,"")</f>
        <v/>
      </c>
      <c r="P40" s="9" t="str">
        <f>IF(D40=$P$3,1,"")</f>
        <v/>
      </c>
      <c r="Q40" s="9" t="str">
        <f>IF(D40=$Q$3,1,"")</f>
        <v/>
      </c>
      <c r="R40" s="9" t="str">
        <f>IF(D40=$R$3,1,"")</f>
        <v/>
      </c>
      <c r="S40" s="9" t="str">
        <f>IF(D40=$S$3,1,"")</f>
        <v/>
      </c>
      <c r="T40" s="9" t="str">
        <f>IF(D40=$T$3,1,"")</f>
        <v/>
      </c>
      <c r="U40" s="9">
        <f>IF(D40=$U$3,1,"")</f>
        <v>1</v>
      </c>
      <c r="V40" s="9" t="str">
        <f>IF(D40=$V$3,1,"")</f>
        <v/>
      </c>
      <c r="W40" s="9" t="str">
        <f>IF(D40=$W$3,1,"")</f>
        <v/>
      </c>
      <c r="X40" s="9" t="str">
        <f>IF(D40=$X$3,1,"")</f>
        <v/>
      </c>
      <c r="Y40" s="9" t="e">
        <f>IF(#REF!=$X$3,1,"")</f>
        <v>#REF!</v>
      </c>
      <c r="Z40" s="9" t="str">
        <f t="shared" si="9"/>
        <v/>
      </c>
      <c r="AA40" s="9" t="str">
        <f t="shared" si="10"/>
        <v/>
      </c>
      <c r="AB40" s="9" t="str">
        <f t="shared" si="11"/>
        <v/>
      </c>
      <c r="AC40" s="9" t="str">
        <f t="shared" si="12"/>
        <v/>
      </c>
      <c r="AD40" s="9" t="str">
        <f t="shared" si="13"/>
        <v/>
      </c>
    </row>
    <row r="41" spans="1:30" ht="21" customHeight="1" x14ac:dyDescent="0.2">
      <c r="A41" s="56">
        <f t="shared" si="7"/>
        <v>35</v>
      </c>
      <c r="B41" s="57" t="s">
        <v>105</v>
      </c>
      <c r="C41" s="58" t="str">
        <f t="shared" si="14"/>
        <v>vs</v>
      </c>
      <c r="D41" s="116" t="s">
        <v>9</v>
      </c>
      <c r="E41" s="58">
        <v>2011</v>
      </c>
      <c r="F41" s="103" t="s">
        <v>33</v>
      </c>
      <c r="G41" s="9"/>
      <c r="H41" s="118" t="s">
        <v>106</v>
      </c>
      <c r="M41" s="9" t="str">
        <f>IF(D41=$M$3,1,"")</f>
        <v/>
      </c>
      <c r="N41" s="9">
        <f>IF(D41=$N$3,1,"")</f>
        <v>1</v>
      </c>
      <c r="O41" s="9" t="str">
        <f>IF(D41=$O$3,1,"")</f>
        <v/>
      </c>
      <c r="P41" s="9" t="str">
        <f>IF(D41=$P$3,1,"")</f>
        <v/>
      </c>
      <c r="Q41" s="9" t="str">
        <f>IF(D41=$Q$3,1,"")</f>
        <v/>
      </c>
      <c r="R41" s="9" t="str">
        <f>IF(D41=$R$3,1,"")</f>
        <v/>
      </c>
      <c r="S41" s="9" t="str">
        <f>IF(D41=$S$3,1,"")</f>
        <v/>
      </c>
      <c r="T41" s="9" t="str">
        <f>IF(D41=$T$3,1,"")</f>
        <v/>
      </c>
      <c r="U41" s="9" t="str">
        <f>IF(D41=$U$3,1,"")</f>
        <v/>
      </c>
      <c r="V41" s="9" t="str">
        <f>IF(D41=$V$3,1,"")</f>
        <v/>
      </c>
      <c r="W41" s="9" t="str">
        <f>IF(D41=$W$3,1,"")</f>
        <v/>
      </c>
      <c r="X41" s="9" t="str">
        <f>IF(D41=$X$3,1,"")</f>
        <v/>
      </c>
      <c r="Y41" s="9" t="e">
        <f>IF(#REF!=$X$3,1,"")</f>
        <v>#REF!</v>
      </c>
      <c r="Z41" s="9" t="str">
        <f t="shared" si="9"/>
        <v/>
      </c>
      <c r="AA41" s="9" t="str">
        <f t="shared" si="10"/>
        <v/>
      </c>
      <c r="AB41" s="9" t="str">
        <f t="shared" si="11"/>
        <v/>
      </c>
      <c r="AC41" s="9" t="str">
        <f t="shared" si="12"/>
        <v/>
      </c>
      <c r="AD41" s="9" t="str">
        <f t="shared" si="13"/>
        <v/>
      </c>
    </row>
    <row r="42" spans="1:30" ht="21" customHeight="1" x14ac:dyDescent="0.2">
      <c r="A42" s="15">
        <f t="shared" si="7"/>
        <v>36</v>
      </c>
      <c r="B42" s="25" t="s">
        <v>107</v>
      </c>
      <c r="C42" s="16" t="str">
        <f t="shared" si="14"/>
        <v>vs</v>
      </c>
      <c r="D42" s="17" t="s">
        <v>9</v>
      </c>
      <c r="E42" s="16">
        <v>2011</v>
      </c>
      <c r="F42" s="18" t="s">
        <v>33</v>
      </c>
      <c r="G42" s="9"/>
      <c r="H42" s="19" t="s">
        <v>108</v>
      </c>
      <c r="M42" s="9" t="str">
        <f>IF(D42=$M$3,1,"")</f>
        <v/>
      </c>
      <c r="N42" s="9">
        <f>IF(D42=$N$3,1,"")</f>
        <v>1</v>
      </c>
      <c r="O42" s="9" t="str">
        <f>IF(D42=$O$3,1,"")</f>
        <v/>
      </c>
      <c r="P42" s="9" t="str">
        <f>IF(D42=$P$3,1,"")</f>
        <v/>
      </c>
      <c r="Q42" s="9" t="str">
        <f>IF(D42=$Q$3,1,"")</f>
        <v/>
      </c>
      <c r="R42" s="9" t="str">
        <f>IF(D42=$R$3,1,"")</f>
        <v/>
      </c>
      <c r="S42" s="9" t="str">
        <f>IF(D42=$S$3,1,"")</f>
        <v/>
      </c>
      <c r="T42" s="9" t="str">
        <f>IF(D42=$T$3,1,"")</f>
        <v/>
      </c>
      <c r="U42" s="9" t="str">
        <f>IF(D42=$U$3,1,"")</f>
        <v/>
      </c>
      <c r="V42" s="9" t="str">
        <f>IF(D42=$V$3,1,"")</f>
        <v/>
      </c>
      <c r="W42" s="9" t="str">
        <f>IF(D42=$W$3,1,"")</f>
        <v/>
      </c>
      <c r="X42" s="9" t="str">
        <f>IF(D42=$X$3,1,"")</f>
        <v/>
      </c>
      <c r="Y42" s="9" t="e">
        <f>IF(#REF!=$X$3,1,"")</f>
        <v>#REF!</v>
      </c>
      <c r="Z42" s="9" t="str">
        <f t="shared" si="9"/>
        <v/>
      </c>
      <c r="AA42" s="9" t="str">
        <f t="shared" si="10"/>
        <v/>
      </c>
      <c r="AB42" s="9" t="str">
        <f t="shared" si="11"/>
        <v/>
      </c>
      <c r="AC42" s="9" t="str">
        <f t="shared" si="12"/>
        <v/>
      </c>
      <c r="AD42" s="9" t="str">
        <f t="shared" si="13"/>
        <v/>
      </c>
    </row>
    <row r="43" spans="1:30" ht="21" customHeight="1" x14ac:dyDescent="0.2">
      <c r="A43" s="15">
        <f t="shared" si="7"/>
        <v>37</v>
      </c>
      <c r="B43" s="25" t="s">
        <v>109</v>
      </c>
      <c r="C43" s="16" t="str">
        <f t="shared" si="14"/>
        <v>vs</v>
      </c>
      <c r="D43" s="17" t="s">
        <v>61</v>
      </c>
      <c r="E43" s="16">
        <v>2011</v>
      </c>
      <c r="F43" s="18" t="s">
        <v>47</v>
      </c>
      <c r="G43" s="9"/>
      <c r="H43" s="19" t="s">
        <v>110</v>
      </c>
      <c r="M43" s="9" t="str">
        <f>IF(D43=$M$3,1,"")</f>
        <v/>
      </c>
      <c r="N43" s="9" t="str">
        <f>IF(D43=$N$3,1,"")</f>
        <v/>
      </c>
      <c r="O43" s="9" t="str">
        <f>IF(D43=$O$3,1,"")</f>
        <v/>
      </c>
      <c r="P43" s="9" t="str">
        <f>IF(D43=$P$3,1,"")</f>
        <v/>
      </c>
      <c r="Q43" s="9" t="str">
        <f>IF(D43=$Q$3,1,"")</f>
        <v/>
      </c>
      <c r="R43" s="9" t="str">
        <f>IF(D43=$R$3,1,"")</f>
        <v/>
      </c>
      <c r="S43" s="9" t="str">
        <f>IF(D43=$S$3,1,"")</f>
        <v/>
      </c>
      <c r="T43" s="9" t="str">
        <f>IF(D43=$T$3,1,"")</f>
        <v/>
      </c>
      <c r="U43" s="9" t="str">
        <f>IF(D43=$U$3,1,"")</f>
        <v/>
      </c>
      <c r="V43" s="9" t="str">
        <f>IF(D43=$V$3,1,"")</f>
        <v/>
      </c>
      <c r="W43" s="9" t="str">
        <f>IF(D43=$W$3,1,"")</f>
        <v/>
      </c>
      <c r="X43" s="9" t="str">
        <f>IF(D43=$X$3,1,"")</f>
        <v/>
      </c>
      <c r="Y43" s="9" t="e">
        <f>IF(#REF!=$X$3,1,"")</f>
        <v>#REF!</v>
      </c>
      <c r="Z43" s="9" t="str">
        <f t="shared" si="9"/>
        <v/>
      </c>
      <c r="AA43" s="9" t="str">
        <f t="shared" si="10"/>
        <v/>
      </c>
      <c r="AB43" s="9" t="str">
        <f t="shared" si="11"/>
        <v/>
      </c>
      <c r="AC43" s="9" t="str">
        <f t="shared" si="12"/>
        <v/>
      </c>
      <c r="AD43" s="9" t="str">
        <f t="shared" si="13"/>
        <v/>
      </c>
    </row>
    <row r="44" spans="1:30" ht="21" customHeight="1" x14ac:dyDescent="0.2">
      <c r="A44" s="15">
        <f t="shared" si="7"/>
        <v>38</v>
      </c>
      <c r="B44" s="25" t="s">
        <v>111</v>
      </c>
      <c r="C44" s="16" t="str">
        <f t="shared" si="14"/>
        <v>vs</v>
      </c>
      <c r="D44" s="17" t="s">
        <v>9</v>
      </c>
      <c r="E44" s="16">
        <v>2011</v>
      </c>
      <c r="F44" s="18" t="s">
        <v>23</v>
      </c>
      <c r="G44" s="9"/>
      <c r="H44" s="19" t="s">
        <v>112</v>
      </c>
      <c r="M44" s="9" t="str">
        <f>IF(D44=$M$3,1,"")</f>
        <v/>
      </c>
      <c r="N44" s="9">
        <f>IF(D44=$N$3,1,"")</f>
        <v>1</v>
      </c>
      <c r="O44" s="9" t="str">
        <f>IF(D44=$O$3,1,"")</f>
        <v/>
      </c>
      <c r="P44" s="9" t="str">
        <f>IF(D44=$P$3,1,"")</f>
        <v/>
      </c>
      <c r="Q44" s="9" t="str">
        <f>IF(D44=$Q$3,1,"")</f>
        <v/>
      </c>
      <c r="R44" s="9" t="str">
        <f>IF(D44=$R$3,1,"")</f>
        <v/>
      </c>
      <c r="S44" s="9" t="str">
        <f>IF(D44=$S$3,1,"")</f>
        <v/>
      </c>
      <c r="T44" s="9" t="str">
        <f>IF(D44=$T$3,1,"")</f>
        <v/>
      </c>
      <c r="U44" s="9" t="str">
        <f>IF(D44=$U$3,1,"")</f>
        <v/>
      </c>
      <c r="V44" s="9" t="str">
        <f>IF(D44=$V$3,1,"")</f>
        <v/>
      </c>
      <c r="W44" s="9" t="str">
        <f>IF(D44=$W$3,1,"")</f>
        <v/>
      </c>
      <c r="X44" s="9" t="str">
        <f>IF(D44=$X$3,1,"")</f>
        <v/>
      </c>
      <c r="Y44" s="9" t="e">
        <f>IF(#REF!=$X$3,1,"")</f>
        <v>#REF!</v>
      </c>
      <c r="Z44" s="9" t="str">
        <f t="shared" si="9"/>
        <v/>
      </c>
      <c r="AA44" s="9" t="str">
        <f t="shared" si="10"/>
        <v/>
      </c>
      <c r="AB44" s="9" t="str">
        <f t="shared" si="11"/>
        <v/>
      </c>
      <c r="AC44" s="9" t="str">
        <f t="shared" si="12"/>
        <v/>
      </c>
      <c r="AD44" s="9" t="str">
        <f t="shared" si="13"/>
        <v/>
      </c>
    </row>
    <row r="45" spans="1:30" ht="21" customHeight="1" x14ac:dyDescent="0.2">
      <c r="A45" s="15">
        <f t="shared" si="7"/>
        <v>39</v>
      </c>
      <c r="B45" s="25" t="s">
        <v>113</v>
      </c>
      <c r="C45" s="16" t="str">
        <f t="shared" si="14"/>
        <v>vs</v>
      </c>
      <c r="D45" s="17" t="s">
        <v>15</v>
      </c>
      <c r="E45" s="16">
        <v>2011</v>
      </c>
      <c r="F45" s="18" t="s">
        <v>33</v>
      </c>
      <c r="G45" s="9"/>
      <c r="H45" s="19" t="s">
        <v>114</v>
      </c>
      <c r="M45" s="9" t="str">
        <f>IF(D45=$M$3,1,"")</f>
        <v/>
      </c>
      <c r="N45" s="9" t="str">
        <f>IF(D45=$N$3,1,"")</f>
        <v/>
      </c>
      <c r="O45" s="9" t="str">
        <f>IF(D45=$O$3,1,"")</f>
        <v/>
      </c>
      <c r="P45" s="9" t="str">
        <f>IF(D45=$P$3,1,"")</f>
        <v/>
      </c>
      <c r="Q45" s="9" t="str">
        <f>IF(D45=$Q$3,1,"")</f>
        <v/>
      </c>
      <c r="R45" s="9" t="str">
        <f>IF(D45=$R$3,1,"")</f>
        <v/>
      </c>
      <c r="S45" s="9" t="str">
        <f>IF(D45=$S$3,1,"")</f>
        <v/>
      </c>
      <c r="T45" s="9">
        <f>IF(D45=$T$3,1,"")</f>
        <v>1</v>
      </c>
      <c r="U45" s="9" t="str">
        <f>IF(D45=$U$3,1,"")</f>
        <v/>
      </c>
      <c r="V45" s="9" t="str">
        <f>IF(D45=$V$3,1,"")</f>
        <v/>
      </c>
      <c r="W45" s="9" t="str">
        <f>IF(D45=$W$3,1,"")</f>
        <v/>
      </c>
      <c r="X45" s="9" t="str">
        <f>IF(D45=$X$3,1,"")</f>
        <v/>
      </c>
      <c r="Y45" s="9" t="e">
        <f>IF(#REF!=$X$3,1,"")</f>
        <v>#REF!</v>
      </c>
      <c r="Z45" s="9" t="str">
        <f t="shared" si="9"/>
        <v/>
      </c>
      <c r="AA45" s="9" t="str">
        <f t="shared" si="10"/>
        <v/>
      </c>
      <c r="AB45" s="9" t="str">
        <f t="shared" si="11"/>
        <v/>
      </c>
      <c r="AC45" s="9" t="str">
        <f t="shared" si="12"/>
        <v/>
      </c>
      <c r="AD45" s="9" t="str">
        <f t="shared" si="13"/>
        <v/>
      </c>
    </row>
    <row r="46" spans="1:30" ht="21" customHeight="1" x14ac:dyDescent="0.2">
      <c r="A46" s="15">
        <f t="shared" si="7"/>
        <v>40</v>
      </c>
      <c r="B46" s="25" t="s">
        <v>115</v>
      </c>
      <c r="C46" s="16" t="str">
        <f t="shared" si="14"/>
        <v>vs</v>
      </c>
      <c r="D46" s="17" t="s">
        <v>16</v>
      </c>
      <c r="E46" s="16">
        <v>2011</v>
      </c>
      <c r="F46" s="18" t="s">
        <v>33</v>
      </c>
      <c r="G46" s="9"/>
      <c r="H46" s="19" t="s">
        <v>116</v>
      </c>
      <c r="M46" s="9" t="str">
        <f>IF(D46=$M$3,1,"")</f>
        <v/>
      </c>
      <c r="N46" s="9" t="str">
        <f>IF(D46=$N$3,1,"")</f>
        <v/>
      </c>
      <c r="O46" s="9" t="str">
        <f>IF(D46=$O$3,1,"")</f>
        <v/>
      </c>
      <c r="P46" s="9" t="str">
        <f>IF(D46=$P$3,1,"")</f>
        <v/>
      </c>
      <c r="Q46" s="9" t="str">
        <f>IF(D46=$Q$3,1,"")</f>
        <v/>
      </c>
      <c r="R46" s="9" t="str">
        <f>IF(D46=$R$3,1,"")</f>
        <v/>
      </c>
      <c r="S46" s="9" t="str">
        <f>IF(D46=$S$3,1,"")</f>
        <v/>
      </c>
      <c r="T46" s="9" t="str">
        <f>IF(D46=$T$3,1,"")</f>
        <v/>
      </c>
      <c r="U46" s="9">
        <f>IF(D46=$U$3,1,"")</f>
        <v>1</v>
      </c>
      <c r="V46" s="9" t="str">
        <f>IF(D46=$V$3,1,"")</f>
        <v/>
      </c>
      <c r="W46" s="9" t="str">
        <f>IF(D46=$W$3,1,"")</f>
        <v/>
      </c>
      <c r="X46" s="9" t="str">
        <f>IF(D46=$X$3,1,"")</f>
        <v/>
      </c>
      <c r="Y46" s="9" t="e">
        <f>IF(#REF!=$X$3,1,"")</f>
        <v>#REF!</v>
      </c>
      <c r="Z46" s="9" t="str">
        <f t="shared" si="9"/>
        <v/>
      </c>
      <c r="AA46" s="9" t="str">
        <f t="shared" si="10"/>
        <v/>
      </c>
      <c r="AB46" s="9" t="str">
        <f t="shared" si="11"/>
        <v/>
      </c>
      <c r="AC46" s="9" t="str">
        <f t="shared" si="12"/>
        <v/>
      </c>
      <c r="AD46" s="9" t="str">
        <f t="shared" si="13"/>
        <v/>
      </c>
    </row>
    <row r="47" spans="1:30" ht="21" customHeight="1" x14ac:dyDescent="0.2">
      <c r="A47" s="15">
        <f t="shared" si="7"/>
        <v>41</v>
      </c>
      <c r="B47" s="25" t="s">
        <v>117</v>
      </c>
      <c r="C47" s="16" t="str">
        <f t="shared" si="14"/>
        <v>vs</v>
      </c>
      <c r="D47" s="17" t="s">
        <v>61</v>
      </c>
      <c r="E47" s="16">
        <v>2011</v>
      </c>
      <c r="F47" s="18" t="s">
        <v>23</v>
      </c>
      <c r="G47" s="9"/>
      <c r="H47" s="19" t="s">
        <v>118</v>
      </c>
      <c r="M47" s="9" t="str">
        <f>IF(D47=$M$3,1,"")</f>
        <v/>
      </c>
      <c r="N47" s="9" t="str">
        <f>IF(D47=$N$3,1,"")</f>
        <v/>
      </c>
      <c r="O47" s="9" t="str">
        <f>IF(D47=$O$3,1,"")</f>
        <v/>
      </c>
      <c r="P47" s="9" t="str">
        <f>IF(D47=$P$3,1,"")</f>
        <v/>
      </c>
      <c r="Q47" s="9" t="str">
        <f>IF(D47=$Q$3,1,"")</f>
        <v/>
      </c>
      <c r="R47" s="9" t="str">
        <f>IF(D47=$R$3,1,"")</f>
        <v/>
      </c>
      <c r="S47" s="9" t="str">
        <f>IF(D47=$S$3,1,"")</f>
        <v/>
      </c>
      <c r="T47" s="9" t="str">
        <f>IF(D47=$T$3,1,"")</f>
        <v/>
      </c>
      <c r="U47" s="9" t="str">
        <f>IF(D47=$U$3,1,"")</f>
        <v/>
      </c>
      <c r="V47" s="9" t="str">
        <f>IF(D47=$V$3,1,"")</f>
        <v/>
      </c>
      <c r="W47" s="9" t="str">
        <f>IF(D47=$W$3,1,"")</f>
        <v/>
      </c>
      <c r="X47" s="9" t="str">
        <f>IF(D47=$X$3,1,"")</f>
        <v/>
      </c>
      <c r="Y47" s="9" t="e">
        <f>IF(#REF!=$X$3,1,"")</f>
        <v>#REF!</v>
      </c>
      <c r="Z47" s="9" t="str">
        <f t="shared" si="9"/>
        <v/>
      </c>
      <c r="AA47" s="9" t="str">
        <f t="shared" si="10"/>
        <v/>
      </c>
      <c r="AB47" s="9" t="str">
        <f t="shared" si="11"/>
        <v/>
      </c>
      <c r="AC47" s="9" t="str">
        <f t="shared" si="12"/>
        <v/>
      </c>
      <c r="AD47" s="9" t="str">
        <f t="shared" si="13"/>
        <v/>
      </c>
    </row>
    <row r="48" spans="1:30" ht="21" customHeight="1" x14ac:dyDescent="0.2">
      <c r="A48" s="15">
        <f t="shared" si="7"/>
        <v>42</v>
      </c>
      <c r="B48" s="25" t="s">
        <v>119</v>
      </c>
      <c r="C48" s="16" t="str">
        <f t="shared" si="14"/>
        <v>vs</v>
      </c>
      <c r="D48" s="17" t="s">
        <v>15</v>
      </c>
      <c r="E48" s="16">
        <v>2011</v>
      </c>
      <c r="F48" s="18" t="s">
        <v>47</v>
      </c>
      <c r="G48" s="9"/>
      <c r="H48" s="19" t="s">
        <v>120</v>
      </c>
      <c r="M48" s="9" t="str">
        <f>IF(D48=$M$3,1,"")</f>
        <v/>
      </c>
      <c r="N48" s="9" t="str">
        <f>IF(D48=$N$3,1,"")</f>
        <v/>
      </c>
      <c r="O48" s="9" t="str">
        <f>IF(D48=$O$3,1,"")</f>
        <v/>
      </c>
      <c r="P48" s="9" t="str">
        <f>IF(D48=$P$3,1,"")</f>
        <v/>
      </c>
      <c r="Q48" s="9" t="str">
        <f>IF(D48=$Q$3,1,"")</f>
        <v/>
      </c>
      <c r="R48" s="9" t="str">
        <f>IF(D48=$R$3,1,"")</f>
        <v/>
      </c>
      <c r="S48" s="9" t="str">
        <f>IF(D48=$S$3,1,"")</f>
        <v/>
      </c>
      <c r="T48" s="9">
        <f>IF(D48=$T$3,1,"")</f>
        <v>1</v>
      </c>
      <c r="U48" s="9" t="str">
        <f>IF(D48=$U$3,1,"")</f>
        <v/>
      </c>
      <c r="V48" s="9" t="str">
        <f>IF(D48=$V$3,1,"")</f>
        <v/>
      </c>
      <c r="W48" s="9" t="str">
        <f>IF(D48=$W$3,1,"")</f>
        <v/>
      </c>
      <c r="X48" s="9" t="str">
        <f>IF(D48=$X$3,1,"")</f>
        <v/>
      </c>
      <c r="Y48" s="9" t="e">
        <f>IF(#REF!=$X$3,1,"")</f>
        <v>#REF!</v>
      </c>
      <c r="Z48" s="9" t="str">
        <f t="shared" si="9"/>
        <v/>
      </c>
      <c r="AA48" s="9" t="str">
        <f t="shared" si="10"/>
        <v/>
      </c>
      <c r="AB48" s="9" t="str">
        <f t="shared" si="11"/>
        <v/>
      </c>
      <c r="AC48" s="9" t="str">
        <f t="shared" si="12"/>
        <v/>
      </c>
      <c r="AD48" s="9" t="str">
        <f t="shared" si="13"/>
        <v/>
      </c>
    </row>
    <row r="49" spans="1:33" ht="21" customHeight="1" x14ac:dyDescent="0.2">
      <c r="A49" s="15">
        <f t="shared" si="7"/>
        <v>43</v>
      </c>
      <c r="B49" s="25" t="s">
        <v>121</v>
      </c>
      <c r="C49" s="16" t="str">
        <f t="shared" si="14"/>
        <v>vs</v>
      </c>
      <c r="D49" s="17" t="s">
        <v>15</v>
      </c>
      <c r="E49" s="16">
        <v>2011</v>
      </c>
      <c r="F49" s="18" t="s">
        <v>23</v>
      </c>
      <c r="G49" s="9"/>
      <c r="H49" s="19" t="s">
        <v>122</v>
      </c>
      <c r="M49" s="9" t="str">
        <f>IF(D49=$M$3,1,"")</f>
        <v/>
      </c>
      <c r="N49" s="9" t="str">
        <f>IF(D49=$N$3,1,"")</f>
        <v/>
      </c>
      <c r="O49" s="9" t="str">
        <f>IF(D49=$O$3,1,"")</f>
        <v/>
      </c>
      <c r="P49" s="9" t="str">
        <f>IF(D49=$P$3,1,"")</f>
        <v/>
      </c>
      <c r="Q49" s="9" t="str">
        <f>IF(D49=$Q$3,1,"")</f>
        <v/>
      </c>
      <c r="R49" s="9" t="str">
        <f>IF(D49=$R$3,1,"")</f>
        <v/>
      </c>
      <c r="S49" s="9" t="str">
        <f>IF(D49=$S$3,1,"")</f>
        <v/>
      </c>
      <c r="T49" s="9">
        <f>IF(D49=$T$3,1,"")</f>
        <v>1</v>
      </c>
      <c r="U49" s="9" t="str">
        <f>IF(D49=$U$3,1,"")</f>
        <v/>
      </c>
      <c r="V49" s="9" t="str">
        <f>IF(D49=$V$3,1,"")</f>
        <v/>
      </c>
      <c r="W49" s="9" t="str">
        <f>IF(D49=$W$3,1,"")</f>
        <v/>
      </c>
      <c r="X49" s="9" t="str">
        <f>IF(D49=$X$3,1,"")</f>
        <v/>
      </c>
      <c r="Y49" s="9" t="e">
        <f>IF(#REF!=$X$3,1,"")</f>
        <v>#REF!</v>
      </c>
      <c r="Z49" s="9" t="str">
        <f t="shared" si="9"/>
        <v/>
      </c>
      <c r="AA49" s="9" t="str">
        <f t="shared" si="10"/>
        <v/>
      </c>
      <c r="AB49" s="9" t="str">
        <f t="shared" si="11"/>
        <v/>
      </c>
      <c r="AC49" s="9" t="str">
        <f t="shared" si="12"/>
        <v/>
      </c>
      <c r="AD49" s="9" t="str">
        <f t="shared" si="13"/>
        <v/>
      </c>
    </row>
    <row r="50" spans="1:33" ht="21" customHeight="1" x14ac:dyDescent="0.2">
      <c r="A50" s="15">
        <f t="shared" si="7"/>
        <v>44</v>
      </c>
      <c r="B50" s="25" t="s">
        <v>123</v>
      </c>
      <c r="C50" s="16" t="str">
        <f t="shared" si="14"/>
        <v>vs</v>
      </c>
      <c r="D50" s="17" t="s">
        <v>15</v>
      </c>
      <c r="E50" s="16">
        <v>2011</v>
      </c>
      <c r="F50" s="18" t="s">
        <v>23</v>
      </c>
      <c r="G50" s="9"/>
      <c r="H50" s="19" t="s">
        <v>124</v>
      </c>
      <c r="M50" s="9" t="str">
        <f>IF(D50=$M$3,1,"")</f>
        <v/>
      </c>
      <c r="N50" s="9" t="str">
        <f>IF(D50=$N$3,1,"")</f>
        <v/>
      </c>
      <c r="O50" s="9" t="str">
        <f>IF(D50=$O$3,1,"")</f>
        <v/>
      </c>
      <c r="P50" s="9" t="str">
        <f>IF(D50=$P$3,1,"")</f>
        <v/>
      </c>
      <c r="Q50" s="9" t="str">
        <f>IF(D50=$Q$3,1,"")</f>
        <v/>
      </c>
      <c r="R50" s="9" t="str">
        <f>IF(D50=$R$3,1,"")</f>
        <v/>
      </c>
      <c r="S50" s="9" t="str">
        <f>IF(D50=$S$3,1,"")</f>
        <v/>
      </c>
      <c r="T50" s="9">
        <f>IF(D50=$T$3,1,"")</f>
        <v>1</v>
      </c>
      <c r="U50" s="9" t="str">
        <f>IF(D50=$U$3,1,"")</f>
        <v/>
      </c>
      <c r="V50" s="9" t="str">
        <f>IF(D50=$V$3,1,"")</f>
        <v/>
      </c>
      <c r="W50" s="9" t="str">
        <f>IF(D50=$W$3,1,"")</f>
        <v/>
      </c>
      <c r="X50" s="9" t="str">
        <f>IF(D50=$X$3,1,"")</f>
        <v/>
      </c>
      <c r="Y50" s="9" t="e">
        <f>IF(#REF!=$X$3,1,"")</f>
        <v>#REF!</v>
      </c>
      <c r="Z50" s="9" t="str">
        <f t="shared" si="9"/>
        <v/>
      </c>
      <c r="AA50" s="9" t="str">
        <f t="shared" si="10"/>
        <v/>
      </c>
      <c r="AB50" s="9" t="str">
        <f t="shared" si="11"/>
        <v/>
      </c>
      <c r="AC50" s="9" t="str">
        <f t="shared" si="12"/>
        <v/>
      </c>
      <c r="AD50" s="9" t="str">
        <f t="shared" si="13"/>
        <v/>
      </c>
    </row>
    <row r="51" spans="1:33" ht="21" customHeight="1" x14ac:dyDescent="0.2">
      <c r="A51" s="15">
        <f t="shared" si="7"/>
        <v>45</v>
      </c>
      <c r="B51" s="25" t="s">
        <v>125</v>
      </c>
      <c r="C51" s="16" t="str">
        <f t="shared" si="14"/>
        <v>vs</v>
      </c>
      <c r="D51" s="17" t="s">
        <v>9</v>
      </c>
      <c r="E51" s="16">
        <v>2011</v>
      </c>
      <c r="F51" s="18" t="s">
        <v>23</v>
      </c>
      <c r="G51" s="9"/>
      <c r="H51" s="19" t="s">
        <v>126</v>
      </c>
      <c r="M51" s="9" t="str">
        <f>IF(D51=$M$3,1,"")</f>
        <v/>
      </c>
      <c r="N51" s="9">
        <f>IF(D51=$N$3,1,"")</f>
        <v>1</v>
      </c>
      <c r="O51" s="9" t="str">
        <f>IF(D51=$O$3,1,"")</f>
        <v/>
      </c>
      <c r="P51" s="9" t="str">
        <f>IF(D51=$P$3,1,"")</f>
        <v/>
      </c>
      <c r="Q51" s="9" t="str">
        <f>IF(D51=$Q$3,1,"")</f>
        <v/>
      </c>
      <c r="R51" s="9" t="str">
        <f>IF(D51=$R$3,1,"")</f>
        <v/>
      </c>
      <c r="S51" s="9" t="str">
        <f>IF(D51=$S$3,1,"")</f>
        <v/>
      </c>
      <c r="T51" s="9" t="str">
        <f>IF(D51=$T$3,1,"")</f>
        <v/>
      </c>
      <c r="U51" s="9" t="str">
        <f>IF(D51=$U$3,1,"")</f>
        <v/>
      </c>
      <c r="V51" s="9" t="str">
        <f>IF(D51=$V$3,1,"")</f>
        <v/>
      </c>
      <c r="W51" s="9" t="str">
        <f>IF(D51=$W$3,1,"")</f>
        <v/>
      </c>
      <c r="X51" s="9" t="str">
        <f>IF(D51=$X$3,1,"")</f>
        <v/>
      </c>
      <c r="Y51" s="9" t="e">
        <f>IF(#REF!=$X$3,1,"")</f>
        <v>#REF!</v>
      </c>
      <c r="Z51" s="9" t="str">
        <f t="shared" si="9"/>
        <v/>
      </c>
      <c r="AA51" s="9" t="str">
        <f t="shared" si="10"/>
        <v/>
      </c>
      <c r="AB51" s="9" t="str">
        <f t="shared" si="11"/>
        <v/>
      </c>
      <c r="AC51" s="9" t="str">
        <f t="shared" si="12"/>
        <v/>
      </c>
      <c r="AD51" s="9" t="str">
        <f t="shared" si="13"/>
        <v/>
      </c>
    </row>
    <row r="52" spans="1:33" ht="21" customHeight="1" x14ac:dyDescent="0.2">
      <c r="A52" s="15">
        <f>IF(B52="","",A51+1)</f>
        <v>46</v>
      </c>
      <c r="B52" s="25" t="s">
        <v>127</v>
      </c>
      <c r="C52" s="16" t="e">
        <f>IF(#REF!="","","vs")</f>
        <v>#REF!</v>
      </c>
      <c r="D52" s="17" t="s">
        <v>9</v>
      </c>
      <c r="E52" s="16">
        <v>2011</v>
      </c>
      <c r="F52" s="18" t="s">
        <v>23</v>
      </c>
      <c r="G52" s="9" t="s">
        <v>128</v>
      </c>
      <c r="H52" s="19" t="s">
        <v>129</v>
      </c>
      <c r="M52" s="9" t="str">
        <f>IF(D52=$M$3,1,"")</f>
        <v/>
      </c>
      <c r="N52" s="9">
        <f>IF(D52=$N$3,1,"")</f>
        <v>1</v>
      </c>
      <c r="O52" s="9" t="str">
        <f>IF(D52=$O$3,1,"")</f>
        <v/>
      </c>
      <c r="P52" s="9" t="str">
        <f>IF(D52=$P$3,1,"")</f>
        <v/>
      </c>
      <c r="Q52" s="9" t="str">
        <f>IF(D52=$Q$3,1,"")</f>
        <v/>
      </c>
      <c r="R52" s="9" t="str">
        <f>IF(D52=$R$3,1,"")</f>
        <v/>
      </c>
      <c r="S52" s="9" t="str">
        <f>IF(D52=$S$3,1,"")</f>
        <v/>
      </c>
      <c r="T52" s="9" t="str">
        <f>IF(D52=$T$3,1,"")</f>
        <v/>
      </c>
      <c r="U52" s="9" t="str">
        <f>IF(D52=$U$3,1,"")</f>
        <v/>
      </c>
      <c r="V52" s="9" t="str">
        <f>IF(D52=$V$3,1,"")</f>
        <v/>
      </c>
      <c r="W52" s="9" t="str">
        <f>IF(D52=$W$3,1,"")</f>
        <v/>
      </c>
      <c r="X52" s="9" t="str">
        <f>IF(D52=$X$3,1,"")</f>
        <v/>
      </c>
      <c r="Y52" s="9" t="e">
        <f>IF(#REF!=$X$3,1,"")</f>
        <v>#REF!</v>
      </c>
      <c r="Z52" s="9" t="str">
        <f t="shared" si="9"/>
        <v/>
      </c>
      <c r="AA52" s="9" t="str">
        <f t="shared" si="10"/>
        <v/>
      </c>
      <c r="AB52" s="9" t="str">
        <f t="shared" si="11"/>
        <v/>
      </c>
      <c r="AC52" s="9" t="str">
        <f t="shared" si="12"/>
        <v/>
      </c>
      <c r="AD52" s="9" t="str">
        <f t="shared" si="13"/>
        <v/>
      </c>
    </row>
    <row r="53" spans="1:33" ht="21" customHeight="1" x14ac:dyDescent="0.2">
      <c r="A53" s="15">
        <f t="shared" si="7"/>
        <v>47</v>
      </c>
      <c r="B53" s="25" t="s">
        <v>130</v>
      </c>
      <c r="C53" s="16" t="str">
        <f>IF(B52="","","vs")</f>
        <v>vs</v>
      </c>
      <c r="D53" s="17" t="s">
        <v>11</v>
      </c>
      <c r="E53" s="16">
        <v>2011</v>
      </c>
      <c r="F53" s="18" t="s">
        <v>23</v>
      </c>
      <c r="G53" s="9"/>
      <c r="H53" s="19" t="s">
        <v>131</v>
      </c>
      <c r="M53" s="9" t="str">
        <f>IF(D53=$M$3,1,"")</f>
        <v/>
      </c>
      <c r="N53" s="9" t="str">
        <f>IF(D53=$N$3,1,"")</f>
        <v/>
      </c>
      <c r="O53" s="9" t="str">
        <f>IF(D53=$O$3,1,"")</f>
        <v/>
      </c>
      <c r="P53" s="9">
        <f>IF(D53=$P$3,1,"")</f>
        <v>1</v>
      </c>
      <c r="Q53" s="9" t="str">
        <f>IF(D53=$Q$3,1,"")</f>
        <v/>
      </c>
      <c r="R53" s="9" t="str">
        <f>IF(D53=$R$3,1,"")</f>
        <v/>
      </c>
      <c r="S53" s="9" t="str">
        <f>IF(D53=$S$3,1,"")</f>
        <v/>
      </c>
      <c r="T53" s="9" t="str">
        <f>IF(D53=$T$3,1,"")</f>
        <v/>
      </c>
      <c r="U53" s="9" t="str">
        <f>IF(D53=$U$3,1,"")</f>
        <v/>
      </c>
      <c r="V53" s="9" t="str">
        <f>IF(D53=$V$3,1,"")</f>
        <v/>
      </c>
      <c r="W53" s="9" t="str">
        <f>IF(D53=$W$3,1,"")</f>
        <v/>
      </c>
      <c r="X53" s="9" t="str">
        <f>IF(D53=$X$3,1,"")</f>
        <v/>
      </c>
      <c r="Y53" s="9" t="e">
        <f>IF(#REF!=$X$3,1,"")</f>
        <v>#REF!</v>
      </c>
      <c r="Z53" s="9" t="str">
        <f t="shared" si="9"/>
        <v/>
      </c>
      <c r="AA53" s="9" t="str">
        <f t="shared" si="10"/>
        <v/>
      </c>
      <c r="AB53" s="9" t="str">
        <f t="shared" si="11"/>
        <v/>
      </c>
      <c r="AC53" s="9" t="str">
        <f t="shared" si="12"/>
        <v/>
      </c>
      <c r="AD53" s="9" t="str">
        <f t="shared" si="13"/>
        <v/>
      </c>
    </row>
    <row r="54" spans="1:33" ht="21" customHeight="1" x14ac:dyDescent="0.2">
      <c r="A54" s="15">
        <f t="shared" si="7"/>
        <v>48</v>
      </c>
      <c r="B54" s="25" t="s">
        <v>132</v>
      </c>
      <c r="C54" s="16" t="str">
        <f>IF(B53="","","vs")</f>
        <v>vs</v>
      </c>
      <c r="D54" s="17" t="s">
        <v>9</v>
      </c>
      <c r="E54" s="16">
        <v>2011</v>
      </c>
      <c r="F54" s="18" t="s">
        <v>23</v>
      </c>
      <c r="G54" s="9"/>
      <c r="H54" s="19" t="s">
        <v>133</v>
      </c>
      <c r="M54" s="9" t="str">
        <f>IF(D54=$M$3,1,"")</f>
        <v/>
      </c>
      <c r="N54" s="9">
        <f>IF(D54=$N$3,1,"")</f>
        <v>1</v>
      </c>
      <c r="O54" s="9" t="str">
        <f>IF(D54=$O$3,1,"")</f>
        <v/>
      </c>
      <c r="P54" s="9" t="str">
        <f>IF(D54=$P$3,1,"")</f>
        <v/>
      </c>
      <c r="Q54" s="9" t="str">
        <f>IF(D54=$Q$3,1,"")</f>
        <v/>
      </c>
      <c r="R54" s="9" t="str">
        <f>IF(D54=$R$3,1,"")</f>
        <v/>
      </c>
      <c r="S54" s="9" t="str">
        <f>IF(D54=$S$3,1,"")</f>
        <v/>
      </c>
      <c r="T54" s="9" t="str">
        <f>IF(D54=$T$3,1,"")</f>
        <v/>
      </c>
      <c r="U54" s="9" t="str">
        <f>IF(D54=$U$3,1,"")</f>
        <v/>
      </c>
      <c r="V54" s="9" t="str">
        <f>IF(D54=$V$3,1,"")</f>
        <v/>
      </c>
      <c r="W54" s="9" t="str">
        <f>IF(D54=$W$3,1,"")</f>
        <v/>
      </c>
      <c r="X54" s="9" t="str">
        <f>IF(D54=$X$3,1,"")</f>
        <v/>
      </c>
      <c r="Y54" s="9" t="e">
        <f>IF(#REF!=$X$3,1,"")</f>
        <v>#REF!</v>
      </c>
      <c r="Z54" s="9" t="str">
        <f t="shared" si="9"/>
        <v/>
      </c>
      <c r="AA54" s="9" t="str">
        <f t="shared" si="10"/>
        <v/>
      </c>
      <c r="AB54" s="9" t="str">
        <f t="shared" si="11"/>
        <v/>
      </c>
      <c r="AC54" s="9" t="str">
        <f t="shared" si="12"/>
        <v/>
      </c>
      <c r="AD54" s="9" t="str">
        <f t="shared" si="13"/>
        <v/>
      </c>
    </row>
    <row r="55" spans="1:33" ht="21" customHeight="1" x14ac:dyDescent="0.2">
      <c r="A55" s="15">
        <f>IF(B55="","",A54+1)</f>
        <v>49</v>
      </c>
      <c r="B55" s="25" t="s">
        <v>102</v>
      </c>
      <c r="C55" s="16" t="str">
        <f>IF(B54="","","vs")</f>
        <v>vs</v>
      </c>
      <c r="D55" s="17" t="s">
        <v>16</v>
      </c>
      <c r="E55" s="16">
        <v>2011</v>
      </c>
      <c r="F55" s="18" t="s">
        <v>23</v>
      </c>
      <c r="G55" s="9"/>
      <c r="H55" s="19" t="s">
        <v>134</v>
      </c>
      <c r="M55" s="9" t="str">
        <f>IF(D55=$M$3,1,"")</f>
        <v/>
      </c>
      <c r="N55" s="9" t="str">
        <f>IF(D55=$N$3,1,"")</f>
        <v/>
      </c>
      <c r="O55" s="9" t="str">
        <f>IF(D55=$O$3,1,"")</f>
        <v/>
      </c>
      <c r="P55" s="9" t="str">
        <f>IF(D55=$P$3,1,"")</f>
        <v/>
      </c>
      <c r="Q55" s="9" t="str">
        <f>IF(D55=$Q$3,1,"")</f>
        <v/>
      </c>
      <c r="R55" s="9" t="str">
        <f>IF(D55=$R$3,1,"")</f>
        <v/>
      </c>
      <c r="S55" s="9" t="str">
        <f>IF(D55=$S$3,1,"")</f>
        <v/>
      </c>
      <c r="T55" s="9" t="str">
        <f>IF(D55=$T$3,1,"")</f>
        <v/>
      </c>
      <c r="U55" s="9">
        <f>IF(D55=$U$3,1,"")</f>
        <v>1</v>
      </c>
      <c r="V55" s="9" t="str">
        <f>IF(D55=$V$3,1,"")</f>
        <v/>
      </c>
      <c r="W55" s="9" t="str">
        <f>IF(D55=$W$3,1,"")</f>
        <v/>
      </c>
      <c r="X55" s="9" t="str">
        <f>IF(D55=$X$3,1,"")</f>
        <v/>
      </c>
      <c r="Y55" s="9" t="e">
        <f>IF(#REF!=$X$3,1,"")</f>
        <v>#REF!</v>
      </c>
      <c r="Z55" s="9" t="str">
        <f t="shared" si="9"/>
        <v/>
      </c>
      <c r="AA55" s="9" t="str">
        <f t="shared" si="10"/>
        <v/>
      </c>
      <c r="AB55" s="9" t="str">
        <f t="shared" si="11"/>
        <v/>
      </c>
      <c r="AC55" s="9" t="str">
        <f t="shared" si="12"/>
        <v/>
      </c>
      <c r="AD55" s="9" t="str">
        <f t="shared" si="13"/>
        <v/>
      </c>
      <c r="AG55" s="7" t="s">
        <v>135</v>
      </c>
    </row>
    <row r="56" spans="1:33" ht="21" customHeight="1" x14ac:dyDescent="0.2">
      <c r="A56" s="15">
        <f t="shared" si="7"/>
        <v>50</v>
      </c>
      <c r="B56" s="25" t="s">
        <v>136</v>
      </c>
      <c r="C56" s="16" t="str">
        <f t="shared" si="14"/>
        <v>vs</v>
      </c>
      <c r="D56" s="17" t="s">
        <v>9</v>
      </c>
      <c r="E56" s="16">
        <v>2011</v>
      </c>
      <c r="F56" s="18" t="s">
        <v>47</v>
      </c>
      <c r="G56" s="9"/>
      <c r="H56" s="19" t="s">
        <v>137</v>
      </c>
      <c r="M56" s="9" t="str">
        <f>IF(D56=$M$3,1,"")</f>
        <v/>
      </c>
      <c r="N56" s="9">
        <f>IF(D56=$N$3,1,"")</f>
        <v>1</v>
      </c>
      <c r="O56" s="9" t="str">
        <f>IF(D56=$O$3,1,"")</f>
        <v/>
      </c>
      <c r="P56" s="9" t="str">
        <f>IF(D56=$P$3,1,"")</f>
        <v/>
      </c>
      <c r="Q56" s="9" t="str">
        <f>IF(D56=$Q$3,1,"")</f>
        <v/>
      </c>
      <c r="R56" s="9" t="str">
        <f>IF(D56=$R$3,1,"")</f>
        <v/>
      </c>
      <c r="S56" s="9" t="str">
        <f>IF(D56=$S$3,1,"")</f>
        <v/>
      </c>
      <c r="T56" s="9" t="str">
        <f>IF(D56=$T$3,1,"")</f>
        <v/>
      </c>
      <c r="U56" s="9" t="str">
        <f>IF(D56=$U$3,1,"")</f>
        <v/>
      </c>
      <c r="V56" s="9" t="str">
        <f>IF(D56=$V$3,1,"")</f>
        <v/>
      </c>
      <c r="W56" s="9" t="str">
        <f>IF(D56=$W$3,1,"")</f>
        <v/>
      </c>
      <c r="X56" s="9" t="str">
        <f>IF(D56=$X$3,1,"")</f>
        <v/>
      </c>
      <c r="Y56" s="9" t="e">
        <f>IF(#REF!=$X$3,1,"")</f>
        <v>#REF!</v>
      </c>
      <c r="Z56" s="9" t="str">
        <f t="shared" si="9"/>
        <v/>
      </c>
      <c r="AA56" s="9" t="str">
        <f t="shared" si="10"/>
        <v/>
      </c>
      <c r="AB56" s="9" t="str">
        <f t="shared" si="11"/>
        <v/>
      </c>
      <c r="AC56" s="9" t="str">
        <f t="shared" si="12"/>
        <v/>
      </c>
      <c r="AD56" s="9" t="str">
        <f t="shared" si="13"/>
        <v/>
      </c>
    </row>
    <row r="57" spans="1:33" ht="21" customHeight="1" x14ac:dyDescent="0.2">
      <c r="A57" s="15">
        <f t="shared" si="7"/>
        <v>51</v>
      </c>
      <c r="B57" s="25" t="s">
        <v>138</v>
      </c>
      <c r="C57" s="16" t="str">
        <f t="shared" si="14"/>
        <v>vs</v>
      </c>
      <c r="D57" s="17" t="s">
        <v>15</v>
      </c>
      <c r="E57" s="16">
        <v>2011</v>
      </c>
      <c r="F57" s="18" t="s">
        <v>47</v>
      </c>
      <c r="G57" s="9"/>
      <c r="H57" s="19" t="s">
        <v>139</v>
      </c>
      <c r="M57" s="9" t="str">
        <f>IF(D57=$M$3,1,"")</f>
        <v/>
      </c>
      <c r="N57" s="9" t="str">
        <f>IF(D57=$N$3,1,"")</f>
        <v/>
      </c>
      <c r="O57" s="9" t="str">
        <f>IF(D57=$O$3,1,"")</f>
        <v/>
      </c>
      <c r="P57" s="9" t="str">
        <f>IF(D57=$P$3,1,"")</f>
        <v/>
      </c>
      <c r="Q57" s="9" t="str">
        <f>IF(D57=$Q$3,1,"")</f>
        <v/>
      </c>
      <c r="R57" s="9" t="str">
        <f>IF(D57=$R$3,1,"")</f>
        <v/>
      </c>
      <c r="S57" s="9" t="str">
        <f>IF(D57=$S$3,1,"")</f>
        <v/>
      </c>
      <c r="T57" s="9">
        <f>IF(D57=$T$3,1,"")</f>
        <v>1</v>
      </c>
      <c r="U57" s="9" t="str">
        <f>IF(D57=$U$3,1,"")</f>
        <v/>
      </c>
      <c r="V57" s="9" t="str">
        <f>IF(D57=$V$3,1,"")</f>
        <v/>
      </c>
      <c r="W57" s="9" t="str">
        <f>IF(D57=$W$3,1,"")</f>
        <v/>
      </c>
      <c r="X57" s="9" t="str">
        <f>IF(D57=$X$3,1,"")</f>
        <v/>
      </c>
      <c r="Y57" s="9" t="e">
        <f>IF(#REF!=$X$3,1,"")</f>
        <v>#REF!</v>
      </c>
      <c r="Z57" s="9" t="str">
        <f t="shared" si="9"/>
        <v/>
      </c>
      <c r="AA57" s="9" t="str">
        <f t="shared" si="10"/>
        <v/>
      </c>
      <c r="AB57" s="9" t="str">
        <f t="shared" si="11"/>
        <v/>
      </c>
      <c r="AC57" s="9" t="str">
        <f t="shared" si="12"/>
        <v/>
      </c>
      <c r="AD57" s="9" t="str">
        <f t="shared" si="13"/>
        <v/>
      </c>
    </row>
    <row r="58" spans="1:33" ht="21" customHeight="1" x14ac:dyDescent="0.2">
      <c r="A58" s="15">
        <f t="shared" si="7"/>
        <v>52</v>
      </c>
      <c r="B58" s="25" t="s">
        <v>140</v>
      </c>
      <c r="C58" s="16" t="str">
        <f t="shared" si="14"/>
        <v>vs</v>
      </c>
      <c r="D58" s="17" t="s">
        <v>61</v>
      </c>
      <c r="E58" s="16">
        <v>2011</v>
      </c>
      <c r="F58" s="18" t="s">
        <v>47</v>
      </c>
      <c r="G58" s="9"/>
      <c r="H58" s="19" t="s">
        <v>141</v>
      </c>
      <c r="M58" s="9" t="str">
        <f>IF(D58=$M$3,1,"")</f>
        <v/>
      </c>
      <c r="N58" s="9" t="str">
        <f>IF(D58=$N$3,1,"")</f>
        <v/>
      </c>
      <c r="O58" s="9" t="str">
        <f>IF(D58=$O$3,1,"")</f>
        <v/>
      </c>
      <c r="P58" s="9" t="str">
        <f>IF(D58=$P$3,1,"")</f>
        <v/>
      </c>
      <c r="Q58" s="9" t="str">
        <f>IF(D58=$Q$3,1,"")</f>
        <v/>
      </c>
      <c r="R58" s="9" t="str">
        <f>IF(D58=$R$3,1,"")</f>
        <v/>
      </c>
      <c r="S58" s="9" t="str">
        <f>IF(D58=$S$3,1,"")</f>
        <v/>
      </c>
      <c r="T58" s="9" t="str">
        <f>IF(D58=$T$3,1,"")</f>
        <v/>
      </c>
      <c r="U58" s="9" t="str">
        <f>IF(D58=$U$3,1,"")</f>
        <v/>
      </c>
      <c r="V58" s="9" t="str">
        <f>IF(D58=$V$3,1,"")</f>
        <v/>
      </c>
      <c r="W58" s="9" t="str">
        <f>IF(D58=$W$3,1,"")</f>
        <v/>
      </c>
      <c r="X58" s="9" t="str">
        <f>IF(D58=$X$3,1,"")</f>
        <v/>
      </c>
      <c r="Y58" s="9" t="e">
        <f>IF(#REF!=$X$3,1,"")</f>
        <v>#REF!</v>
      </c>
      <c r="Z58" s="9" t="str">
        <f t="shared" si="9"/>
        <v/>
      </c>
      <c r="AA58" s="9" t="str">
        <f t="shared" si="10"/>
        <v/>
      </c>
      <c r="AB58" s="9" t="str">
        <f t="shared" si="11"/>
        <v/>
      </c>
      <c r="AC58" s="9" t="str">
        <f t="shared" si="12"/>
        <v/>
      </c>
      <c r="AD58" s="9" t="str">
        <f t="shared" si="13"/>
        <v/>
      </c>
    </row>
    <row r="59" spans="1:33" ht="21" customHeight="1" x14ac:dyDescent="0.2">
      <c r="A59" s="15">
        <f t="shared" si="7"/>
        <v>53</v>
      </c>
      <c r="B59" s="25" t="s">
        <v>142</v>
      </c>
      <c r="C59" s="16" t="str">
        <f t="shared" si="14"/>
        <v>vs</v>
      </c>
      <c r="D59" s="17" t="s">
        <v>15</v>
      </c>
      <c r="E59" s="16">
        <v>2011</v>
      </c>
      <c r="F59" s="18" t="s">
        <v>23</v>
      </c>
      <c r="G59" s="9"/>
      <c r="H59" s="19" t="s">
        <v>143</v>
      </c>
      <c r="M59" s="9" t="str">
        <f>IF(D59=$M$3,1,"")</f>
        <v/>
      </c>
      <c r="N59" s="9" t="str">
        <f>IF(D59=$N$3,1,"")</f>
        <v/>
      </c>
      <c r="O59" s="9" t="str">
        <f>IF(D59=$O$3,1,"")</f>
        <v/>
      </c>
      <c r="P59" s="9" t="str">
        <f>IF(D59=$P$3,1,"")</f>
        <v/>
      </c>
      <c r="Q59" s="9" t="str">
        <f>IF(D59=$Q$3,1,"")</f>
        <v/>
      </c>
      <c r="R59" s="9" t="str">
        <f>IF(D59=$R$3,1,"")</f>
        <v/>
      </c>
      <c r="S59" s="9" t="str">
        <f>IF(D59=$S$3,1,"")</f>
        <v/>
      </c>
      <c r="T59" s="9">
        <f>IF(D59=$T$3,1,"")</f>
        <v>1</v>
      </c>
      <c r="U59" s="9" t="str">
        <f>IF(D59=$U$3,1,"")</f>
        <v/>
      </c>
      <c r="V59" s="9" t="str">
        <f>IF(D59=$V$3,1,"")</f>
        <v/>
      </c>
      <c r="W59" s="9" t="str">
        <f>IF(D59=$W$3,1,"")</f>
        <v/>
      </c>
      <c r="X59" s="9" t="str">
        <f>IF(D59=$X$3,1,"")</f>
        <v/>
      </c>
      <c r="Y59" s="9" t="e">
        <f>IF(#REF!=$X$3,1,"")</f>
        <v>#REF!</v>
      </c>
      <c r="Z59" s="9" t="str">
        <f t="shared" si="9"/>
        <v/>
      </c>
      <c r="AA59" s="9" t="str">
        <f t="shared" si="10"/>
        <v/>
      </c>
      <c r="AB59" s="9" t="str">
        <f t="shared" si="11"/>
        <v/>
      </c>
      <c r="AC59" s="9" t="str">
        <f t="shared" si="12"/>
        <v/>
      </c>
      <c r="AD59" s="9" t="str">
        <f t="shared" si="13"/>
        <v/>
      </c>
    </row>
    <row r="60" spans="1:33" ht="21" customHeight="1" x14ac:dyDescent="0.2">
      <c r="A60" s="15">
        <f t="shared" si="7"/>
        <v>54</v>
      </c>
      <c r="B60" s="25" t="s">
        <v>144</v>
      </c>
      <c r="C60" s="16" t="str">
        <f t="shared" si="14"/>
        <v>vs</v>
      </c>
      <c r="D60" s="17" t="s">
        <v>9</v>
      </c>
      <c r="E60" s="16">
        <v>2011</v>
      </c>
      <c r="F60" s="18" t="s">
        <v>47</v>
      </c>
      <c r="G60" s="9"/>
      <c r="H60" s="19" t="s">
        <v>145</v>
      </c>
      <c r="M60" s="9" t="str">
        <f>IF(D60=$M$3,1,"")</f>
        <v/>
      </c>
      <c r="N60" s="9">
        <f>IF(D60=$N$3,1,"")</f>
        <v>1</v>
      </c>
      <c r="O60" s="9" t="str">
        <f>IF(D60=$O$3,1,"")</f>
        <v/>
      </c>
      <c r="P60" s="9" t="str">
        <f>IF(D60=$P$3,1,"")</f>
        <v/>
      </c>
      <c r="Q60" s="9" t="str">
        <f>IF(D60=$Q$3,1,"")</f>
        <v/>
      </c>
      <c r="R60" s="9" t="str">
        <f>IF(D60=$R$3,1,"")</f>
        <v/>
      </c>
      <c r="S60" s="9" t="str">
        <f>IF(D60=$S$3,1,"")</f>
        <v/>
      </c>
      <c r="T60" s="9" t="str">
        <f>IF(D60=$T$3,1,"")</f>
        <v/>
      </c>
      <c r="U60" s="9" t="str">
        <f>IF(D60=$U$3,1,"")</f>
        <v/>
      </c>
      <c r="V60" s="9" t="str">
        <f>IF(D60=$V$3,1,"")</f>
        <v/>
      </c>
      <c r="W60" s="9" t="str">
        <f>IF(D60=$W$3,1,"")</f>
        <v/>
      </c>
      <c r="X60" s="9" t="str">
        <f>IF(D60=$X$3,1,"")</f>
        <v/>
      </c>
      <c r="Y60" s="9" t="e">
        <f>IF(#REF!=$X$3,1,"")</f>
        <v>#REF!</v>
      </c>
      <c r="Z60" s="9" t="str">
        <f t="shared" si="9"/>
        <v/>
      </c>
      <c r="AA60" s="9" t="str">
        <f t="shared" si="10"/>
        <v/>
      </c>
      <c r="AB60" s="9" t="str">
        <f t="shared" si="11"/>
        <v/>
      </c>
      <c r="AC60" s="9" t="str">
        <f t="shared" si="12"/>
        <v/>
      </c>
      <c r="AD60" s="9" t="str">
        <f t="shared" si="13"/>
        <v/>
      </c>
    </row>
    <row r="61" spans="1:33" ht="21" customHeight="1" x14ac:dyDescent="0.2">
      <c r="A61" s="15">
        <f t="shared" si="7"/>
        <v>55</v>
      </c>
      <c r="B61" s="25" t="s">
        <v>146</v>
      </c>
      <c r="C61" s="16" t="str">
        <f t="shared" si="14"/>
        <v>vs</v>
      </c>
      <c r="D61" s="17" t="s">
        <v>15</v>
      </c>
      <c r="E61" s="16">
        <v>2011</v>
      </c>
      <c r="F61" s="18" t="s">
        <v>23</v>
      </c>
      <c r="G61" s="9"/>
      <c r="H61" s="19" t="s">
        <v>147</v>
      </c>
      <c r="M61" s="9" t="str">
        <f>IF(D61=$M$3,1,"")</f>
        <v/>
      </c>
      <c r="N61" s="9" t="str">
        <f>IF(D61=$N$3,1,"")</f>
        <v/>
      </c>
      <c r="O61" s="9" t="str">
        <f>IF(D61=$O$3,1,"")</f>
        <v/>
      </c>
      <c r="P61" s="9" t="str">
        <f>IF(D61=$P$3,1,"")</f>
        <v/>
      </c>
      <c r="Q61" s="9" t="str">
        <f>IF(D61=$Q$3,1,"")</f>
        <v/>
      </c>
      <c r="R61" s="9" t="str">
        <f>IF(D61=$R$3,1,"")</f>
        <v/>
      </c>
      <c r="S61" s="9" t="str">
        <f>IF(D61=$S$3,1,"")</f>
        <v/>
      </c>
      <c r="T61" s="9">
        <f>IF(D61=$T$3,1,"")</f>
        <v>1</v>
      </c>
      <c r="U61" s="9" t="str">
        <f>IF(D61=$U$3,1,"")</f>
        <v/>
      </c>
      <c r="V61" s="9" t="str">
        <f>IF(D61=$V$3,1,"")</f>
        <v/>
      </c>
      <c r="W61" s="9" t="str">
        <f>IF(D61=$W$3,1,"")</f>
        <v/>
      </c>
      <c r="X61" s="9" t="str">
        <f>IF(D61=$X$3,1,"")</f>
        <v/>
      </c>
      <c r="Y61" s="9" t="e">
        <f>IF(#REF!=$X$3,1,"")</f>
        <v>#REF!</v>
      </c>
      <c r="Z61" s="9" t="str">
        <f t="shared" si="9"/>
        <v/>
      </c>
      <c r="AA61" s="9" t="str">
        <f t="shared" si="10"/>
        <v/>
      </c>
      <c r="AB61" s="9" t="str">
        <f t="shared" si="11"/>
        <v/>
      </c>
      <c r="AC61" s="9" t="str">
        <f t="shared" si="12"/>
        <v/>
      </c>
      <c r="AD61" s="9" t="str">
        <f t="shared" si="13"/>
        <v/>
      </c>
    </row>
    <row r="62" spans="1:33" ht="21" customHeight="1" x14ac:dyDescent="0.2">
      <c r="A62" s="15">
        <f t="shared" si="7"/>
        <v>56</v>
      </c>
      <c r="B62" s="25" t="s">
        <v>148</v>
      </c>
      <c r="C62" s="16" t="str">
        <f t="shared" si="14"/>
        <v>vs</v>
      </c>
      <c r="D62" s="17" t="s">
        <v>15</v>
      </c>
      <c r="E62" s="16">
        <v>2011</v>
      </c>
      <c r="F62" s="18" t="s">
        <v>23</v>
      </c>
      <c r="G62" s="9"/>
      <c r="H62" s="19" t="s">
        <v>149</v>
      </c>
      <c r="M62" s="9" t="str">
        <f>IF(D62=$M$3,1,"")</f>
        <v/>
      </c>
      <c r="N62" s="9" t="str">
        <f>IF(D62=$N$3,1,"")</f>
        <v/>
      </c>
      <c r="O62" s="9" t="str">
        <f>IF(D62=$O$3,1,"")</f>
        <v/>
      </c>
      <c r="P62" s="9" t="str">
        <f>IF(D62=$P$3,1,"")</f>
        <v/>
      </c>
      <c r="Q62" s="9" t="str">
        <f>IF(D62=$Q$3,1,"")</f>
        <v/>
      </c>
      <c r="R62" s="9" t="str">
        <f>IF(D62=$R$3,1,"")</f>
        <v/>
      </c>
      <c r="S62" s="9" t="str">
        <f>IF(D62=$S$3,1,"")</f>
        <v/>
      </c>
      <c r="T62" s="9">
        <f>IF(D62=$T$3,1,"")</f>
        <v>1</v>
      </c>
      <c r="U62" s="9" t="str">
        <f>IF(D62=$U$3,1,"")</f>
        <v/>
      </c>
      <c r="V62" s="9" t="str">
        <f>IF(D62=$V$3,1,"")</f>
        <v/>
      </c>
      <c r="W62" s="9" t="str">
        <f>IF(D62=$W$3,1,"")</f>
        <v/>
      </c>
      <c r="X62" s="9" t="str">
        <f>IF(D62=$X$3,1,"")</f>
        <v/>
      </c>
      <c r="Y62" s="9" t="e">
        <f>IF(#REF!=$X$3,1,"")</f>
        <v>#REF!</v>
      </c>
      <c r="Z62" s="9" t="str">
        <f t="shared" si="9"/>
        <v/>
      </c>
      <c r="AA62" s="9" t="str">
        <f t="shared" si="10"/>
        <v/>
      </c>
      <c r="AB62" s="9" t="str">
        <f t="shared" si="11"/>
        <v/>
      </c>
      <c r="AC62" s="9" t="str">
        <f t="shared" si="12"/>
        <v/>
      </c>
      <c r="AD62" s="9" t="str">
        <f t="shared" si="13"/>
        <v/>
      </c>
    </row>
    <row r="63" spans="1:33" ht="21" customHeight="1" x14ac:dyDescent="0.2">
      <c r="A63" s="15">
        <f t="shared" si="7"/>
        <v>57</v>
      </c>
      <c r="B63" s="25" t="s">
        <v>150</v>
      </c>
      <c r="C63" s="16" t="str">
        <f t="shared" si="14"/>
        <v>vs</v>
      </c>
      <c r="D63" s="17" t="s">
        <v>9</v>
      </c>
      <c r="E63" s="16">
        <v>2011</v>
      </c>
      <c r="F63" s="18" t="s">
        <v>23</v>
      </c>
      <c r="G63" s="9"/>
      <c r="H63" s="19" t="s">
        <v>151</v>
      </c>
      <c r="M63" s="9" t="str">
        <f>IF(D63=$M$3,1,"")</f>
        <v/>
      </c>
      <c r="N63" s="9">
        <f>IF(D63=$N$3,1,"")</f>
        <v>1</v>
      </c>
      <c r="O63" s="9" t="str">
        <f>IF(D63=$O$3,1,"")</f>
        <v/>
      </c>
      <c r="P63" s="9" t="str">
        <f>IF(D63=$P$3,1,"")</f>
        <v/>
      </c>
      <c r="Q63" s="9" t="str">
        <f>IF(D63=$Q$3,1,"")</f>
        <v/>
      </c>
      <c r="R63" s="9" t="str">
        <f>IF(D63=$R$3,1,"")</f>
        <v/>
      </c>
      <c r="S63" s="9" t="str">
        <f>IF(D63=$S$3,1,"")</f>
        <v/>
      </c>
      <c r="T63" s="9" t="str">
        <f>IF(D63=$T$3,1,"")</f>
        <v/>
      </c>
      <c r="U63" s="9" t="str">
        <f>IF(D63=$U$3,1,"")</f>
        <v/>
      </c>
      <c r="V63" s="9" t="str">
        <f>IF(D63=$V$3,1,"")</f>
        <v/>
      </c>
      <c r="W63" s="9" t="str">
        <f>IF(D63=$W$3,1,"")</f>
        <v/>
      </c>
      <c r="X63" s="9" t="str">
        <f>IF(D63=$X$3,1,"")</f>
        <v/>
      </c>
      <c r="Y63" s="9" t="e">
        <f>IF(#REF!=$X$3,1,"")</f>
        <v>#REF!</v>
      </c>
      <c r="Z63" s="9" t="str">
        <f t="shared" si="9"/>
        <v/>
      </c>
      <c r="AA63" s="9" t="str">
        <f t="shared" si="10"/>
        <v/>
      </c>
      <c r="AB63" s="9" t="str">
        <f t="shared" si="11"/>
        <v/>
      </c>
      <c r="AC63" s="9" t="str">
        <f t="shared" si="12"/>
        <v/>
      </c>
      <c r="AD63" s="9" t="str">
        <f t="shared" si="13"/>
        <v/>
      </c>
    </row>
    <row r="64" spans="1:33" ht="21" customHeight="1" x14ac:dyDescent="0.2">
      <c r="A64" s="15">
        <f t="shared" si="7"/>
        <v>58</v>
      </c>
      <c r="B64" s="141" t="s">
        <v>152</v>
      </c>
      <c r="C64" s="16" t="str">
        <f t="shared" si="14"/>
        <v>vs</v>
      </c>
      <c r="D64" s="17" t="s">
        <v>9</v>
      </c>
      <c r="E64" s="16">
        <v>2011</v>
      </c>
      <c r="F64" s="18" t="s">
        <v>23</v>
      </c>
      <c r="G64" s="9"/>
      <c r="H64" s="19" t="s">
        <v>153</v>
      </c>
      <c r="M64" s="9" t="str">
        <f>IF(D64=$M$3,1,"")</f>
        <v/>
      </c>
      <c r="N64" s="9">
        <f>IF(D64=$N$3,1,"")</f>
        <v>1</v>
      </c>
      <c r="O64" s="9" t="str">
        <f>IF(D64=$O$3,1,"")</f>
        <v/>
      </c>
      <c r="P64" s="9" t="str">
        <f>IF(D64=$P$3,1,"")</f>
        <v/>
      </c>
      <c r="Q64" s="9" t="str">
        <f>IF(D64=$Q$3,1,"")</f>
        <v/>
      </c>
      <c r="R64" s="9" t="str">
        <f>IF(D64=$R$3,1,"")</f>
        <v/>
      </c>
      <c r="S64" s="9" t="str">
        <f>IF(D64=$S$3,1,"")</f>
        <v/>
      </c>
      <c r="T64" s="9" t="str">
        <f>IF(D64=$T$3,1,"")</f>
        <v/>
      </c>
      <c r="U64" s="9" t="str">
        <f>IF(D64=$U$3,1,"")</f>
        <v/>
      </c>
      <c r="V64" s="9" t="str">
        <f>IF(D64=$V$3,1,"")</f>
        <v/>
      </c>
      <c r="W64" s="9" t="str">
        <f>IF(D64=$W$3,1,"")</f>
        <v/>
      </c>
      <c r="X64" s="9" t="str">
        <f>IF(D64=$X$3,1,"")</f>
        <v/>
      </c>
      <c r="Y64" s="9" t="e">
        <f>IF(#REF!=$X$3,1,"")</f>
        <v>#REF!</v>
      </c>
      <c r="Z64" s="9" t="str">
        <f t="shared" si="9"/>
        <v/>
      </c>
      <c r="AA64" s="9" t="str">
        <f t="shared" si="10"/>
        <v/>
      </c>
      <c r="AB64" s="9" t="str">
        <f t="shared" si="11"/>
        <v/>
      </c>
      <c r="AC64" s="9" t="str">
        <f t="shared" si="12"/>
        <v/>
      </c>
      <c r="AD64" s="9" t="str">
        <f t="shared" si="13"/>
        <v/>
      </c>
    </row>
    <row r="65" spans="1:30" ht="21" customHeight="1" x14ac:dyDescent="0.2">
      <c r="A65" s="15">
        <f t="shared" si="7"/>
        <v>59</v>
      </c>
      <c r="B65" s="25" t="s">
        <v>154</v>
      </c>
      <c r="C65" s="16" t="str">
        <f t="shared" si="14"/>
        <v>vs</v>
      </c>
      <c r="D65" s="17" t="s">
        <v>16</v>
      </c>
      <c r="E65" s="16">
        <v>2011</v>
      </c>
      <c r="F65" s="18" t="s">
        <v>23</v>
      </c>
      <c r="G65" s="9"/>
      <c r="H65" s="19" t="s">
        <v>155</v>
      </c>
      <c r="M65" s="9" t="str">
        <f>IF(D65=$M$3,1,"")</f>
        <v/>
      </c>
      <c r="N65" s="9" t="str">
        <f>IF(D65=$N$3,1,"")</f>
        <v/>
      </c>
      <c r="O65" s="9" t="str">
        <f>IF(D65=$O$3,1,"")</f>
        <v/>
      </c>
      <c r="P65" s="9" t="str">
        <f>IF(D65=$P$3,1,"")</f>
        <v/>
      </c>
      <c r="Q65" s="9" t="str">
        <f>IF(D65=$Q$3,1,"")</f>
        <v/>
      </c>
      <c r="R65" s="9" t="str">
        <f>IF(D65=$R$3,1,"")</f>
        <v/>
      </c>
      <c r="S65" s="9" t="str">
        <f>IF(D65=$S$3,1,"")</f>
        <v/>
      </c>
      <c r="T65" s="9" t="str">
        <f>IF(D65=$T$3,1,"")</f>
        <v/>
      </c>
      <c r="U65" s="9">
        <f>IF(D65=$U$3,1,"")</f>
        <v>1</v>
      </c>
      <c r="V65" s="9" t="str">
        <f>IF(D65=$V$3,1,"")</f>
        <v/>
      </c>
      <c r="W65" s="9" t="str">
        <f>IF(D65=$W$3,1,"")</f>
        <v/>
      </c>
      <c r="X65" s="9" t="str">
        <f>IF(D65=$X$3,1,"")</f>
        <v/>
      </c>
      <c r="Y65" s="9" t="e">
        <f>IF(#REF!=$X$3,1,"")</f>
        <v>#REF!</v>
      </c>
      <c r="Z65" s="9" t="str">
        <f t="shared" si="9"/>
        <v/>
      </c>
      <c r="AA65" s="9" t="str">
        <f t="shared" si="10"/>
        <v/>
      </c>
      <c r="AB65" s="9" t="str">
        <f t="shared" si="11"/>
        <v/>
      </c>
      <c r="AC65" s="9" t="str">
        <f t="shared" si="12"/>
        <v/>
      </c>
      <c r="AD65" s="9" t="str">
        <f t="shared" si="13"/>
        <v/>
      </c>
    </row>
    <row r="66" spans="1:30" ht="21" customHeight="1" x14ac:dyDescent="0.2">
      <c r="A66" s="15">
        <f t="shared" ref="A66:A128" si="15">IF(B66="","",A65+1)</f>
        <v>60</v>
      </c>
      <c r="B66" s="25" t="s">
        <v>27</v>
      </c>
      <c r="C66" s="16" t="str">
        <f t="shared" si="14"/>
        <v>vs</v>
      </c>
      <c r="D66" s="17" t="s">
        <v>15</v>
      </c>
      <c r="E66" s="16">
        <v>2011</v>
      </c>
      <c r="F66" s="18" t="s">
        <v>23</v>
      </c>
      <c r="G66" s="9"/>
      <c r="H66" s="19" t="s">
        <v>156</v>
      </c>
      <c r="M66" s="9" t="str">
        <f>IF(D66=$M$3,1,"")</f>
        <v/>
      </c>
      <c r="N66" s="9" t="str">
        <f>IF(D66=$N$3,1,"")</f>
        <v/>
      </c>
      <c r="O66" s="9" t="str">
        <f>IF(D66=$O$3,1,"")</f>
        <v/>
      </c>
      <c r="P66" s="9" t="str">
        <f>IF(D66=$P$3,1,"")</f>
        <v/>
      </c>
      <c r="Q66" s="9" t="str">
        <f>IF(D66=$Q$3,1,"")</f>
        <v/>
      </c>
      <c r="R66" s="9" t="str">
        <f>IF(D66=$R$3,1,"")</f>
        <v/>
      </c>
      <c r="S66" s="9" t="str">
        <f>IF(D66=$S$3,1,"")</f>
        <v/>
      </c>
      <c r="T66" s="9">
        <f>IF(D66=$T$3,1,"")</f>
        <v>1</v>
      </c>
      <c r="U66" s="9" t="str">
        <f>IF(D66=$U$3,1,"")</f>
        <v/>
      </c>
      <c r="V66" s="9" t="str">
        <f>IF(D66=$V$3,1,"")</f>
        <v/>
      </c>
      <c r="W66" s="9" t="str">
        <f>IF(D66=$W$3,1,"")</f>
        <v/>
      </c>
      <c r="X66" s="9" t="str">
        <f>IF(D66=$X$3,1,"")</f>
        <v/>
      </c>
      <c r="Y66" s="9" t="e">
        <f>IF(#REF!=$X$3,1,"")</f>
        <v>#REF!</v>
      </c>
      <c r="Z66" s="9" t="str">
        <f t="shared" si="9"/>
        <v/>
      </c>
      <c r="AA66" s="9" t="str">
        <f t="shared" si="10"/>
        <v/>
      </c>
      <c r="AB66" s="9" t="str">
        <f t="shared" si="11"/>
        <v/>
      </c>
      <c r="AC66" s="9" t="str">
        <f t="shared" si="12"/>
        <v/>
      </c>
      <c r="AD66" s="9" t="str">
        <f t="shared" si="13"/>
        <v/>
      </c>
    </row>
    <row r="67" spans="1:30" ht="21" customHeight="1" thickBot="1" x14ac:dyDescent="0.25">
      <c r="A67" s="15">
        <f t="shared" si="15"/>
        <v>61</v>
      </c>
      <c r="B67" s="26" t="s">
        <v>127</v>
      </c>
      <c r="C67" s="23" t="str">
        <f t="shared" si="14"/>
        <v>vs</v>
      </c>
      <c r="D67" s="10" t="s">
        <v>9</v>
      </c>
      <c r="E67" s="23">
        <v>2011</v>
      </c>
      <c r="F67" s="11" t="s">
        <v>23</v>
      </c>
      <c r="G67" s="9"/>
      <c r="H67" s="19"/>
      <c r="M67" s="9" t="str">
        <f>IF(D67=$M$3,1,"")</f>
        <v/>
      </c>
      <c r="N67" s="9">
        <f>IF(D67=$N$3,1,"")</f>
        <v>1</v>
      </c>
      <c r="O67" s="9" t="str">
        <f>IF(D67=$O$3,1,"")</f>
        <v/>
      </c>
      <c r="P67" s="9" t="str">
        <f>IF(D67=$P$3,1,"")</f>
        <v/>
      </c>
      <c r="Q67" s="9" t="str">
        <f>IF(D67=$Q$3,1,"")</f>
        <v/>
      </c>
      <c r="R67" s="9" t="str">
        <f>IF(D67=$R$3,1,"")</f>
        <v/>
      </c>
      <c r="S67" s="9" t="str">
        <f>IF(D67=$S$3,1,"")</f>
        <v/>
      </c>
      <c r="T67" s="9" t="str">
        <f>IF(D67=$T$3,1,"")</f>
        <v/>
      </c>
      <c r="U67" s="9" t="str">
        <f>IF(D67=$U$3,1,"")</f>
        <v/>
      </c>
      <c r="V67" s="9" t="str">
        <f>IF(D67=$V$3,1,"")</f>
        <v/>
      </c>
      <c r="W67" s="9" t="str">
        <f>IF(D67=$W$3,1,"")</f>
        <v/>
      </c>
      <c r="X67" s="9" t="str">
        <f>IF(D67=$X$3,1,"")</f>
        <v/>
      </c>
      <c r="Y67" s="9" t="e">
        <f>IF(#REF!=$X$3,1,"")</f>
        <v>#REF!</v>
      </c>
      <c r="Z67" s="9" t="str">
        <f t="shared" si="9"/>
        <v/>
      </c>
      <c r="AA67" s="9" t="str">
        <f t="shared" si="10"/>
        <v/>
      </c>
      <c r="AB67" s="9" t="str">
        <f t="shared" si="11"/>
        <v/>
      </c>
      <c r="AC67" s="9" t="str">
        <f t="shared" si="12"/>
        <v/>
      </c>
      <c r="AD67" s="9" t="str">
        <f t="shared" si="13"/>
        <v/>
      </c>
    </row>
    <row r="68" spans="1:30" ht="21.75" customHeight="1" x14ac:dyDescent="0.2">
      <c r="A68" s="15">
        <f t="shared" si="15"/>
        <v>62</v>
      </c>
      <c r="B68" s="24" t="s">
        <v>157</v>
      </c>
      <c r="C68" s="13" t="str">
        <f>IF(B68="","","vs")</f>
        <v>vs</v>
      </c>
      <c r="D68" s="31" t="s">
        <v>61</v>
      </c>
      <c r="E68" s="13">
        <v>2012</v>
      </c>
      <c r="F68" s="119" t="s">
        <v>47</v>
      </c>
      <c r="G68" s="9"/>
      <c r="H68" s="19" t="s">
        <v>158</v>
      </c>
      <c r="M68" s="9" t="str">
        <f>IF(D68=$M$3,1,"")</f>
        <v/>
      </c>
      <c r="N68" s="9" t="str">
        <f>IF(D68=$N$3,1,"")</f>
        <v/>
      </c>
      <c r="O68" s="9" t="str">
        <f>IF(D68=$O$3,1,"")</f>
        <v/>
      </c>
      <c r="P68" s="9" t="str">
        <f>IF(D68=$P$3,1,"")</f>
        <v/>
      </c>
      <c r="Q68" s="9" t="str">
        <f>IF(D68=$Q$3,1,"")</f>
        <v/>
      </c>
      <c r="R68" s="9" t="str">
        <f>IF(D68=$R$3,1,"")</f>
        <v/>
      </c>
      <c r="S68" s="9" t="str">
        <f>IF(D68=$S$3,1,"")</f>
        <v/>
      </c>
      <c r="T68" s="9" t="str">
        <f>IF(D68=$T$3,1,"")</f>
        <v/>
      </c>
      <c r="U68" s="9" t="str">
        <f>IF(D68=$U$3,1,"")</f>
        <v/>
      </c>
      <c r="V68" s="9" t="str">
        <f>IF(D68=$V$3,1,"")</f>
        <v/>
      </c>
      <c r="W68" s="9" t="str">
        <f>IF(D68=$W$3,1,"")</f>
        <v/>
      </c>
      <c r="X68" s="9" t="str">
        <f>IF(D68=$X$3,1,"")</f>
        <v/>
      </c>
      <c r="Y68" s="9" t="e">
        <f>IF(#REF!=$X$3,1,"")</f>
        <v>#REF!</v>
      </c>
      <c r="Z68" s="9" t="str">
        <f t="shared" si="9"/>
        <v/>
      </c>
      <c r="AA68" s="9" t="str">
        <f t="shared" si="10"/>
        <v/>
      </c>
      <c r="AB68" s="9" t="str">
        <f t="shared" si="11"/>
        <v/>
      </c>
      <c r="AC68" s="9" t="str">
        <f t="shared" si="12"/>
        <v/>
      </c>
      <c r="AD68" s="9" t="str">
        <f t="shared" si="13"/>
        <v/>
      </c>
    </row>
    <row r="69" spans="1:30" ht="21.75" customHeight="1" x14ac:dyDescent="0.2">
      <c r="A69" s="15">
        <f t="shared" si="15"/>
        <v>63</v>
      </c>
      <c r="B69" s="32" t="s">
        <v>159</v>
      </c>
      <c r="C69" s="16" t="str">
        <f>IF(B69="","","vs")</f>
        <v>vs</v>
      </c>
      <c r="D69" s="17" t="s">
        <v>15</v>
      </c>
      <c r="E69" s="16">
        <v>2012</v>
      </c>
      <c r="F69" s="18" t="s">
        <v>47</v>
      </c>
      <c r="G69" s="9"/>
      <c r="H69" s="19" t="s">
        <v>160</v>
      </c>
      <c r="M69" s="9" t="str">
        <f>IF(D69=$M$3,1,"")</f>
        <v/>
      </c>
      <c r="N69" s="9" t="str">
        <f>IF(D69=$N$3,1,"")</f>
        <v/>
      </c>
      <c r="O69" s="9" t="str">
        <f>IF(D69=$O$3,1,"")</f>
        <v/>
      </c>
      <c r="P69" s="9" t="str">
        <f>IF(D69=$P$3,1,"")</f>
        <v/>
      </c>
      <c r="Q69" s="9" t="str">
        <f>IF(D69=$Q$3,1,"")</f>
        <v/>
      </c>
      <c r="R69" s="9" t="str">
        <f>IF(D69=$R$3,1,"")</f>
        <v/>
      </c>
      <c r="S69" s="9" t="str">
        <f>IF(D69=$S$3,1,"")</f>
        <v/>
      </c>
      <c r="T69" s="9">
        <f>IF(D69=$T$3,1,"")</f>
        <v>1</v>
      </c>
      <c r="U69" s="9" t="str">
        <f>IF(D69=$U$3,1,"")</f>
        <v/>
      </c>
      <c r="V69" s="9" t="str">
        <f>IF(D69=$V$3,1,"")</f>
        <v/>
      </c>
      <c r="W69" s="9" t="str">
        <f>IF(D69=$W$3,1,"")</f>
        <v/>
      </c>
      <c r="X69" s="9" t="str">
        <f>IF(D69=$X$3,1,"")</f>
        <v/>
      </c>
      <c r="Y69" s="9" t="e">
        <f>IF(#REF!=$X$3,1,"")</f>
        <v>#REF!</v>
      </c>
      <c r="Z69" s="9" t="str">
        <f t="shared" si="9"/>
        <v/>
      </c>
      <c r="AA69" s="9" t="str">
        <f t="shared" si="10"/>
        <v/>
      </c>
      <c r="AB69" s="9" t="str">
        <f t="shared" si="11"/>
        <v/>
      </c>
      <c r="AC69" s="9" t="str">
        <f t="shared" si="12"/>
        <v/>
      </c>
      <c r="AD69" s="9" t="str">
        <f t="shared" si="13"/>
        <v/>
      </c>
    </row>
    <row r="70" spans="1:30" ht="35.25" customHeight="1" x14ac:dyDescent="0.2">
      <c r="A70" s="15">
        <f t="shared" si="15"/>
        <v>64</v>
      </c>
      <c r="B70" s="25" t="s">
        <v>161</v>
      </c>
      <c r="C70" s="16" t="str">
        <f t="shared" ref="C70:C81" si="16">IF(B70="","","vs")</f>
        <v>vs</v>
      </c>
      <c r="D70" s="17" t="s">
        <v>9</v>
      </c>
      <c r="E70" s="16">
        <v>2012</v>
      </c>
      <c r="F70" s="18" t="s">
        <v>23</v>
      </c>
      <c r="G70" s="9"/>
      <c r="H70" s="19"/>
      <c r="M70" s="9" t="str">
        <f>IF(D70=$M$3,1,"")</f>
        <v/>
      </c>
      <c r="N70" s="9">
        <f>IF(D70=$N$3,1,"")</f>
        <v>1</v>
      </c>
      <c r="O70" s="9" t="str">
        <f>IF(D70=$O$3,1,"")</f>
        <v/>
      </c>
      <c r="P70" s="9" t="str">
        <f>IF(D70=$P$3,1,"")</f>
        <v/>
      </c>
      <c r="Q70" s="9" t="str">
        <f>IF(D70=$Q$3,1,"")</f>
        <v/>
      </c>
      <c r="R70" s="9" t="str">
        <f>IF(D70=$R$3,1,"")</f>
        <v/>
      </c>
      <c r="S70" s="9" t="str">
        <f>IF(D70=$S$3,1,"")</f>
        <v/>
      </c>
      <c r="T70" s="9" t="str">
        <f>IF(D70=$T$3,1,"")</f>
        <v/>
      </c>
      <c r="U70" s="9" t="str">
        <f>IF(D70=$U$3,1,"")</f>
        <v/>
      </c>
      <c r="V70" s="9" t="str">
        <f>IF(D70=$V$3,1,"")</f>
        <v/>
      </c>
      <c r="W70" s="9" t="str">
        <f>IF(D70=$W$3,1,"")</f>
        <v/>
      </c>
      <c r="X70" s="9" t="str">
        <f>IF(D70=$X$3,1,"")</f>
        <v/>
      </c>
      <c r="Y70" s="9" t="e">
        <f>IF(#REF!=$X$3,1,"")</f>
        <v>#REF!</v>
      </c>
      <c r="Z70" s="9" t="str">
        <f t="shared" si="9"/>
        <v/>
      </c>
      <c r="AA70" s="9" t="str">
        <f t="shared" si="10"/>
        <v/>
      </c>
      <c r="AB70" s="9" t="str">
        <f t="shared" si="11"/>
        <v/>
      </c>
      <c r="AC70" s="9" t="str">
        <f t="shared" si="12"/>
        <v/>
      </c>
      <c r="AD70" s="9" t="str">
        <f t="shared" si="13"/>
        <v/>
      </c>
    </row>
    <row r="71" spans="1:30" ht="35.25" customHeight="1" x14ac:dyDescent="0.2">
      <c r="A71" s="15">
        <f t="shared" si="15"/>
        <v>65</v>
      </c>
      <c r="B71" s="25" t="s">
        <v>162</v>
      </c>
      <c r="C71" s="16" t="str">
        <f t="shared" si="16"/>
        <v>vs</v>
      </c>
      <c r="D71" s="17" t="s">
        <v>15</v>
      </c>
      <c r="E71" s="16">
        <v>2012</v>
      </c>
      <c r="F71" s="18" t="s">
        <v>23</v>
      </c>
      <c r="G71" s="9"/>
      <c r="H71" s="19" t="s">
        <v>163</v>
      </c>
      <c r="M71" s="9" t="str">
        <f>IF(D71=$M$3,1,"")</f>
        <v/>
      </c>
      <c r="N71" s="9" t="str">
        <f>IF(D71=$N$3,1,"")</f>
        <v/>
      </c>
      <c r="O71" s="9" t="str">
        <f>IF(D71=$O$3,1,"")</f>
        <v/>
      </c>
      <c r="P71" s="9" t="str">
        <f>IF(D71=$P$3,1,"")</f>
        <v/>
      </c>
      <c r="Q71" s="9" t="str">
        <f>IF(D71=$Q$3,1,"")</f>
        <v/>
      </c>
      <c r="R71" s="9" t="str">
        <f>IF(D71=$R$3,1,"")</f>
        <v/>
      </c>
      <c r="S71" s="9" t="str">
        <f>IF(D71=$S$3,1,"")</f>
        <v/>
      </c>
      <c r="T71" s="9">
        <f>IF(D71=$T$3,1,"")</f>
        <v>1</v>
      </c>
      <c r="U71" s="9" t="str">
        <f>IF(D71=$U$3,1,"")</f>
        <v/>
      </c>
      <c r="V71" s="9" t="str">
        <f>IF(D71=$V$3,1,"")</f>
        <v/>
      </c>
      <c r="W71" s="9" t="str">
        <f>IF(D71=$W$3,1,"")</f>
        <v/>
      </c>
      <c r="X71" s="9" t="str">
        <f>IF(D71=$X$3,1,"")</f>
        <v/>
      </c>
      <c r="Y71" s="9" t="e">
        <f>IF(#REF!=$X$3,1,"")</f>
        <v>#REF!</v>
      </c>
      <c r="Z71" s="9" t="str">
        <f t="shared" si="9"/>
        <v/>
      </c>
      <c r="AA71" s="9" t="str">
        <f t="shared" si="10"/>
        <v/>
      </c>
      <c r="AB71" s="9" t="str">
        <f t="shared" si="11"/>
        <v/>
      </c>
      <c r="AC71" s="9" t="str">
        <f t="shared" si="12"/>
        <v/>
      </c>
      <c r="AD71" s="9" t="str">
        <f t="shared" si="13"/>
        <v/>
      </c>
    </row>
    <row r="72" spans="1:30" ht="39.75" customHeight="1" x14ac:dyDescent="0.2">
      <c r="A72" s="15">
        <f t="shared" si="15"/>
        <v>66</v>
      </c>
      <c r="B72" s="25" t="s">
        <v>157</v>
      </c>
      <c r="C72" s="16" t="str">
        <f t="shared" si="16"/>
        <v>vs</v>
      </c>
      <c r="D72" s="17" t="s">
        <v>61</v>
      </c>
      <c r="E72" s="16">
        <v>2012</v>
      </c>
      <c r="F72" s="18" t="s">
        <v>23</v>
      </c>
      <c r="G72" s="9"/>
      <c r="H72" s="19"/>
      <c r="M72" s="9" t="str">
        <f>IF(D72=$M$3,1,"")</f>
        <v/>
      </c>
      <c r="N72" s="9" t="str">
        <f>IF(D72=$N$3,1,"")</f>
        <v/>
      </c>
      <c r="O72" s="9" t="str">
        <f>IF(D72=$O$3,1,"")</f>
        <v/>
      </c>
      <c r="P72" s="9" t="str">
        <f>IF(D72=$P$3,1,"")</f>
        <v/>
      </c>
      <c r="Q72" s="9" t="str">
        <f>IF(D72=$Q$3,1,"")</f>
        <v/>
      </c>
      <c r="R72" s="9" t="str">
        <f>IF(D72=$R$3,1,"")</f>
        <v/>
      </c>
      <c r="S72" s="9" t="str">
        <f>IF(D72=$S$3,1,"")</f>
        <v/>
      </c>
      <c r="T72" s="9" t="str">
        <f>IF(D72=$T$3,1,"")</f>
        <v/>
      </c>
      <c r="U72" s="9" t="str">
        <f>IF(D72=$U$3,1,"")</f>
        <v/>
      </c>
      <c r="V72" s="9" t="str">
        <f>IF(D72=$V$3,1,"")</f>
        <v/>
      </c>
      <c r="W72" s="9" t="str">
        <f>IF(D72=$W$3,1,"")</f>
        <v/>
      </c>
      <c r="X72" s="9" t="str">
        <f>IF(D72=$X$3,1,"")</f>
        <v/>
      </c>
      <c r="Y72" s="9" t="e">
        <f>IF(#REF!=$X$3,1,"")</f>
        <v>#REF!</v>
      </c>
      <c r="Z72" s="9" t="str">
        <f t="shared" si="9"/>
        <v/>
      </c>
      <c r="AA72" s="9" t="str">
        <f t="shared" si="10"/>
        <v/>
      </c>
      <c r="AB72" s="9" t="str">
        <f t="shared" si="11"/>
        <v/>
      </c>
      <c r="AC72" s="9" t="str">
        <f t="shared" si="12"/>
        <v/>
      </c>
      <c r="AD72" s="9" t="str">
        <f t="shared" si="13"/>
        <v/>
      </c>
    </row>
    <row r="73" spans="1:30" ht="21" customHeight="1" x14ac:dyDescent="0.2">
      <c r="A73" s="15">
        <f t="shared" si="15"/>
        <v>67</v>
      </c>
      <c r="B73" s="25" t="s">
        <v>164</v>
      </c>
      <c r="C73" s="16" t="str">
        <f t="shared" si="16"/>
        <v>vs</v>
      </c>
      <c r="D73" s="17" t="s">
        <v>9</v>
      </c>
      <c r="E73" s="16">
        <v>2012</v>
      </c>
      <c r="F73" s="18" t="s">
        <v>23</v>
      </c>
      <c r="G73" s="9"/>
      <c r="H73" s="19" t="s">
        <v>165</v>
      </c>
      <c r="M73" s="9" t="str">
        <f>IF(D73=$M$3,1,"")</f>
        <v/>
      </c>
      <c r="N73" s="9">
        <f>IF(D73=$N$3,1,"")</f>
        <v>1</v>
      </c>
      <c r="O73" s="9" t="str">
        <f>IF(D73=$O$3,1,"")</f>
        <v/>
      </c>
      <c r="P73" s="9" t="str">
        <f>IF(D73=$P$3,1,"")</f>
        <v/>
      </c>
      <c r="Q73" s="9" t="str">
        <f>IF(D73=$Q$3,1,"")</f>
        <v/>
      </c>
      <c r="R73" s="9" t="str">
        <f>IF(D73=$R$3,1,"")</f>
        <v/>
      </c>
      <c r="S73" s="9" t="str">
        <f>IF(D73=$S$3,1,"")</f>
        <v/>
      </c>
      <c r="T73" s="9" t="str">
        <f>IF(D73=$T$3,1,"")</f>
        <v/>
      </c>
      <c r="U73" s="9" t="str">
        <f>IF(D73=$U$3,1,"")</f>
        <v/>
      </c>
      <c r="V73" s="9" t="str">
        <f>IF(D73=$V$3,1,"")</f>
        <v/>
      </c>
      <c r="W73" s="9" t="str">
        <f>IF(D73=$W$3,1,"")</f>
        <v/>
      </c>
      <c r="X73" s="9" t="str">
        <f>IF(D73=$X$3,1,"")</f>
        <v/>
      </c>
      <c r="Y73" s="9" t="e">
        <f>IF(#REF!=$X$3,1,"")</f>
        <v>#REF!</v>
      </c>
      <c r="Z73" s="9" t="str">
        <f t="shared" si="9"/>
        <v/>
      </c>
      <c r="AA73" s="9" t="str">
        <f t="shared" si="10"/>
        <v/>
      </c>
      <c r="AB73" s="9" t="str">
        <f t="shared" si="11"/>
        <v/>
      </c>
      <c r="AC73" s="9" t="str">
        <f t="shared" si="12"/>
        <v/>
      </c>
      <c r="AD73" s="9" t="str">
        <f t="shared" si="13"/>
        <v/>
      </c>
    </row>
    <row r="74" spans="1:30" ht="21" customHeight="1" x14ac:dyDescent="0.2">
      <c r="A74" s="15">
        <f t="shared" si="15"/>
        <v>68</v>
      </c>
      <c r="B74" s="25" t="s">
        <v>166</v>
      </c>
      <c r="C74" s="16" t="str">
        <f t="shared" si="16"/>
        <v>vs</v>
      </c>
      <c r="D74" s="17" t="s">
        <v>11</v>
      </c>
      <c r="E74" s="16">
        <v>2012</v>
      </c>
      <c r="F74" s="18" t="s">
        <v>23</v>
      </c>
      <c r="G74" s="9"/>
      <c r="H74" s="19" t="s">
        <v>167</v>
      </c>
      <c r="M74" s="9" t="str">
        <f>IF(D74=$M$3,1,"")</f>
        <v/>
      </c>
      <c r="N74" s="9" t="str">
        <f>IF(D74=$N$3,1,"")</f>
        <v/>
      </c>
      <c r="O74" s="9" t="str">
        <f>IF(D74=$O$3,1,"")</f>
        <v/>
      </c>
      <c r="P74" s="9">
        <f>IF(D74=$P$3,1,"")</f>
        <v>1</v>
      </c>
      <c r="Q74" s="9" t="str">
        <f>IF(D74=$Q$3,1,"")</f>
        <v/>
      </c>
      <c r="R74" s="9" t="str">
        <f>IF(D74=$R$3,1,"")</f>
        <v/>
      </c>
      <c r="S74" s="9" t="str">
        <f>IF(D74=$S$3,1,"")</f>
        <v/>
      </c>
      <c r="T74" s="9" t="str">
        <f>IF(D74=$T$3,1,"")</f>
        <v/>
      </c>
      <c r="U74" s="9" t="str">
        <f>IF(D74=$U$3,1,"")</f>
        <v/>
      </c>
      <c r="V74" s="9" t="str">
        <f>IF(D74=$V$3,1,"")</f>
        <v/>
      </c>
      <c r="W74" s="9" t="str">
        <f>IF(D74=$W$3,1,"")</f>
        <v/>
      </c>
      <c r="X74" s="9" t="str">
        <f>IF(D74=$X$3,1,"")</f>
        <v/>
      </c>
      <c r="Y74" s="9" t="e">
        <f>IF(#REF!=$X$3,1,"")</f>
        <v>#REF!</v>
      </c>
      <c r="Z74" s="9" t="str">
        <f t="shared" si="9"/>
        <v/>
      </c>
      <c r="AA74" s="9" t="str">
        <f t="shared" si="10"/>
        <v/>
      </c>
      <c r="AB74" s="9" t="str">
        <f t="shared" si="11"/>
        <v/>
      </c>
      <c r="AC74" s="9" t="str">
        <f t="shared" si="12"/>
        <v/>
      </c>
      <c r="AD74" s="9" t="str">
        <f t="shared" si="13"/>
        <v/>
      </c>
    </row>
    <row r="75" spans="1:30" ht="21" customHeight="1" x14ac:dyDescent="0.2">
      <c r="A75" s="15">
        <f t="shared" si="15"/>
        <v>69</v>
      </c>
      <c r="B75" s="25" t="s">
        <v>168</v>
      </c>
      <c r="C75" s="16" t="str">
        <f t="shared" si="16"/>
        <v>vs</v>
      </c>
      <c r="D75" s="17" t="s">
        <v>13</v>
      </c>
      <c r="E75" s="16">
        <v>2012</v>
      </c>
      <c r="F75" s="18" t="s">
        <v>23</v>
      </c>
      <c r="G75" s="9"/>
      <c r="H75" s="19" t="s">
        <v>169</v>
      </c>
      <c r="M75" s="9" t="str">
        <f>IF(D75=$M$3,1,"")</f>
        <v/>
      </c>
      <c r="N75" s="9" t="str">
        <f>IF(D75=$N$3,1,"")</f>
        <v/>
      </c>
      <c r="O75" s="9" t="str">
        <f>IF(D75=$O$3,1,"")</f>
        <v/>
      </c>
      <c r="P75" s="9" t="str">
        <f>IF(D75=$P$3,1,"")</f>
        <v/>
      </c>
      <c r="Q75" s="9" t="str">
        <f>IF(D75=$Q$3,1,"")</f>
        <v/>
      </c>
      <c r="R75" s="9">
        <f>IF(D75=$R$3,1,"")</f>
        <v>1</v>
      </c>
      <c r="S75" s="9" t="str">
        <f>IF(D75=$S$3,1,"")</f>
        <v/>
      </c>
      <c r="T75" s="9" t="str">
        <f>IF(D75=$T$3,1,"")</f>
        <v/>
      </c>
      <c r="U75" s="9" t="str">
        <f>IF(D75=$U$3,1,"")</f>
        <v/>
      </c>
      <c r="V75" s="9" t="str">
        <f>IF(D75=$V$3,1,"")</f>
        <v/>
      </c>
      <c r="W75" s="9" t="str">
        <f>IF(D75=$W$3,1,"")</f>
        <v/>
      </c>
      <c r="X75" s="9" t="str">
        <f>IF(D75=$X$3,1,"")</f>
        <v/>
      </c>
      <c r="Y75" s="9" t="e">
        <f>IF(#REF!=$X$3,1,"")</f>
        <v>#REF!</v>
      </c>
      <c r="Z75" s="9" t="str">
        <f t="shared" si="9"/>
        <v/>
      </c>
      <c r="AA75" s="9" t="str">
        <f t="shared" si="10"/>
        <v/>
      </c>
      <c r="AB75" s="9" t="str">
        <f t="shared" si="11"/>
        <v/>
      </c>
      <c r="AC75" s="9" t="str">
        <f t="shared" si="12"/>
        <v/>
      </c>
      <c r="AD75" s="9" t="str">
        <f t="shared" si="13"/>
        <v/>
      </c>
    </row>
    <row r="76" spans="1:30" ht="21" customHeight="1" x14ac:dyDescent="0.2">
      <c r="A76" s="15">
        <f t="shared" si="15"/>
        <v>70</v>
      </c>
      <c r="B76" s="141" t="s">
        <v>152</v>
      </c>
      <c r="C76" s="16" t="str">
        <f t="shared" si="16"/>
        <v>vs</v>
      </c>
      <c r="D76" s="17" t="s">
        <v>9</v>
      </c>
      <c r="E76" s="16">
        <v>2012</v>
      </c>
      <c r="F76" s="18" t="s">
        <v>23</v>
      </c>
      <c r="G76" s="9"/>
      <c r="H76" s="19"/>
      <c r="M76" s="9" t="str">
        <f>IF(D76=$M$3,1,"")</f>
        <v/>
      </c>
      <c r="N76" s="9">
        <f>IF(D76=$N$3,1,"")</f>
        <v>1</v>
      </c>
      <c r="O76" s="9" t="str">
        <f>IF(D76=$O$3,1,"")</f>
        <v/>
      </c>
      <c r="P76" s="9" t="str">
        <f>IF(D76=$P$3,1,"")</f>
        <v/>
      </c>
      <c r="Q76" s="9" t="str">
        <f>IF(D76=$Q$3,1,"")</f>
        <v/>
      </c>
      <c r="R76" s="9" t="str">
        <f>IF(D76=$R$3,1,"")</f>
        <v/>
      </c>
      <c r="S76" s="9" t="str">
        <f>IF(D76=$S$3,1,"")</f>
        <v/>
      </c>
      <c r="T76" s="9" t="str">
        <f>IF(D76=$T$3,1,"")</f>
        <v/>
      </c>
      <c r="U76" s="9" t="str">
        <f>IF(D76=$U$3,1,"")</f>
        <v/>
      </c>
      <c r="V76" s="9" t="str">
        <f>IF(D76=$V$3,1,"")</f>
        <v/>
      </c>
      <c r="W76" s="9" t="str">
        <f>IF(D76=$W$3,1,"")</f>
        <v/>
      </c>
      <c r="X76" s="9" t="str">
        <f>IF(D76=$X$3,1,"")</f>
        <v/>
      </c>
      <c r="Y76" s="9" t="e">
        <f>IF(#REF!=$X$3,1,"")</f>
        <v>#REF!</v>
      </c>
      <c r="Z76" s="9" t="str">
        <f t="shared" si="9"/>
        <v/>
      </c>
      <c r="AA76" s="9" t="str">
        <f t="shared" si="10"/>
        <v/>
      </c>
      <c r="AB76" s="9" t="str">
        <f t="shared" si="11"/>
        <v/>
      </c>
      <c r="AC76" s="9" t="str">
        <f t="shared" si="12"/>
        <v/>
      </c>
      <c r="AD76" s="9" t="str">
        <f t="shared" si="13"/>
        <v/>
      </c>
    </row>
    <row r="77" spans="1:30" ht="41.25" customHeight="1" x14ac:dyDescent="0.2">
      <c r="A77" s="15">
        <f t="shared" si="15"/>
        <v>71</v>
      </c>
      <c r="B77" s="36" t="s">
        <v>170</v>
      </c>
      <c r="C77" s="16" t="str">
        <f t="shared" si="16"/>
        <v>vs</v>
      </c>
      <c r="D77" s="17" t="s">
        <v>9</v>
      </c>
      <c r="E77" s="16">
        <v>2012</v>
      </c>
      <c r="F77" s="18" t="s">
        <v>23</v>
      </c>
      <c r="G77" s="9"/>
      <c r="H77" s="19" t="s">
        <v>171</v>
      </c>
      <c r="M77" s="9" t="str">
        <f>IF(D77=$M$3,1,"")</f>
        <v/>
      </c>
      <c r="N77" s="9">
        <f>IF(D77=$N$3,1,"")</f>
        <v>1</v>
      </c>
      <c r="O77" s="9" t="str">
        <f>IF(D77=$O$3,1,"")</f>
        <v/>
      </c>
      <c r="P77" s="9" t="str">
        <f>IF(D77=$P$3,1,"")</f>
        <v/>
      </c>
      <c r="Q77" s="9" t="str">
        <f>IF(D77=$Q$3,1,"")</f>
        <v/>
      </c>
      <c r="R77" s="9" t="str">
        <f>IF(D77=$R$3,1,"")</f>
        <v/>
      </c>
      <c r="S77" s="9" t="str">
        <f>IF(D77=$S$3,1,"")</f>
        <v/>
      </c>
      <c r="T77" s="9" t="str">
        <f>IF(D77=$T$3,1,"")</f>
        <v/>
      </c>
      <c r="U77" s="9" t="str">
        <f>IF(D77=$U$3,1,"")</f>
        <v/>
      </c>
      <c r="V77" s="9" t="str">
        <f>IF(D77=$V$3,1,"")</f>
        <v/>
      </c>
      <c r="W77" s="9" t="str">
        <f>IF(D77=$W$3,1,"")</f>
        <v/>
      </c>
      <c r="X77" s="9" t="str">
        <f>IF(D77=$X$3,1,"")</f>
        <v/>
      </c>
      <c r="Y77" s="9" t="e">
        <f>IF(#REF!=$X$3,1,"")</f>
        <v>#REF!</v>
      </c>
      <c r="Z77" s="9" t="str">
        <f t="shared" si="9"/>
        <v/>
      </c>
      <c r="AA77" s="9" t="str">
        <f t="shared" si="10"/>
        <v/>
      </c>
      <c r="AB77" s="9" t="str">
        <f t="shared" si="11"/>
        <v/>
      </c>
      <c r="AC77" s="9" t="str">
        <f t="shared" si="12"/>
        <v/>
      </c>
      <c r="AD77" s="9" t="str">
        <f t="shared" si="13"/>
        <v/>
      </c>
    </row>
    <row r="78" spans="1:30" ht="21" customHeight="1" x14ac:dyDescent="0.2">
      <c r="A78" s="15">
        <f t="shared" si="15"/>
        <v>72</v>
      </c>
      <c r="B78" s="25" t="s">
        <v>172</v>
      </c>
      <c r="C78" s="16" t="str">
        <f t="shared" si="16"/>
        <v>vs</v>
      </c>
      <c r="D78" s="17" t="s">
        <v>16</v>
      </c>
      <c r="E78" s="16">
        <v>2012</v>
      </c>
      <c r="F78" s="18" t="s">
        <v>23</v>
      </c>
      <c r="G78" s="9" t="s">
        <v>173</v>
      </c>
      <c r="H78" s="19" t="s">
        <v>174</v>
      </c>
      <c r="M78" s="9" t="str">
        <f>IF(D78=$M$3,1,"")</f>
        <v/>
      </c>
      <c r="N78" s="9" t="str">
        <f>IF(D78=$N$3,1,"")</f>
        <v/>
      </c>
      <c r="O78" s="9" t="str">
        <f>IF(D78=$O$3,1,"")</f>
        <v/>
      </c>
      <c r="P78" s="9" t="str">
        <f>IF(D78=$P$3,1,"")</f>
        <v/>
      </c>
      <c r="Q78" s="9" t="str">
        <f>IF(D78=$Q$3,1,"")</f>
        <v/>
      </c>
      <c r="R78" s="9" t="str">
        <f>IF(D78=$R$3,1,"")</f>
        <v/>
      </c>
      <c r="S78" s="9" t="str">
        <f>IF(D78=$S$3,1,"")</f>
        <v/>
      </c>
      <c r="T78" s="9" t="str">
        <f>IF(D78=$T$3,1,"")</f>
        <v/>
      </c>
      <c r="U78" s="9">
        <f>IF(D78=$U$3,1,"")</f>
        <v>1</v>
      </c>
      <c r="V78" s="9" t="str">
        <f>IF(D78=$V$3,1,"")</f>
        <v/>
      </c>
      <c r="W78" s="9" t="str">
        <f>IF(D78=$W$3,1,"")</f>
        <v/>
      </c>
      <c r="X78" s="9" t="str">
        <f>IF(D78=$X$3,1,"")</f>
        <v/>
      </c>
      <c r="Y78" s="9" t="e">
        <f>IF(#REF!=$X$3,1,"")</f>
        <v>#REF!</v>
      </c>
      <c r="Z78" s="9" t="str">
        <f t="shared" si="9"/>
        <v/>
      </c>
      <c r="AA78" s="9" t="str">
        <f t="shared" si="10"/>
        <v/>
      </c>
      <c r="AB78" s="9" t="str">
        <f t="shared" si="11"/>
        <v/>
      </c>
      <c r="AC78" s="9" t="str">
        <f t="shared" si="12"/>
        <v/>
      </c>
      <c r="AD78" s="9" t="str">
        <f t="shared" si="13"/>
        <v/>
      </c>
    </row>
    <row r="79" spans="1:30" ht="21" customHeight="1" x14ac:dyDescent="0.2">
      <c r="A79" s="15">
        <f t="shared" si="15"/>
        <v>73</v>
      </c>
      <c r="B79" s="36" t="s">
        <v>175</v>
      </c>
      <c r="C79" s="16" t="str">
        <f t="shared" si="16"/>
        <v>vs</v>
      </c>
      <c r="D79" s="17" t="s">
        <v>176</v>
      </c>
      <c r="E79" s="16">
        <v>2012</v>
      </c>
      <c r="F79" s="18" t="s">
        <v>23</v>
      </c>
      <c r="G79" s="9"/>
      <c r="H79" s="19" t="s">
        <v>177</v>
      </c>
      <c r="M79" s="9" t="str">
        <f>IF(D79=$M$3,1,"")</f>
        <v/>
      </c>
      <c r="N79" s="9" t="str">
        <f>IF(D79=$N$3,1,"")</f>
        <v/>
      </c>
      <c r="O79" s="9" t="str">
        <f>IF(D79=$O$3,1,"")</f>
        <v/>
      </c>
      <c r="P79" s="9" t="str">
        <f>IF(D79=$P$3,1,"")</f>
        <v/>
      </c>
      <c r="Q79" s="9" t="str">
        <f>IF(D79=$Q$3,1,"")</f>
        <v/>
      </c>
      <c r="R79" s="9" t="str">
        <f>IF(D79=$R$3,1,"")</f>
        <v/>
      </c>
      <c r="S79" s="9" t="str">
        <f>IF(D79=$S$3,1,"")</f>
        <v/>
      </c>
      <c r="T79" s="9" t="str">
        <f>IF(D79=$T$3,1,"")</f>
        <v/>
      </c>
      <c r="U79" s="9" t="str">
        <f>IF(D79=$U$3,1,"")</f>
        <v/>
      </c>
      <c r="V79" s="9" t="str">
        <f>IF(D79=$V$3,1,"")</f>
        <v/>
      </c>
      <c r="W79" s="9" t="str">
        <f>IF(D79=$W$3,1,"")</f>
        <v/>
      </c>
      <c r="X79" s="9" t="str">
        <f>IF(D79=$X$3,1,"")</f>
        <v/>
      </c>
      <c r="Y79" s="9" t="e">
        <f>IF(#REF!=$X$3,1,"")</f>
        <v>#REF!</v>
      </c>
      <c r="Z79" s="9" t="str">
        <f t="shared" si="9"/>
        <v/>
      </c>
      <c r="AA79" s="9" t="str">
        <f t="shared" si="10"/>
        <v/>
      </c>
      <c r="AB79" s="9" t="str">
        <f t="shared" si="11"/>
        <v/>
      </c>
      <c r="AC79" s="9" t="str">
        <f t="shared" si="12"/>
        <v/>
      </c>
      <c r="AD79" s="9" t="str">
        <f t="shared" si="13"/>
        <v/>
      </c>
    </row>
    <row r="80" spans="1:30" ht="21" customHeight="1" x14ac:dyDescent="0.2">
      <c r="A80" s="15">
        <f t="shared" si="15"/>
        <v>74</v>
      </c>
      <c r="B80" s="25" t="s">
        <v>178</v>
      </c>
      <c r="C80" s="16" t="str">
        <f t="shared" si="16"/>
        <v>vs</v>
      </c>
      <c r="D80" s="17" t="s">
        <v>15</v>
      </c>
      <c r="E80" s="16">
        <v>2012</v>
      </c>
      <c r="F80" s="18" t="s">
        <v>23</v>
      </c>
      <c r="G80" s="9"/>
      <c r="H80" s="19" t="s">
        <v>179</v>
      </c>
      <c r="M80" s="9" t="str">
        <f>IF(D80=$M$3,1,"")</f>
        <v/>
      </c>
      <c r="N80" s="9" t="str">
        <f>IF(D80=$N$3,1,"")</f>
        <v/>
      </c>
      <c r="O80" s="9" t="str">
        <f>IF(D80=$O$3,1,"")</f>
        <v/>
      </c>
      <c r="P80" s="9" t="str">
        <f>IF(D80=$P$3,1,"")</f>
        <v/>
      </c>
      <c r="Q80" s="9" t="str">
        <f>IF(D80=$Q$3,1,"")</f>
        <v/>
      </c>
      <c r="R80" s="9" t="str">
        <f>IF(D80=$R$3,1,"")</f>
        <v/>
      </c>
      <c r="S80" s="9" t="str">
        <f>IF(D80=$S$3,1,"")</f>
        <v/>
      </c>
      <c r="T80" s="9">
        <f>IF(D80=$T$3,1,"")</f>
        <v>1</v>
      </c>
      <c r="U80" s="9" t="str">
        <f>IF(D80=$U$3,1,"")</f>
        <v/>
      </c>
      <c r="V80" s="9" t="str">
        <f>IF(D80=$V$3,1,"")</f>
        <v/>
      </c>
      <c r="W80" s="9" t="str">
        <f>IF(D80=$W$3,1,"")</f>
        <v/>
      </c>
      <c r="X80" s="9" t="str">
        <f>IF(D80=$X$3,1,"")</f>
        <v/>
      </c>
      <c r="Y80" s="9" t="e">
        <f>IF(#REF!=$X$3,1,"")</f>
        <v>#REF!</v>
      </c>
      <c r="Z80" s="9" t="str">
        <f t="shared" si="9"/>
        <v/>
      </c>
      <c r="AA80" s="9" t="str">
        <f t="shared" si="10"/>
        <v/>
      </c>
      <c r="AB80" s="9" t="str">
        <f t="shared" si="11"/>
        <v/>
      </c>
      <c r="AC80" s="9" t="str">
        <f t="shared" si="12"/>
        <v/>
      </c>
      <c r="AD80" s="9" t="str">
        <f t="shared" si="13"/>
        <v/>
      </c>
    </row>
    <row r="81" spans="1:31" ht="21" customHeight="1" thickBot="1" x14ac:dyDescent="0.25">
      <c r="A81" s="15">
        <f t="shared" si="15"/>
        <v>75</v>
      </c>
      <c r="B81" s="26" t="s">
        <v>180</v>
      </c>
      <c r="C81" s="23" t="str">
        <f t="shared" si="16"/>
        <v>vs</v>
      </c>
      <c r="D81" s="10" t="s">
        <v>15</v>
      </c>
      <c r="E81" s="23">
        <v>2012</v>
      </c>
      <c r="F81" s="11" t="s">
        <v>23</v>
      </c>
      <c r="G81" s="9"/>
      <c r="H81" s="19" t="s">
        <v>181</v>
      </c>
      <c r="M81" s="9" t="str">
        <f>IF(D81=$M$3,1,"")</f>
        <v/>
      </c>
      <c r="N81" s="9" t="str">
        <f>IF(D81=$N$3,1,"")</f>
        <v/>
      </c>
      <c r="O81" s="9" t="str">
        <f>IF(D81=$O$3,1,"")</f>
        <v/>
      </c>
      <c r="P81" s="9" t="str">
        <f>IF(D81=$P$3,1,"")</f>
        <v/>
      </c>
      <c r="Q81" s="9" t="str">
        <f>IF(D81=$Q$3,1,"")</f>
        <v/>
      </c>
      <c r="R81" s="9" t="str">
        <f>IF(D81=$R$3,1,"")</f>
        <v/>
      </c>
      <c r="S81" s="9" t="str">
        <f>IF(D81=$S$3,1,"")</f>
        <v/>
      </c>
      <c r="T81" s="9">
        <f>IF(D81=$T$3,1,"")</f>
        <v>1</v>
      </c>
      <c r="U81" s="9" t="str">
        <f>IF(D81=$U$3,1,"")</f>
        <v/>
      </c>
      <c r="V81" s="9" t="str">
        <f>IF(D81=$V$3,1,"")</f>
        <v/>
      </c>
      <c r="W81" s="9" t="str">
        <f>IF(D81=$W$3,1,"")</f>
        <v/>
      </c>
      <c r="X81" s="9" t="str">
        <f>IF(D81=$X$3,1,"")</f>
        <v/>
      </c>
      <c r="Y81" s="9" t="e">
        <f>IF(#REF!=$X$3,1,"")</f>
        <v>#REF!</v>
      </c>
      <c r="Z81" s="9" t="str">
        <f t="shared" si="9"/>
        <v/>
      </c>
      <c r="AA81" s="9" t="str">
        <f t="shared" si="10"/>
        <v/>
      </c>
      <c r="AB81" s="9" t="str">
        <f t="shared" si="11"/>
        <v/>
      </c>
      <c r="AC81" s="9" t="str">
        <f t="shared" si="12"/>
        <v/>
      </c>
      <c r="AD81" s="9" t="str">
        <f t="shared" si="13"/>
        <v/>
      </c>
    </row>
    <row r="82" spans="1:31" ht="21.75" customHeight="1" x14ac:dyDescent="0.2">
      <c r="A82" s="15">
        <f t="shared" si="15"/>
        <v>76</v>
      </c>
      <c r="B82" s="28" t="s">
        <v>182</v>
      </c>
      <c r="C82" s="13" t="str">
        <f>IF(B82="","","vs")</f>
        <v>vs</v>
      </c>
      <c r="D82" s="31" t="s">
        <v>15</v>
      </c>
      <c r="E82" s="13">
        <v>2013</v>
      </c>
      <c r="F82" s="119" t="s">
        <v>23</v>
      </c>
      <c r="G82" s="382" t="s">
        <v>183</v>
      </c>
      <c r="H82" s="19" t="s">
        <v>184</v>
      </c>
      <c r="M82" s="9" t="str">
        <f>IF(D82=$M$3,1,"")</f>
        <v/>
      </c>
      <c r="N82" s="9" t="str">
        <f>IF(D82=$N$3,1,"")</f>
        <v/>
      </c>
      <c r="O82" s="9" t="str">
        <f>IF(D82=$O$3,1,"")</f>
        <v/>
      </c>
      <c r="P82" s="9" t="str">
        <f>IF(D82=$P$3,1,"")</f>
        <v/>
      </c>
      <c r="Q82" s="9" t="str">
        <f>IF(D82=$Q$3,1,"")</f>
        <v/>
      </c>
      <c r="R82" s="9" t="str">
        <f>IF(D82=$R$3,1,"")</f>
        <v/>
      </c>
      <c r="S82" s="9" t="str">
        <f>IF(D82=$S$3,1,"")</f>
        <v/>
      </c>
      <c r="T82" s="9">
        <f>IF(D82=$T$3,1,"")</f>
        <v>1</v>
      </c>
      <c r="U82" s="9" t="str">
        <f>IF(D82=$U$3,1,"")</f>
        <v/>
      </c>
      <c r="V82" s="9" t="str">
        <f>IF(D82=$V$3,1,"")</f>
        <v/>
      </c>
      <c r="W82" s="9" t="str">
        <f>IF(D82=$W$3,1,"")</f>
        <v/>
      </c>
      <c r="X82" s="9" t="str">
        <f>IF(D82=$X$3,1,"")</f>
        <v/>
      </c>
      <c r="Y82" s="9" t="e">
        <f>IF(#REF!=$X$3,1,"")</f>
        <v>#REF!</v>
      </c>
      <c r="Z82" s="9" t="str">
        <f t="shared" si="9"/>
        <v/>
      </c>
      <c r="AA82" s="9" t="str">
        <f t="shared" si="10"/>
        <v/>
      </c>
      <c r="AB82" s="9" t="str">
        <f t="shared" si="11"/>
        <v/>
      </c>
      <c r="AC82" s="9" t="str">
        <f t="shared" si="12"/>
        <v/>
      </c>
      <c r="AD82" s="9" t="str">
        <f t="shared" si="13"/>
        <v/>
      </c>
    </row>
    <row r="83" spans="1:31" ht="21.75" customHeight="1" x14ac:dyDescent="0.2">
      <c r="A83" s="15">
        <f t="shared" si="15"/>
        <v>77</v>
      </c>
      <c r="B83" s="29" t="s">
        <v>185</v>
      </c>
      <c r="C83" s="16" t="str">
        <f>IF(B83="","","vs")</f>
        <v>vs</v>
      </c>
      <c r="D83" s="17" t="s">
        <v>15</v>
      </c>
      <c r="E83" s="16">
        <v>2013</v>
      </c>
      <c r="F83" s="18" t="s">
        <v>23</v>
      </c>
      <c r="G83" s="383"/>
      <c r="H83" s="19" t="s">
        <v>186</v>
      </c>
      <c r="M83" s="9" t="str">
        <f>IF(D83=$M$3,1,"")</f>
        <v/>
      </c>
      <c r="N83" s="9" t="str">
        <f>IF(D83=$N$3,1,"")</f>
        <v/>
      </c>
      <c r="O83" s="9" t="str">
        <f>IF(D83=$O$3,1,"")</f>
        <v/>
      </c>
      <c r="P83" s="9" t="str">
        <f>IF(D83=$P$3,1,"")</f>
        <v/>
      </c>
      <c r="Q83" s="9" t="str">
        <f>IF(D83=$Q$3,1,"")</f>
        <v/>
      </c>
      <c r="R83" s="9" t="str">
        <f>IF(D83=$R$3,1,"")</f>
        <v/>
      </c>
      <c r="S83" s="9" t="str">
        <f>IF(D83=$S$3,1,"")</f>
        <v/>
      </c>
      <c r="T83" s="9">
        <f>IF(D83=$T$3,1,"")</f>
        <v>1</v>
      </c>
      <c r="U83" s="9" t="str">
        <f>IF(D83=$U$3,1,"")</f>
        <v/>
      </c>
      <c r="V83" s="9" t="str">
        <f>IF(D83=$V$3,1,"")</f>
        <v/>
      </c>
      <c r="W83" s="9" t="str">
        <f>IF(D83=$W$3,1,"")</f>
        <v/>
      </c>
      <c r="X83" s="9" t="str">
        <f>IF(D83=$X$3,1,"")</f>
        <v/>
      </c>
      <c r="Y83" s="9" t="e">
        <f>IF(#REF!=$X$3,1,"")</f>
        <v>#REF!</v>
      </c>
      <c r="Z83" s="9" t="str">
        <f t="shared" si="9"/>
        <v/>
      </c>
      <c r="AA83" s="9" t="str">
        <f t="shared" si="10"/>
        <v/>
      </c>
      <c r="AB83" s="9" t="str">
        <f t="shared" si="11"/>
        <v/>
      </c>
      <c r="AC83" s="9" t="str">
        <f t="shared" si="12"/>
        <v/>
      </c>
      <c r="AD83" s="9" t="str">
        <f t="shared" si="13"/>
        <v/>
      </c>
    </row>
    <row r="84" spans="1:31" ht="22.5" customHeight="1" x14ac:dyDescent="0.2">
      <c r="A84" s="15">
        <f t="shared" si="15"/>
        <v>78</v>
      </c>
      <c r="B84" s="29" t="s">
        <v>187</v>
      </c>
      <c r="C84" s="16" t="str">
        <f t="shared" ref="C84:C99" si="17">IF(B84="","","vs")</f>
        <v>vs</v>
      </c>
      <c r="D84" s="17" t="s">
        <v>9</v>
      </c>
      <c r="E84" s="16">
        <v>2013</v>
      </c>
      <c r="F84" s="18" t="s">
        <v>47</v>
      </c>
      <c r="G84" s="9"/>
      <c r="H84" s="19" t="s">
        <v>188</v>
      </c>
      <c r="M84" s="9" t="str">
        <f>IF(D84=$M$3,1,"")</f>
        <v/>
      </c>
      <c r="N84" s="9">
        <f>IF(D84=$N$3,1,"")</f>
        <v>1</v>
      </c>
      <c r="O84" s="9" t="str">
        <f>IF(D84=$O$3,1,"")</f>
        <v/>
      </c>
      <c r="P84" s="9" t="str">
        <f>IF(D84=$P$3,1,"")</f>
        <v/>
      </c>
      <c r="Q84" s="9" t="str">
        <f>IF(D84=$Q$3,1,"")</f>
        <v/>
      </c>
      <c r="R84" s="9" t="str">
        <f>IF(D84=$R$3,1,"")</f>
        <v/>
      </c>
      <c r="S84" s="9" t="str">
        <f>IF(D84=$S$3,1,"")</f>
        <v/>
      </c>
      <c r="T84" s="9" t="str">
        <f>IF(D84=$T$3,1,"")</f>
        <v/>
      </c>
      <c r="U84" s="9" t="str">
        <f>IF(D84=$U$3,1,"")</f>
        <v/>
      </c>
      <c r="V84" s="9" t="str">
        <f>IF(D84=$V$3,1,"")</f>
        <v/>
      </c>
      <c r="W84" s="9" t="str">
        <f>IF(D84=$W$3,1,"")</f>
        <v/>
      </c>
      <c r="X84" s="9" t="str">
        <f>IF(D84=$X$3,1,"")</f>
        <v/>
      </c>
      <c r="Y84" s="9" t="e">
        <f>IF(#REF!=$X$3,1,"")</f>
        <v>#REF!</v>
      </c>
      <c r="Z84" s="9" t="str">
        <f t="shared" ref="Z84:Z147" si="18">IF(F84=$Z$3,1,"")</f>
        <v/>
      </c>
      <c r="AA84" s="9" t="str">
        <f t="shared" ref="AA84:AA147" si="19">IF(F84=$AA$3,1,"")</f>
        <v/>
      </c>
      <c r="AB84" s="9" t="str">
        <f t="shared" ref="AB84:AB147" si="20">IF(F84=$AB$3,1,"")</f>
        <v/>
      </c>
      <c r="AC84" s="9" t="str">
        <f t="shared" ref="AC84:AC147" si="21">IF(F84=$AC$3,1,"")</f>
        <v/>
      </c>
      <c r="AD84" s="9" t="str">
        <f t="shared" ref="AD84:AD147" si="22">IF(F84=$AE$3,1,"")</f>
        <v/>
      </c>
    </row>
    <row r="85" spans="1:31" ht="22.5" customHeight="1" x14ac:dyDescent="0.2">
      <c r="A85" s="15">
        <f t="shared" si="15"/>
        <v>79</v>
      </c>
      <c r="B85" s="29" t="s">
        <v>189</v>
      </c>
      <c r="C85" s="16" t="str">
        <f t="shared" si="17"/>
        <v>vs</v>
      </c>
      <c r="D85" s="17" t="s">
        <v>9</v>
      </c>
      <c r="E85" s="16">
        <v>2013</v>
      </c>
      <c r="F85" s="18" t="s">
        <v>23</v>
      </c>
      <c r="G85" s="9"/>
      <c r="H85" s="19" t="s">
        <v>190</v>
      </c>
      <c r="M85" s="9" t="str">
        <f>IF(D85=$M$3,1,"")</f>
        <v/>
      </c>
      <c r="N85" s="9">
        <f>IF(D85=$N$3,1,"")</f>
        <v>1</v>
      </c>
      <c r="O85" s="9" t="str">
        <f>IF(D85=$O$3,1,"")</f>
        <v/>
      </c>
      <c r="P85" s="9" t="str">
        <f>IF(D85=$P$3,1,"")</f>
        <v/>
      </c>
      <c r="Q85" s="9" t="str">
        <f>IF(D85=$Q$3,1,"")</f>
        <v/>
      </c>
      <c r="R85" s="9" t="str">
        <f>IF(D85=$R$3,1,"")</f>
        <v/>
      </c>
      <c r="S85" s="9" t="str">
        <f>IF(D85=$S$3,1,"")</f>
        <v/>
      </c>
      <c r="T85" s="9" t="str">
        <f>IF(D85=$T$3,1,"")</f>
        <v/>
      </c>
      <c r="U85" s="9" t="str">
        <f>IF(D85=$U$3,1,"")</f>
        <v/>
      </c>
      <c r="V85" s="9" t="str">
        <f>IF(D85=$V$3,1,"")</f>
        <v/>
      </c>
      <c r="W85" s="9" t="str">
        <f>IF(D85=$W$3,1,"")</f>
        <v/>
      </c>
      <c r="X85" s="9" t="str">
        <f>IF(D85=$X$3,1,"")</f>
        <v/>
      </c>
      <c r="Y85" s="9" t="e">
        <f>IF(#REF!=$X$3,1,"")</f>
        <v>#REF!</v>
      </c>
      <c r="Z85" s="9" t="str">
        <f t="shared" si="18"/>
        <v/>
      </c>
      <c r="AA85" s="9" t="str">
        <f t="shared" si="19"/>
        <v/>
      </c>
      <c r="AB85" s="9" t="str">
        <f t="shared" si="20"/>
        <v/>
      </c>
      <c r="AC85" s="9" t="str">
        <f t="shared" si="21"/>
        <v/>
      </c>
      <c r="AD85" s="9" t="str">
        <f t="shared" si="22"/>
        <v/>
      </c>
    </row>
    <row r="86" spans="1:31" ht="22.5" customHeight="1" x14ac:dyDescent="0.2">
      <c r="A86" s="15">
        <f t="shared" si="15"/>
        <v>80</v>
      </c>
      <c r="B86" s="29" t="s">
        <v>191</v>
      </c>
      <c r="C86" s="16" t="str">
        <f t="shared" si="17"/>
        <v>vs</v>
      </c>
      <c r="D86" s="17" t="s">
        <v>15</v>
      </c>
      <c r="E86" s="16">
        <v>2013</v>
      </c>
      <c r="F86" s="18" t="s">
        <v>23</v>
      </c>
      <c r="G86" s="9"/>
      <c r="H86" s="19" t="s">
        <v>192</v>
      </c>
      <c r="M86" s="9" t="str">
        <f>IF(D86=$M$3,1,"")</f>
        <v/>
      </c>
      <c r="N86" s="9" t="str">
        <f>IF(D86=$N$3,1,"")</f>
        <v/>
      </c>
      <c r="O86" s="9" t="str">
        <f>IF(D86=$O$3,1,"")</f>
        <v/>
      </c>
      <c r="P86" s="9" t="str">
        <f>IF(D86=$P$3,1,"")</f>
        <v/>
      </c>
      <c r="Q86" s="9" t="str">
        <f>IF(D86=$Q$3,1,"")</f>
        <v/>
      </c>
      <c r="R86" s="9" t="str">
        <f>IF(D86=$R$3,1,"")</f>
        <v/>
      </c>
      <c r="S86" s="9" t="str">
        <f>IF(D86=$S$3,1,"")</f>
        <v/>
      </c>
      <c r="T86" s="9">
        <f>IF(D86=$T$3,1,"")</f>
        <v>1</v>
      </c>
      <c r="U86" s="9" t="str">
        <f>IF(D86=$U$3,1,"")</f>
        <v/>
      </c>
      <c r="V86" s="9" t="str">
        <f>IF(D86=$V$3,1,"")</f>
        <v/>
      </c>
      <c r="W86" s="9" t="str">
        <f>IF(D86=$W$3,1,"")</f>
        <v/>
      </c>
      <c r="X86" s="9" t="str">
        <f>IF(D86=$X$3,1,"")</f>
        <v/>
      </c>
      <c r="Y86" s="9" t="e">
        <f>IF(#REF!=$X$3,1,"")</f>
        <v>#REF!</v>
      </c>
      <c r="Z86" s="9" t="str">
        <f t="shared" si="18"/>
        <v/>
      </c>
      <c r="AA86" s="9" t="str">
        <f t="shared" si="19"/>
        <v/>
      </c>
      <c r="AB86" s="9" t="str">
        <f t="shared" si="20"/>
        <v/>
      </c>
      <c r="AC86" s="9" t="str">
        <f t="shared" si="21"/>
        <v/>
      </c>
      <c r="AD86" s="9" t="str">
        <f t="shared" si="22"/>
        <v/>
      </c>
    </row>
    <row r="87" spans="1:31" ht="21" customHeight="1" x14ac:dyDescent="0.2">
      <c r="A87" s="15">
        <f t="shared" si="15"/>
        <v>81</v>
      </c>
      <c r="B87" s="29" t="s">
        <v>193</v>
      </c>
      <c r="C87" s="16" t="str">
        <f t="shared" si="17"/>
        <v>vs</v>
      </c>
      <c r="D87" s="17" t="s">
        <v>15</v>
      </c>
      <c r="E87" s="16">
        <v>2013</v>
      </c>
      <c r="F87" s="18" t="s">
        <v>33</v>
      </c>
      <c r="G87" s="9"/>
      <c r="H87" s="19" t="s">
        <v>194</v>
      </c>
      <c r="M87" s="9" t="str">
        <f>IF(D87=$M$3,1,"")</f>
        <v/>
      </c>
      <c r="N87" s="9" t="str">
        <f>IF(D87=$N$3,1,"")</f>
        <v/>
      </c>
      <c r="O87" s="9" t="str">
        <f>IF(D87=$O$3,1,"")</f>
        <v/>
      </c>
      <c r="P87" s="9" t="str">
        <f>IF(D87=$P$3,1,"")</f>
        <v/>
      </c>
      <c r="Q87" s="9" t="str">
        <f>IF(D87=$Q$3,1,"")</f>
        <v/>
      </c>
      <c r="R87" s="9" t="str">
        <f>IF(D87=$R$3,1,"")</f>
        <v/>
      </c>
      <c r="S87" s="9" t="str">
        <f>IF(D87=$S$3,1,"")</f>
        <v/>
      </c>
      <c r="T87" s="9">
        <f>IF(D87=$T$3,1,"")</f>
        <v>1</v>
      </c>
      <c r="U87" s="9" t="str">
        <f>IF(D87=$U$3,1,"")</f>
        <v/>
      </c>
      <c r="V87" s="9" t="str">
        <f>IF(D87=$V$3,1,"")</f>
        <v/>
      </c>
      <c r="W87" s="9" t="str">
        <f>IF(D87=$W$3,1,"")</f>
        <v/>
      </c>
      <c r="X87" s="9" t="str">
        <f>IF(D87=$X$3,1,"")</f>
        <v/>
      </c>
      <c r="Y87" s="9" t="e">
        <f>IF(#REF!=$X$3,1,"")</f>
        <v>#REF!</v>
      </c>
      <c r="Z87" s="9" t="str">
        <f t="shared" si="18"/>
        <v/>
      </c>
      <c r="AA87" s="9" t="str">
        <f t="shared" si="19"/>
        <v/>
      </c>
      <c r="AB87" s="9" t="str">
        <f t="shared" si="20"/>
        <v/>
      </c>
      <c r="AC87" s="9" t="str">
        <f t="shared" si="21"/>
        <v/>
      </c>
      <c r="AD87" s="9" t="str">
        <f t="shared" si="22"/>
        <v/>
      </c>
    </row>
    <row r="88" spans="1:31" ht="21" customHeight="1" x14ac:dyDescent="0.2">
      <c r="A88" s="15">
        <f t="shared" si="15"/>
        <v>82</v>
      </c>
      <c r="B88" s="29" t="s">
        <v>195</v>
      </c>
      <c r="C88" s="16" t="str">
        <f t="shared" si="17"/>
        <v>vs</v>
      </c>
      <c r="D88" s="17" t="s">
        <v>15</v>
      </c>
      <c r="E88" s="16">
        <v>2013</v>
      </c>
      <c r="F88" s="18" t="s">
        <v>23</v>
      </c>
      <c r="G88" s="9"/>
      <c r="H88" s="19" t="s">
        <v>196</v>
      </c>
      <c r="M88" s="9" t="str">
        <f>IF(D88=$M$3,1,"")</f>
        <v/>
      </c>
      <c r="N88" s="9" t="str">
        <f>IF(D88=$N$3,1,"")</f>
        <v/>
      </c>
      <c r="O88" s="9" t="str">
        <f>IF(D88=$O$3,1,"")</f>
        <v/>
      </c>
      <c r="P88" s="9" t="str">
        <f>IF(D88=$P$3,1,"")</f>
        <v/>
      </c>
      <c r="Q88" s="9" t="str">
        <f>IF(D88=$Q$3,1,"")</f>
        <v/>
      </c>
      <c r="R88" s="9" t="str">
        <f>IF(D88=$R$3,1,"")</f>
        <v/>
      </c>
      <c r="S88" s="9" t="str">
        <f>IF(D88=$S$3,1,"")</f>
        <v/>
      </c>
      <c r="T88" s="9">
        <f>IF(D88=$T$3,1,"")</f>
        <v>1</v>
      </c>
      <c r="U88" s="9" t="str">
        <f>IF(D88=$U$3,1,"")</f>
        <v/>
      </c>
      <c r="V88" s="9" t="str">
        <f>IF(D88=$V$3,1,"")</f>
        <v/>
      </c>
      <c r="W88" s="9" t="str">
        <f>IF(D88=$W$3,1,"")</f>
        <v/>
      </c>
      <c r="X88" s="9" t="str">
        <f>IF(D88=$X$3,1,"")</f>
        <v/>
      </c>
      <c r="Y88" s="9" t="e">
        <f>IF(#REF!=$X$3,1,"")</f>
        <v>#REF!</v>
      </c>
      <c r="Z88" s="9" t="str">
        <f t="shared" si="18"/>
        <v/>
      </c>
      <c r="AA88" s="9" t="str">
        <f t="shared" si="19"/>
        <v/>
      </c>
      <c r="AB88" s="9" t="str">
        <f t="shared" si="20"/>
        <v/>
      </c>
      <c r="AC88" s="9" t="str">
        <f t="shared" si="21"/>
        <v/>
      </c>
      <c r="AD88" s="9" t="str">
        <f t="shared" si="22"/>
        <v/>
      </c>
    </row>
    <row r="89" spans="1:31" ht="80.25" customHeight="1" thickBot="1" x14ac:dyDescent="0.25">
      <c r="A89" s="54">
        <f t="shared" si="15"/>
        <v>83</v>
      </c>
      <c r="B89" s="63" t="s">
        <v>197</v>
      </c>
      <c r="C89" s="20" t="str">
        <f t="shared" si="17"/>
        <v>vs</v>
      </c>
      <c r="D89" s="21" t="s">
        <v>61</v>
      </c>
      <c r="E89" s="20">
        <v>2013</v>
      </c>
      <c r="F89" s="55" t="s">
        <v>47</v>
      </c>
      <c r="G89" s="9"/>
      <c r="H89" s="19" t="s">
        <v>198</v>
      </c>
      <c r="M89" s="9" t="str">
        <f>IF(D89=$M$3,1,"")</f>
        <v/>
      </c>
      <c r="N89" s="9" t="str">
        <f>IF(D89=$N$3,1,"")</f>
        <v/>
      </c>
      <c r="O89" s="9" t="str">
        <f>IF(D89=$O$3,1,"")</f>
        <v/>
      </c>
      <c r="P89" s="9" t="str">
        <f>IF(D89=$P$3,1,"")</f>
        <v/>
      </c>
      <c r="Q89" s="9" t="str">
        <f>IF(D89=$Q$3,1,"")</f>
        <v/>
      </c>
      <c r="R89" s="9" t="str">
        <f>IF(D89=$R$3,1,"")</f>
        <v/>
      </c>
      <c r="S89" s="9" t="str">
        <f>IF(D89=$S$3,1,"")</f>
        <v/>
      </c>
      <c r="T89" s="9" t="str">
        <f>IF(D89=$T$3,1,"")</f>
        <v/>
      </c>
      <c r="U89" s="9" t="str">
        <f>IF(D89=$U$3,1,"")</f>
        <v/>
      </c>
      <c r="V89" s="9" t="str">
        <f>IF(D89=$V$3,1,"")</f>
        <v/>
      </c>
      <c r="W89" s="9" t="str">
        <f>IF(D89=$W$3,1,"")</f>
        <v/>
      </c>
      <c r="X89" s="9" t="str">
        <f>IF(D89=$X$3,1,"")</f>
        <v/>
      </c>
      <c r="Y89" s="9" t="e">
        <f>IF(#REF!=$X$3,1,"")</f>
        <v>#REF!</v>
      </c>
      <c r="Z89" s="9" t="str">
        <f t="shared" si="18"/>
        <v/>
      </c>
      <c r="AA89" s="9" t="str">
        <f t="shared" si="19"/>
        <v/>
      </c>
      <c r="AB89" s="9" t="str">
        <f t="shared" si="20"/>
        <v/>
      </c>
      <c r="AC89" s="9" t="str">
        <f t="shared" si="21"/>
        <v/>
      </c>
      <c r="AD89" s="9" t="str">
        <f t="shared" si="22"/>
        <v/>
      </c>
    </row>
    <row r="90" spans="1:31" ht="21" customHeight="1" x14ac:dyDescent="0.2">
      <c r="A90" s="12">
        <f t="shared" si="15"/>
        <v>84</v>
      </c>
      <c r="B90" s="24" t="s">
        <v>199</v>
      </c>
      <c r="C90" s="13" t="str">
        <f t="shared" si="17"/>
        <v>vs</v>
      </c>
      <c r="D90" s="31" t="s">
        <v>15</v>
      </c>
      <c r="E90" s="13">
        <v>2013</v>
      </c>
      <c r="F90" s="119" t="s">
        <v>33</v>
      </c>
      <c r="G90" s="9"/>
      <c r="H90" s="19" t="s">
        <v>200</v>
      </c>
      <c r="M90" s="9" t="str">
        <f>IF(D90=$M$3,1,"")</f>
        <v/>
      </c>
      <c r="N90" s="9" t="str">
        <f>IF(D90=$N$3,1,"")</f>
        <v/>
      </c>
      <c r="O90" s="9" t="str">
        <f>IF(D90=$O$3,1,"")</f>
        <v/>
      </c>
      <c r="P90" s="9" t="str">
        <f>IF(D90=$P$3,1,"")</f>
        <v/>
      </c>
      <c r="Q90" s="9" t="str">
        <f>IF(D90=$Q$3,1,"")</f>
        <v/>
      </c>
      <c r="R90" s="9" t="str">
        <f>IF(D90=$R$3,1,"")</f>
        <v/>
      </c>
      <c r="S90" s="9" t="str">
        <f>IF(D90=$S$3,1,"")</f>
        <v/>
      </c>
      <c r="T90" s="9">
        <f>IF(D90=$T$3,1,"")</f>
        <v>1</v>
      </c>
      <c r="U90" s="9" t="str">
        <f>IF(D90=$U$3,1,"")</f>
        <v/>
      </c>
      <c r="V90" s="9" t="str">
        <f>IF(D90=$V$3,1,"")</f>
        <v/>
      </c>
      <c r="W90" s="9" t="str">
        <f>IF(D90=$W$3,1,"")</f>
        <v/>
      </c>
      <c r="X90" s="9" t="str">
        <f>IF(D90=$X$3,1,"")</f>
        <v/>
      </c>
      <c r="Y90" s="9" t="e">
        <f>IF(#REF!=$X$3,1,"")</f>
        <v>#REF!</v>
      </c>
      <c r="Z90" s="9" t="str">
        <f t="shared" si="18"/>
        <v/>
      </c>
      <c r="AA90" s="9" t="str">
        <f t="shared" si="19"/>
        <v/>
      </c>
      <c r="AB90" s="9" t="str">
        <f t="shared" si="20"/>
        <v/>
      </c>
      <c r="AC90" s="9" t="str">
        <f t="shared" si="21"/>
        <v/>
      </c>
      <c r="AD90" s="9" t="str">
        <f t="shared" si="22"/>
        <v/>
      </c>
    </row>
    <row r="91" spans="1:31" ht="21" customHeight="1" x14ac:dyDescent="0.2">
      <c r="A91" s="15">
        <f t="shared" si="15"/>
        <v>85</v>
      </c>
      <c r="B91" s="25" t="s">
        <v>201</v>
      </c>
      <c r="C91" s="16" t="str">
        <f t="shared" si="17"/>
        <v>vs</v>
      </c>
      <c r="D91" s="17" t="s">
        <v>18</v>
      </c>
      <c r="E91" s="16">
        <v>2013</v>
      </c>
      <c r="F91" s="18" t="s">
        <v>23</v>
      </c>
      <c r="G91" s="9" t="s">
        <v>202</v>
      </c>
      <c r="H91" s="19" t="s">
        <v>203</v>
      </c>
      <c r="M91" s="9" t="str">
        <f>IF(D91=$M$3,1,"")</f>
        <v/>
      </c>
      <c r="N91" s="9" t="str">
        <f>IF(D91=$N$3,1,"")</f>
        <v/>
      </c>
      <c r="O91" s="9" t="str">
        <f>IF(D91=$O$3,1,"")</f>
        <v/>
      </c>
      <c r="P91" s="9" t="str">
        <f>IF(D91=$P$3,1,"")</f>
        <v/>
      </c>
      <c r="Q91" s="9" t="str">
        <f>IF(D91=$Q$3,1,"")</f>
        <v/>
      </c>
      <c r="R91" s="9" t="str">
        <f>IF(D91=$R$3,1,"")</f>
        <v/>
      </c>
      <c r="S91" s="9" t="str">
        <f>IF(D91=$S$3,1,"")</f>
        <v/>
      </c>
      <c r="T91" s="9" t="str">
        <f>IF(D91=$T$3,1,"")</f>
        <v/>
      </c>
      <c r="U91" s="9" t="str">
        <f>IF(D91=$U$3,1,"")</f>
        <v/>
      </c>
      <c r="V91" s="9" t="str">
        <f>IF(D91=$V$3,1,"")</f>
        <v/>
      </c>
      <c r="W91" s="9">
        <f>IF(D91=$W$3,1,"")</f>
        <v>1</v>
      </c>
      <c r="X91" s="9" t="str">
        <f>IF(D91=$X$3,1,"")</f>
        <v/>
      </c>
      <c r="Y91" s="9" t="e">
        <f>IF(#REF!=$X$3,1,"")</f>
        <v>#REF!</v>
      </c>
      <c r="Z91" s="9" t="str">
        <f t="shared" si="18"/>
        <v/>
      </c>
      <c r="AA91" s="9" t="str">
        <f t="shared" si="19"/>
        <v/>
      </c>
      <c r="AB91" s="9" t="str">
        <f t="shared" si="20"/>
        <v/>
      </c>
      <c r="AC91" s="9" t="str">
        <f t="shared" si="21"/>
        <v/>
      </c>
      <c r="AD91" s="9" t="str">
        <f t="shared" si="22"/>
        <v/>
      </c>
    </row>
    <row r="92" spans="1:31" ht="21" customHeight="1" x14ac:dyDescent="0.2">
      <c r="A92" s="15">
        <f>IF(B92="","",A91+1)</f>
        <v>86</v>
      </c>
      <c r="B92" s="25" t="s">
        <v>204</v>
      </c>
      <c r="C92" s="16" t="str">
        <f t="shared" si="17"/>
        <v>vs</v>
      </c>
      <c r="D92" s="17" t="s">
        <v>11</v>
      </c>
      <c r="E92" s="16">
        <v>2013</v>
      </c>
      <c r="F92" s="18" t="s">
        <v>23</v>
      </c>
      <c r="G92" s="9"/>
      <c r="H92" s="19" t="s">
        <v>205</v>
      </c>
      <c r="M92" s="9" t="str">
        <f>IF(D92=$M$3,1,"")</f>
        <v/>
      </c>
      <c r="N92" s="9" t="str">
        <f>IF(D92=$N$3,1,"")</f>
        <v/>
      </c>
      <c r="O92" s="9" t="str">
        <f>IF(D92=$O$3,1,"")</f>
        <v/>
      </c>
      <c r="P92" s="9">
        <f>IF(D92=$P$3,1,"")</f>
        <v>1</v>
      </c>
      <c r="Q92" s="9" t="str">
        <f>IF(D92=$Q$3,1,"")</f>
        <v/>
      </c>
      <c r="R92" s="9" t="str">
        <f>IF(D92=$R$3,1,"")</f>
        <v/>
      </c>
      <c r="S92" s="9" t="str">
        <f>IF(D92=$S$3,1,"")</f>
        <v/>
      </c>
      <c r="T92" s="9" t="str">
        <f>IF(D92=$T$3,1,"")</f>
        <v/>
      </c>
      <c r="U92" s="9" t="str">
        <f>IF(D92=$U$3,1,"")</f>
        <v/>
      </c>
      <c r="V92" s="9" t="str">
        <f>IF(D92=$V$3,1,"")</f>
        <v/>
      </c>
      <c r="W92" s="9" t="str">
        <f>IF(D92=$W$3,1,"")</f>
        <v/>
      </c>
      <c r="X92" s="9" t="str">
        <f>IF(D92=$X$3,1,"")</f>
        <v/>
      </c>
      <c r="Y92" s="9" t="e">
        <f>IF(#REF!=$X$3,1,"")</f>
        <v>#REF!</v>
      </c>
      <c r="Z92" s="9" t="str">
        <f t="shared" si="18"/>
        <v/>
      </c>
      <c r="AA92" s="9" t="str">
        <f t="shared" si="19"/>
        <v/>
      </c>
      <c r="AB92" s="9" t="str">
        <f t="shared" si="20"/>
        <v/>
      </c>
      <c r="AC92" s="9" t="str">
        <f t="shared" si="21"/>
        <v/>
      </c>
      <c r="AD92" s="9" t="str">
        <f t="shared" si="22"/>
        <v/>
      </c>
    </row>
    <row r="93" spans="1:31" s="41" customFormat="1" ht="21" customHeight="1" thickBot="1" x14ac:dyDescent="0.25">
      <c r="A93" s="22">
        <f t="shared" si="15"/>
        <v>87</v>
      </c>
      <c r="B93" s="46" t="s">
        <v>206</v>
      </c>
      <c r="C93" s="47" t="str">
        <f>IF(B93="","","vs")</f>
        <v>vs</v>
      </c>
      <c r="D93" s="48" t="s">
        <v>11</v>
      </c>
      <c r="E93" s="47">
        <v>2013</v>
      </c>
      <c r="F93" s="11" t="s">
        <v>23</v>
      </c>
      <c r="G93" s="42"/>
      <c r="H93" s="40" t="s">
        <v>207</v>
      </c>
      <c r="M93" s="9" t="str">
        <f>IF(D93=$M$3,1,"")</f>
        <v/>
      </c>
      <c r="N93" s="9" t="str">
        <f>IF(D93=$N$3,1,"")</f>
        <v/>
      </c>
      <c r="O93" s="9" t="str">
        <f>IF(D93=$O$3,1,"")</f>
        <v/>
      </c>
      <c r="P93" s="9">
        <f>IF(D93=$P$3,1,"")</f>
        <v>1</v>
      </c>
      <c r="Q93" s="9" t="str">
        <f>IF(D93=$Q$3,1,"")</f>
        <v/>
      </c>
      <c r="R93" s="9" t="str">
        <f>IF(D93=$R$3,1,"")</f>
        <v/>
      </c>
      <c r="S93" s="9" t="str">
        <f>IF(D93=$S$3,1,"")</f>
        <v/>
      </c>
      <c r="T93" s="9" t="str">
        <f>IF(D93=$T$3,1,"")</f>
        <v/>
      </c>
      <c r="U93" s="9" t="str">
        <f>IF(D93=$U$3,1,"")</f>
        <v/>
      </c>
      <c r="V93" s="9" t="str">
        <f>IF(D93=$V$3,1,"")</f>
        <v/>
      </c>
      <c r="W93" s="9" t="str">
        <f>IF(D93=$W$3,1,"")</f>
        <v/>
      </c>
      <c r="X93" s="9" t="str">
        <f>IF(D93=$X$3,1,"")</f>
        <v/>
      </c>
      <c r="Y93" s="9" t="e">
        <f>IF(#REF!=$X$3,1,"")</f>
        <v>#REF!</v>
      </c>
      <c r="Z93" s="9" t="str">
        <f t="shared" si="18"/>
        <v/>
      </c>
      <c r="AA93" s="9" t="str">
        <f t="shared" si="19"/>
        <v/>
      </c>
      <c r="AB93" s="9" t="str">
        <f t="shared" si="20"/>
        <v/>
      </c>
      <c r="AC93" s="9" t="str">
        <f t="shared" si="21"/>
        <v/>
      </c>
      <c r="AD93" s="9" t="str">
        <f t="shared" si="22"/>
        <v/>
      </c>
      <c r="AE93" s="7"/>
    </row>
    <row r="94" spans="1:31" ht="21" customHeight="1" x14ac:dyDescent="0.2">
      <c r="A94" s="56">
        <f t="shared" si="15"/>
        <v>88</v>
      </c>
      <c r="B94" s="64" t="s">
        <v>208</v>
      </c>
      <c r="C94" s="58" t="str">
        <f t="shared" si="17"/>
        <v>vs</v>
      </c>
      <c r="D94" s="116" t="s">
        <v>15</v>
      </c>
      <c r="E94" s="58">
        <v>2013</v>
      </c>
      <c r="F94" s="103" t="s">
        <v>23</v>
      </c>
      <c r="G94" s="9" t="s">
        <v>209</v>
      </c>
      <c r="H94" s="19" t="s">
        <v>210</v>
      </c>
      <c r="M94" s="9" t="str">
        <f>IF(D94=$M$3,1,"")</f>
        <v/>
      </c>
      <c r="N94" s="9" t="str">
        <f>IF(D94=$N$3,1,"")</f>
        <v/>
      </c>
      <c r="O94" s="9" t="str">
        <f>IF(D94=$O$3,1,"")</f>
        <v/>
      </c>
      <c r="P94" s="9" t="str">
        <f>IF(D94=$P$3,1,"")</f>
        <v/>
      </c>
      <c r="Q94" s="9" t="str">
        <f>IF(D94=$Q$3,1,"")</f>
        <v/>
      </c>
      <c r="R94" s="9" t="str">
        <f>IF(D94=$R$3,1,"")</f>
        <v/>
      </c>
      <c r="S94" s="9" t="str">
        <f>IF(D94=$S$3,1,"")</f>
        <v/>
      </c>
      <c r="T94" s="9">
        <f>IF(D94=$T$3,1,"")</f>
        <v>1</v>
      </c>
      <c r="U94" s="9" t="str">
        <f>IF(D94=$U$3,1,"")</f>
        <v/>
      </c>
      <c r="V94" s="9" t="str">
        <f>IF(D94=$V$3,1,"")</f>
        <v/>
      </c>
      <c r="W94" s="9" t="str">
        <f>IF(D94=$W$3,1,"")</f>
        <v/>
      </c>
      <c r="X94" s="9" t="str">
        <f>IF(D94=$X$3,1,"")</f>
        <v/>
      </c>
      <c r="Y94" s="9" t="e">
        <f>IF(#REF!=$X$3,1,"")</f>
        <v>#REF!</v>
      </c>
      <c r="Z94" s="9" t="str">
        <f t="shared" si="18"/>
        <v/>
      </c>
      <c r="AA94" s="9" t="str">
        <f t="shared" si="19"/>
        <v/>
      </c>
      <c r="AB94" s="9" t="str">
        <f t="shared" si="20"/>
        <v/>
      </c>
      <c r="AC94" s="9" t="str">
        <f t="shared" si="21"/>
        <v/>
      </c>
      <c r="AD94" s="9" t="str">
        <f t="shared" si="22"/>
        <v/>
      </c>
    </row>
    <row r="95" spans="1:31" ht="21" customHeight="1" x14ac:dyDescent="0.2">
      <c r="A95" s="15">
        <f>IF(B95="","",A94+1)</f>
        <v>89</v>
      </c>
      <c r="B95" s="44" t="s">
        <v>211</v>
      </c>
      <c r="C95" s="16" t="str">
        <f t="shared" si="17"/>
        <v>vs</v>
      </c>
      <c r="D95" s="17" t="s">
        <v>9</v>
      </c>
      <c r="E95" s="16">
        <v>2013</v>
      </c>
      <c r="F95" s="18" t="s">
        <v>33</v>
      </c>
      <c r="G95" s="9"/>
      <c r="H95" s="19" t="s">
        <v>212</v>
      </c>
      <c r="M95" s="9" t="str">
        <f>IF(D95=$M$3,1,"")</f>
        <v/>
      </c>
      <c r="N95" s="9">
        <f>IF(D95=$N$3,1,"")</f>
        <v>1</v>
      </c>
      <c r="O95" s="9" t="str">
        <f>IF(D95=$O$3,1,"")</f>
        <v/>
      </c>
      <c r="P95" s="9" t="str">
        <f>IF(D95=$P$3,1,"")</f>
        <v/>
      </c>
      <c r="Q95" s="9" t="str">
        <f>IF(D95=$Q$3,1,"")</f>
        <v/>
      </c>
      <c r="R95" s="9" t="str">
        <f>IF(D95=$R$3,1,"")</f>
        <v/>
      </c>
      <c r="S95" s="9" t="str">
        <f>IF(D95=$S$3,1,"")</f>
        <v/>
      </c>
      <c r="T95" s="9" t="str">
        <f>IF(D95=$T$3,1,"")</f>
        <v/>
      </c>
      <c r="U95" s="9" t="str">
        <f>IF(D95=$U$3,1,"")</f>
        <v/>
      </c>
      <c r="V95" s="9" t="str">
        <f>IF(D95=$V$3,1,"")</f>
        <v/>
      </c>
      <c r="W95" s="9" t="str">
        <f>IF(D95=$W$3,1,"")</f>
        <v/>
      </c>
      <c r="X95" s="9" t="str">
        <f>IF(D95=$X$3,1,"")</f>
        <v/>
      </c>
      <c r="Y95" s="9" t="e">
        <f>IF(#REF!=$X$3,1,"")</f>
        <v>#REF!</v>
      </c>
      <c r="Z95" s="9" t="str">
        <f t="shared" si="18"/>
        <v/>
      </c>
      <c r="AA95" s="9" t="str">
        <f t="shared" si="19"/>
        <v/>
      </c>
      <c r="AB95" s="9" t="str">
        <f t="shared" si="20"/>
        <v/>
      </c>
      <c r="AC95" s="9" t="str">
        <f t="shared" si="21"/>
        <v/>
      </c>
      <c r="AD95" s="9" t="str">
        <f t="shared" si="22"/>
        <v/>
      </c>
    </row>
    <row r="96" spans="1:31" s="41" customFormat="1" ht="21" customHeight="1" thickBot="1" x14ac:dyDescent="0.25">
      <c r="A96" s="15">
        <f t="shared" si="15"/>
        <v>90</v>
      </c>
      <c r="B96" s="46" t="s">
        <v>213</v>
      </c>
      <c r="C96" s="47" t="str">
        <f>IF(B96="","","vs")</f>
        <v>vs</v>
      </c>
      <c r="D96" s="48" t="s">
        <v>16</v>
      </c>
      <c r="E96" s="47">
        <v>2013</v>
      </c>
      <c r="F96" s="11" t="s">
        <v>52</v>
      </c>
      <c r="G96" s="42"/>
      <c r="H96" s="40" t="s">
        <v>214</v>
      </c>
      <c r="M96" s="9" t="str">
        <f>IF(D96=$M$3,1,"")</f>
        <v/>
      </c>
      <c r="N96" s="9" t="str">
        <f>IF(D96=$N$3,1,"")</f>
        <v/>
      </c>
      <c r="O96" s="9" t="str">
        <f>IF(D96=$O$3,1,"")</f>
        <v/>
      </c>
      <c r="P96" s="9" t="str">
        <f>IF(D96=$P$3,1,"")</f>
        <v/>
      </c>
      <c r="Q96" s="9" t="str">
        <f>IF(D96=$Q$3,1,"")</f>
        <v/>
      </c>
      <c r="R96" s="9" t="str">
        <f>IF(D96=$R$3,1,"")</f>
        <v/>
      </c>
      <c r="S96" s="9" t="str">
        <f>IF(D96=$S$3,1,"")</f>
        <v/>
      </c>
      <c r="T96" s="9" t="str">
        <f>IF(D96=$T$3,1,"")</f>
        <v/>
      </c>
      <c r="U96" s="9">
        <f>IF(D96=$U$3,1,"")</f>
        <v>1</v>
      </c>
      <c r="V96" s="9" t="str">
        <f>IF(D96=$V$3,1,"")</f>
        <v/>
      </c>
      <c r="W96" s="9" t="str">
        <f>IF(D96=$W$3,1,"")</f>
        <v/>
      </c>
      <c r="X96" s="9" t="str">
        <f>IF(D96=$X$3,1,"")</f>
        <v/>
      </c>
      <c r="Y96" s="9" t="e">
        <f>IF(#REF!=$X$3,1,"")</f>
        <v>#REF!</v>
      </c>
      <c r="Z96" s="9" t="str">
        <f t="shared" si="18"/>
        <v/>
      </c>
      <c r="AA96" s="9" t="str">
        <f t="shared" si="19"/>
        <v/>
      </c>
      <c r="AB96" s="9" t="str">
        <f t="shared" si="20"/>
        <v/>
      </c>
      <c r="AC96" s="9" t="str">
        <f t="shared" si="21"/>
        <v/>
      </c>
      <c r="AD96" s="9" t="str">
        <f t="shared" si="22"/>
        <v/>
      </c>
      <c r="AE96" s="7"/>
    </row>
    <row r="97" spans="1:31" s="41" customFormat="1" ht="21" customHeight="1" thickBot="1" x14ac:dyDescent="0.25">
      <c r="A97" s="15">
        <f t="shared" si="15"/>
        <v>91</v>
      </c>
      <c r="B97" s="46" t="s">
        <v>215</v>
      </c>
      <c r="C97" s="47" t="str">
        <f t="shared" si="17"/>
        <v>vs</v>
      </c>
      <c r="D97" s="48" t="s">
        <v>9</v>
      </c>
      <c r="E97" s="47">
        <v>2013</v>
      </c>
      <c r="F97" s="11" t="s">
        <v>23</v>
      </c>
      <c r="G97" s="42"/>
      <c r="H97" s="19" t="s">
        <v>188</v>
      </c>
      <c r="M97" s="9" t="str">
        <f>IF(D97=$M$3,1,"")</f>
        <v/>
      </c>
      <c r="N97" s="9">
        <f>IF(D97=$N$3,1,"")</f>
        <v>1</v>
      </c>
      <c r="O97" s="9" t="str">
        <f>IF(D97=$O$3,1,"")</f>
        <v/>
      </c>
      <c r="P97" s="9" t="str">
        <f>IF(D97=$P$3,1,"")</f>
        <v/>
      </c>
      <c r="Q97" s="9" t="str">
        <f>IF(D97=$Q$3,1,"")</f>
        <v/>
      </c>
      <c r="R97" s="9" t="str">
        <f>IF(D97=$R$3,1,"")</f>
        <v/>
      </c>
      <c r="S97" s="9" t="str">
        <f>IF(D97=$S$3,1,"")</f>
        <v/>
      </c>
      <c r="T97" s="9" t="str">
        <f>IF(D97=$T$3,1,"")</f>
        <v/>
      </c>
      <c r="U97" s="9" t="str">
        <f>IF(D97=$U$3,1,"")</f>
        <v/>
      </c>
      <c r="V97" s="9" t="str">
        <f>IF(D97=$V$3,1,"")</f>
        <v/>
      </c>
      <c r="W97" s="9" t="str">
        <f>IF(D97=$W$3,1,"")</f>
        <v/>
      </c>
      <c r="X97" s="9" t="str">
        <f>IF(D97=$X$3,1,"")</f>
        <v/>
      </c>
      <c r="Y97" s="9" t="e">
        <f>IF(#REF!=$X$3,1,"")</f>
        <v>#REF!</v>
      </c>
      <c r="Z97" s="9" t="str">
        <f t="shared" si="18"/>
        <v/>
      </c>
      <c r="AA97" s="9" t="str">
        <f t="shared" si="19"/>
        <v/>
      </c>
      <c r="AB97" s="9" t="str">
        <f t="shared" si="20"/>
        <v/>
      </c>
      <c r="AC97" s="9" t="str">
        <f t="shared" si="21"/>
        <v/>
      </c>
      <c r="AD97" s="9" t="str">
        <f t="shared" si="22"/>
        <v/>
      </c>
      <c r="AE97" s="7"/>
    </row>
    <row r="98" spans="1:31" s="41" customFormat="1" ht="21" customHeight="1" thickBot="1" x14ac:dyDescent="0.25">
      <c r="A98" s="15">
        <f t="shared" si="15"/>
        <v>92</v>
      </c>
      <c r="B98" s="46" t="s">
        <v>216</v>
      </c>
      <c r="C98" s="47" t="str">
        <f>IF(B98="","","vs")</f>
        <v>vs</v>
      </c>
      <c r="D98" s="48" t="s">
        <v>61</v>
      </c>
      <c r="E98" s="47">
        <v>2013</v>
      </c>
      <c r="F98" s="11" t="s">
        <v>23</v>
      </c>
      <c r="G98" s="42"/>
      <c r="H98" s="40" t="s">
        <v>198</v>
      </c>
      <c r="M98" s="9" t="str">
        <f>IF(D98=$M$3,1,"")</f>
        <v/>
      </c>
      <c r="N98" s="9" t="str">
        <f>IF(D98=$N$3,1,"")</f>
        <v/>
      </c>
      <c r="O98" s="9" t="str">
        <f>IF(D98=$O$3,1,"")</f>
        <v/>
      </c>
      <c r="P98" s="9" t="str">
        <f>IF(D98=$P$3,1,"")</f>
        <v/>
      </c>
      <c r="Q98" s="9" t="str">
        <f>IF(D98=$Q$3,1,"")</f>
        <v/>
      </c>
      <c r="R98" s="9" t="str">
        <f>IF(D98=$R$3,1,"")</f>
        <v/>
      </c>
      <c r="S98" s="9" t="str">
        <f>IF(D98=$S$3,1,"")</f>
        <v/>
      </c>
      <c r="T98" s="9" t="str">
        <f>IF(D98=$T$3,1,"")</f>
        <v/>
      </c>
      <c r="U98" s="9" t="str">
        <f>IF(D98=$U$3,1,"")</f>
        <v/>
      </c>
      <c r="V98" s="9" t="str">
        <f>IF(D98=$V$3,1,"")</f>
        <v/>
      </c>
      <c r="W98" s="9" t="str">
        <f>IF(D98=$W$3,1,"")</f>
        <v/>
      </c>
      <c r="X98" s="9" t="str">
        <f>IF(D98=$X$3,1,"")</f>
        <v/>
      </c>
      <c r="Y98" s="9" t="e">
        <f>IF(#REF!=$X$3,1,"")</f>
        <v>#REF!</v>
      </c>
      <c r="Z98" s="9" t="str">
        <f t="shared" si="18"/>
        <v/>
      </c>
      <c r="AA98" s="9" t="str">
        <f t="shared" si="19"/>
        <v/>
      </c>
      <c r="AB98" s="9" t="str">
        <f t="shared" si="20"/>
        <v/>
      </c>
      <c r="AC98" s="9" t="str">
        <f t="shared" si="21"/>
        <v/>
      </c>
      <c r="AD98" s="9" t="str">
        <f t="shared" si="22"/>
        <v/>
      </c>
      <c r="AE98" s="7"/>
    </row>
    <row r="99" spans="1:31" ht="21" customHeight="1" thickBot="1" x14ac:dyDescent="0.25">
      <c r="A99" s="15">
        <f t="shared" si="15"/>
        <v>93</v>
      </c>
      <c r="B99" s="45" t="s">
        <v>217</v>
      </c>
      <c r="C99" s="23" t="str">
        <f t="shared" si="17"/>
        <v>vs</v>
      </c>
      <c r="D99" s="10" t="s">
        <v>18</v>
      </c>
      <c r="E99" s="23">
        <v>2013</v>
      </c>
      <c r="F99" s="11" t="s">
        <v>23</v>
      </c>
      <c r="G99" s="9"/>
      <c r="H99" s="19" t="s">
        <v>218</v>
      </c>
      <c r="M99" s="9" t="str">
        <f>IF(D99=$M$3,1,"")</f>
        <v/>
      </c>
      <c r="N99" s="9" t="str">
        <f>IF(D99=$N$3,1,"")</f>
        <v/>
      </c>
      <c r="O99" s="9" t="str">
        <f>IF(D99=$O$3,1,"")</f>
        <v/>
      </c>
      <c r="P99" s="9" t="str">
        <f>IF(D99=$P$3,1,"")</f>
        <v/>
      </c>
      <c r="Q99" s="9" t="str">
        <f>IF(D99=$Q$3,1,"")</f>
        <v/>
      </c>
      <c r="R99" s="9" t="str">
        <f>IF(D99=$R$3,1,"")</f>
        <v/>
      </c>
      <c r="S99" s="9" t="str">
        <f>IF(D99=$S$3,1,"")</f>
        <v/>
      </c>
      <c r="T99" s="9" t="str">
        <f>IF(D99=$T$3,1,"")</f>
        <v/>
      </c>
      <c r="U99" s="9" t="str">
        <f>IF(D99=$U$3,1,"")</f>
        <v/>
      </c>
      <c r="V99" s="9" t="str">
        <f>IF(D99=$V$3,1,"")</f>
        <v/>
      </c>
      <c r="W99" s="9">
        <f>IF(D99=$W$3,1,"")</f>
        <v>1</v>
      </c>
      <c r="X99" s="9" t="str">
        <f>IF(D99=$X$3,1,"")</f>
        <v/>
      </c>
      <c r="Y99" s="9" t="e">
        <f>IF(#REF!=$X$3,1,"")</f>
        <v>#REF!</v>
      </c>
      <c r="Z99" s="9" t="str">
        <f t="shared" si="18"/>
        <v/>
      </c>
      <c r="AA99" s="9" t="str">
        <f t="shared" si="19"/>
        <v/>
      </c>
      <c r="AB99" s="9" t="str">
        <f t="shared" si="20"/>
        <v/>
      </c>
      <c r="AC99" s="9" t="str">
        <f t="shared" si="21"/>
        <v/>
      </c>
      <c r="AD99" s="9" t="str">
        <f t="shared" si="22"/>
        <v/>
      </c>
    </row>
    <row r="100" spans="1:31" ht="21" customHeight="1" x14ac:dyDescent="0.2">
      <c r="A100" s="15">
        <f t="shared" si="15"/>
        <v>94</v>
      </c>
      <c r="B100" s="30" t="s">
        <v>219</v>
      </c>
      <c r="C100" s="13" t="str">
        <f>IF(B100="","","vs")</f>
        <v>vs</v>
      </c>
      <c r="D100" s="31" t="s">
        <v>15</v>
      </c>
      <c r="E100" s="13">
        <v>2014</v>
      </c>
      <c r="F100" s="119" t="s">
        <v>23</v>
      </c>
      <c r="G100" s="140" t="s">
        <v>209</v>
      </c>
      <c r="H100" s="19" t="s">
        <v>220</v>
      </c>
      <c r="M100" s="9" t="str">
        <f>IF(D100=$M$3,1,"")</f>
        <v/>
      </c>
      <c r="N100" s="9" t="str">
        <f>IF(D100=$N$3,1,"")</f>
        <v/>
      </c>
      <c r="O100" s="9" t="str">
        <f>IF(D100=$O$3,1,"")</f>
        <v/>
      </c>
      <c r="P100" s="9" t="str">
        <f>IF(D100=$P$3,1,"")</f>
        <v/>
      </c>
      <c r="Q100" s="9" t="str">
        <f>IF(D100=$Q$3,1,"")</f>
        <v/>
      </c>
      <c r="R100" s="9" t="str">
        <f>IF(D100=$R$3,1,"")</f>
        <v/>
      </c>
      <c r="S100" s="9" t="str">
        <f>IF(D100=$S$3,1,"")</f>
        <v/>
      </c>
      <c r="T100" s="9">
        <f>IF(D100=$T$3,1,"")</f>
        <v>1</v>
      </c>
      <c r="U100" s="9" t="str">
        <f>IF(D100=$U$3,1,"")</f>
        <v/>
      </c>
      <c r="V100" s="9" t="str">
        <f>IF(D100=$V$3,1,"")</f>
        <v/>
      </c>
      <c r="W100" s="9" t="str">
        <f>IF(D100=$W$3,1,"")</f>
        <v/>
      </c>
      <c r="X100" s="9" t="str">
        <f>IF(D100=$X$3,1,"")</f>
        <v/>
      </c>
      <c r="Y100" s="9" t="e">
        <f>IF(#REF!=$X$3,1,"")</f>
        <v>#REF!</v>
      </c>
      <c r="Z100" s="9" t="str">
        <f t="shared" si="18"/>
        <v/>
      </c>
      <c r="AA100" s="9" t="str">
        <f t="shared" si="19"/>
        <v/>
      </c>
      <c r="AB100" s="9" t="str">
        <f t="shared" si="20"/>
        <v/>
      </c>
      <c r="AC100" s="9" t="str">
        <f t="shared" si="21"/>
        <v/>
      </c>
      <c r="AD100" s="9" t="str">
        <f t="shared" si="22"/>
        <v/>
      </c>
    </row>
    <row r="101" spans="1:31" ht="21" customHeight="1" x14ac:dyDescent="0.2">
      <c r="A101" s="15">
        <f t="shared" si="15"/>
        <v>95</v>
      </c>
      <c r="B101" s="32" t="s">
        <v>221</v>
      </c>
      <c r="C101" s="16" t="str">
        <f>IF(B101="","","vs")</f>
        <v>vs</v>
      </c>
      <c r="D101" s="17" t="s">
        <v>11</v>
      </c>
      <c r="E101" s="16">
        <v>2014</v>
      </c>
      <c r="F101" s="18" t="s">
        <v>47</v>
      </c>
      <c r="G101" s="9"/>
      <c r="H101" s="19" t="s">
        <v>222</v>
      </c>
      <c r="M101" s="9" t="str">
        <f>IF(D101=$M$3,1,"")</f>
        <v/>
      </c>
      <c r="N101" s="9" t="str">
        <f>IF(D101=$N$3,1,"")</f>
        <v/>
      </c>
      <c r="O101" s="9" t="str">
        <f>IF(D101=$O$3,1,"")</f>
        <v/>
      </c>
      <c r="P101" s="9">
        <f>IF(D101=$P$3,1,"")</f>
        <v>1</v>
      </c>
      <c r="Q101" s="9" t="str">
        <f>IF(D101=$Q$3,1,"")</f>
        <v/>
      </c>
      <c r="R101" s="9" t="str">
        <f>IF(D101=$R$3,1,"")</f>
        <v/>
      </c>
      <c r="S101" s="9" t="str">
        <f>IF(D101=$S$3,1,"")</f>
        <v/>
      </c>
      <c r="T101" s="9" t="str">
        <f>IF(D101=$T$3,1,"")</f>
        <v/>
      </c>
      <c r="U101" s="9" t="str">
        <f>IF(D101=$U$3,1,"")</f>
        <v/>
      </c>
      <c r="V101" s="9" t="str">
        <f>IF(D101=$V$3,1,"")</f>
        <v/>
      </c>
      <c r="W101" s="9" t="str">
        <f>IF(D101=$W$3,1,"")</f>
        <v/>
      </c>
      <c r="X101" s="9" t="str">
        <f>IF(D101=$X$3,1,"")</f>
        <v/>
      </c>
      <c r="Y101" s="9" t="e">
        <f>IF(#REF!=$X$3,1,"")</f>
        <v>#REF!</v>
      </c>
      <c r="Z101" s="9" t="str">
        <f t="shared" si="18"/>
        <v/>
      </c>
      <c r="AA101" s="9" t="str">
        <f t="shared" si="19"/>
        <v/>
      </c>
      <c r="AB101" s="9" t="str">
        <f t="shared" si="20"/>
        <v/>
      </c>
      <c r="AC101" s="9" t="str">
        <f t="shared" si="21"/>
        <v/>
      </c>
      <c r="AD101" s="9" t="str">
        <f t="shared" si="22"/>
        <v/>
      </c>
    </row>
    <row r="102" spans="1:31" ht="21" customHeight="1" x14ac:dyDescent="0.2">
      <c r="A102" s="15">
        <f t="shared" si="15"/>
        <v>96</v>
      </c>
      <c r="B102" s="25" t="s">
        <v>223</v>
      </c>
      <c r="C102" s="16" t="str">
        <f t="shared" ref="C102:C115" si="23">IF(B102="","","vs")</f>
        <v>vs</v>
      </c>
      <c r="D102" s="17" t="s">
        <v>9</v>
      </c>
      <c r="E102" s="16">
        <v>2014</v>
      </c>
      <c r="F102" s="18" t="s">
        <v>23</v>
      </c>
      <c r="G102" s="9"/>
      <c r="H102" s="19" t="s">
        <v>224</v>
      </c>
      <c r="M102" s="9" t="str">
        <f>IF(D102=$M$3,1,"")</f>
        <v/>
      </c>
      <c r="N102" s="9">
        <f>IF(D102=$N$3,1,"")</f>
        <v>1</v>
      </c>
      <c r="O102" s="9" t="str">
        <f>IF(D102=$O$3,1,"")</f>
        <v/>
      </c>
      <c r="P102" s="9" t="str">
        <f>IF(D102=$P$3,1,"")</f>
        <v/>
      </c>
      <c r="Q102" s="9" t="str">
        <f>IF(D102=$Q$3,1,"")</f>
        <v/>
      </c>
      <c r="R102" s="9" t="str">
        <f>IF(D102=$R$3,1,"")</f>
        <v/>
      </c>
      <c r="S102" s="9" t="str">
        <f>IF(D102=$S$3,1,"")</f>
        <v/>
      </c>
      <c r="T102" s="9" t="str">
        <f>IF(D102=$T$3,1,"")</f>
        <v/>
      </c>
      <c r="U102" s="9" t="str">
        <f>IF(D102=$U$3,1,"")</f>
        <v/>
      </c>
      <c r="V102" s="9" t="str">
        <f>IF(D102=$V$3,1,"")</f>
        <v/>
      </c>
      <c r="W102" s="9" t="str">
        <f>IF(D102=$W$3,1,"")</f>
        <v/>
      </c>
      <c r="X102" s="9" t="str">
        <f>IF(D102=$X$3,1,"")</f>
        <v/>
      </c>
      <c r="Y102" s="9" t="e">
        <f>IF(#REF!=$X$3,1,"")</f>
        <v>#REF!</v>
      </c>
      <c r="Z102" s="9" t="str">
        <f t="shared" si="18"/>
        <v/>
      </c>
      <c r="AA102" s="9" t="str">
        <f t="shared" si="19"/>
        <v/>
      </c>
      <c r="AB102" s="9" t="str">
        <f t="shared" si="20"/>
        <v/>
      </c>
      <c r="AC102" s="9" t="str">
        <f t="shared" si="21"/>
        <v/>
      </c>
      <c r="AD102" s="9" t="str">
        <f t="shared" si="22"/>
        <v/>
      </c>
    </row>
    <row r="103" spans="1:31" ht="21" customHeight="1" x14ac:dyDescent="0.2">
      <c r="A103" s="15">
        <f t="shared" si="15"/>
        <v>97</v>
      </c>
      <c r="B103" s="32" t="s">
        <v>225</v>
      </c>
      <c r="C103" s="16" t="str">
        <f t="shared" si="23"/>
        <v>vs</v>
      </c>
      <c r="D103" s="17" t="s">
        <v>9</v>
      </c>
      <c r="E103" s="16">
        <v>2014</v>
      </c>
      <c r="F103" s="136" t="s">
        <v>23</v>
      </c>
      <c r="G103" s="9" t="s">
        <v>226</v>
      </c>
      <c r="H103" s="19" t="s">
        <v>227</v>
      </c>
      <c r="I103" s="379"/>
      <c r="M103" s="9" t="str">
        <f>IF(D103=$M$3,1,"")</f>
        <v/>
      </c>
      <c r="N103" s="9">
        <f>IF(D103=$N$3,1,"")</f>
        <v>1</v>
      </c>
      <c r="O103" s="9" t="str">
        <f>IF(D103=$O$3,1,"")</f>
        <v/>
      </c>
      <c r="P103" s="9" t="str">
        <f>IF(D103=$P$3,1,"")</f>
        <v/>
      </c>
      <c r="Q103" s="9" t="str">
        <f>IF(D103=$Q$3,1,"")</f>
        <v/>
      </c>
      <c r="R103" s="9" t="str">
        <f>IF(D103=$R$3,1,"")</f>
        <v/>
      </c>
      <c r="S103" s="9" t="str">
        <f>IF(D103=$S$3,1,"")</f>
        <v/>
      </c>
      <c r="T103" s="9" t="str">
        <f>IF(D103=$T$3,1,"")</f>
        <v/>
      </c>
      <c r="U103" s="9" t="str">
        <f>IF(D103=$U$3,1,"")</f>
        <v/>
      </c>
      <c r="V103" s="9" t="str">
        <f>IF(D103=$V$3,1,"")</f>
        <v/>
      </c>
      <c r="W103" s="9" t="str">
        <f>IF(D103=$W$3,1,"")</f>
        <v/>
      </c>
      <c r="X103" s="9" t="str">
        <f>IF(D103=$X$3,1,"")</f>
        <v/>
      </c>
      <c r="Y103" s="9" t="e">
        <f>IF(#REF!=$X$3,1,"")</f>
        <v>#REF!</v>
      </c>
      <c r="Z103" s="9" t="str">
        <f t="shared" si="18"/>
        <v/>
      </c>
      <c r="AA103" s="9" t="str">
        <f t="shared" si="19"/>
        <v/>
      </c>
      <c r="AB103" s="9" t="str">
        <f t="shared" si="20"/>
        <v/>
      </c>
      <c r="AC103" s="9" t="str">
        <f t="shared" si="21"/>
        <v/>
      </c>
      <c r="AD103" s="9" t="str">
        <f t="shared" si="22"/>
        <v/>
      </c>
    </row>
    <row r="104" spans="1:31" ht="21" customHeight="1" x14ac:dyDescent="0.2">
      <c r="A104" s="15">
        <f t="shared" si="15"/>
        <v>98</v>
      </c>
      <c r="B104" s="32" t="s">
        <v>228</v>
      </c>
      <c r="C104" s="16" t="str">
        <f t="shared" si="23"/>
        <v>vs</v>
      </c>
      <c r="D104" s="17" t="s">
        <v>16</v>
      </c>
      <c r="E104" s="16">
        <v>2014</v>
      </c>
      <c r="F104" s="136" t="s">
        <v>23</v>
      </c>
      <c r="G104" s="9" t="s">
        <v>229</v>
      </c>
      <c r="H104" s="19" t="s">
        <v>230</v>
      </c>
      <c r="I104" s="379"/>
      <c r="M104" s="9" t="str">
        <f>IF(D104=$M$3,1,"")</f>
        <v/>
      </c>
      <c r="N104" s="9" t="str">
        <f>IF(D104=$N$3,1,"")</f>
        <v/>
      </c>
      <c r="O104" s="9" t="str">
        <f>IF(D104=$O$3,1,"")</f>
        <v/>
      </c>
      <c r="P104" s="9" t="str">
        <f>IF(D104=$P$3,1,"")</f>
        <v/>
      </c>
      <c r="Q104" s="9" t="str">
        <f>IF(D104=$Q$3,1,"")</f>
        <v/>
      </c>
      <c r="R104" s="9" t="str">
        <f>IF(D104=$R$3,1,"")</f>
        <v/>
      </c>
      <c r="S104" s="9" t="str">
        <f>IF(D104=$S$3,1,"")</f>
        <v/>
      </c>
      <c r="T104" s="9" t="str">
        <f>IF(D104=$T$3,1,"")</f>
        <v/>
      </c>
      <c r="U104" s="9">
        <f>IF(D104=$U$3,1,"")</f>
        <v>1</v>
      </c>
      <c r="V104" s="9" t="str">
        <f>IF(D104=$V$3,1,"")</f>
        <v/>
      </c>
      <c r="W104" s="9" t="str">
        <f>IF(D104=$W$3,1,"")</f>
        <v/>
      </c>
      <c r="X104" s="9" t="str">
        <f>IF(D104=$X$3,1,"")</f>
        <v/>
      </c>
      <c r="Y104" s="9" t="e">
        <f>IF(#REF!=$X$3,1,"")</f>
        <v>#REF!</v>
      </c>
      <c r="Z104" s="9" t="str">
        <f t="shared" si="18"/>
        <v/>
      </c>
      <c r="AA104" s="9" t="str">
        <f t="shared" si="19"/>
        <v/>
      </c>
      <c r="AB104" s="9" t="str">
        <f t="shared" si="20"/>
        <v/>
      </c>
      <c r="AC104" s="9" t="str">
        <f t="shared" si="21"/>
        <v/>
      </c>
      <c r="AD104" s="9" t="str">
        <f t="shared" si="22"/>
        <v/>
      </c>
    </row>
    <row r="105" spans="1:31" ht="21" customHeight="1" x14ac:dyDescent="0.2">
      <c r="A105" s="15">
        <f t="shared" si="15"/>
        <v>99</v>
      </c>
      <c r="B105" s="25" t="s">
        <v>231</v>
      </c>
      <c r="C105" s="16" t="str">
        <f t="shared" si="23"/>
        <v>vs</v>
      </c>
      <c r="D105" s="17" t="s">
        <v>11</v>
      </c>
      <c r="E105" s="16">
        <v>2014</v>
      </c>
      <c r="F105" s="136" t="s">
        <v>23</v>
      </c>
      <c r="G105" s="9"/>
      <c r="H105" s="19" t="s">
        <v>232</v>
      </c>
      <c r="M105" s="9" t="str">
        <f>IF(D105=$M$3,1,"")</f>
        <v/>
      </c>
      <c r="N105" s="9" t="str">
        <f>IF(D105=$N$3,1,"")</f>
        <v/>
      </c>
      <c r="O105" s="9" t="str">
        <f>IF(D105=$O$3,1,"")</f>
        <v/>
      </c>
      <c r="P105" s="9">
        <f>IF(D105=$P$3,1,"")</f>
        <v>1</v>
      </c>
      <c r="Q105" s="9" t="str">
        <f>IF(D105=$Q$3,1,"")</f>
        <v/>
      </c>
      <c r="R105" s="9" t="str">
        <f>IF(D105=$R$3,1,"")</f>
        <v/>
      </c>
      <c r="S105" s="9" t="str">
        <f>IF(D105=$S$3,1,"")</f>
        <v/>
      </c>
      <c r="T105" s="9" t="str">
        <f>IF(D105=$T$3,1,"")</f>
        <v/>
      </c>
      <c r="U105" s="9" t="str">
        <f>IF(D105=$U$3,1,"")</f>
        <v/>
      </c>
      <c r="V105" s="9" t="str">
        <f>IF(D105=$V$3,1,"")</f>
        <v/>
      </c>
      <c r="W105" s="9" t="str">
        <f>IF(D105=$W$3,1,"")</f>
        <v/>
      </c>
      <c r="X105" s="9" t="str">
        <f>IF(D105=$X$3,1,"")</f>
        <v/>
      </c>
      <c r="Y105" s="9" t="e">
        <f>IF(#REF!=$X$3,1,"")</f>
        <v>#REF!</v>
      </c>
      <c r="Z105" s="9" t="str">
        <f t="shared" si="18"/>
        <v/>
      </c>
      <c r="AA105" s="9" t="str">
        <f t="shared" si="19"/>
        <v/>
      </c>
      <c r="AB105" s="9" t="str">
        <f t="shared" si="20"/>
        <v/>
      </c>
      <c r="AC105" s="9" t="str">
        <f t="shared" si="21"/>
        <v/>
      </c>
      <c r="AD105" s="9" t="str">
        <f t="shared" si="22"/>
        <v/>
      </c>
    </row>
    <row r="106" spans="1:31" ht="24.75" customHeight="1" x14ac:dyDescent="0.2">
      <c r="A106" s="15">
        <f t="shared" si="15"/>
        <v>100</v>
      </c>
      <c r="B106" s="25" t="s">
        <v>233</v>
      </c>
      <c r="C106" s="16" t="str">
        <f t="shared" si="23"/>
        <v>vs</v>
      </c>
      <c r="D106" s="17" t="s">
        <v>9</v>
      </c>
      <c r="E106" s="16">
        <v>2014</v>
      </c>
      <c r="F106" s="18" t="s">
        <v>23</v>
      </c>
      <c r="G106" s="140" t="s">
        <v>234</v>
      </c>
      <c r="H106" s="19" t="s">
        <v>235</v>
      </c>
      <c r="M106" s="9" t="str">
        <f>IF(D106=$M$3,1,"")</f>
        <v/>
      </c>
      <c r="N106" s="9">
        <f>IF(D106=$N$3,1,"")</f>
        <v>1</v>
      </c>
      <c r="O106" s="9" t="str">
        <f>IF(D106=$O$3,1,"")</f>
        <v/>
      </c>
      <c r="P106" s="9" t="str">
        <f>IF(D106=$P$3,1,"")</f>
        <v/>
      </c>
      <c r="Q106" s="9" t="str">
        <f>IF(D106=$Q$3,1,"")</f>
        <v/>
      </c>
      <c r="R106" s="9" t="str">
        <f>IF(D106=$R$3,1,"")</f>
        <v/>
      </c>
      <c r="S106" s="9" t="str">
        <f>IF(D106=$S$3,1,"")</f>
        <v/>
      </c>
      <c r="T106" s="9" t="str">
        <f>IF(D106=$T$3,1,"")</f>
        <v/>
      </c>
      <c r="U106" s="9" t="str">
        <f>IF(D106=$U$3,1,"")</f>
        <v/>
      </c>
      <c r="V106" s="9" t="str">
        <f>IF(D106=$V$3,1,"")</f>
        <v/>
      </c>
      <c r="W106" s="9" t="str">
        <f>IF(D106=$W$3,1,"")</f>
        <v/>
      </c>
      <c r="X106" s="9" t="str">
        <f>IF(D106=$X$3,1,"")</f>
        <v/>
      </c>
      <c r="Y106" s="9" t="e">
        <f>IF(#REF!=$X$3,1,"")</f>
        <v>#REF!</v>
      </c>
      <c r="Z106" s="9" t="str">
        <f t="shared" si="18"/>
        <v/>
      </c>
      <c r="AA106" s="9" t="str">
        <f t="shared" si="19"/>
        <v/>
      </c>
      <c r="AB106" s="9" t="str">
        <f t="shared" si="20"/>
        <v/>
      </c>
      <c r="AC106" s="9" t="str">
        <f t="shared" si="21"/>
        <v/>
      </c>
      <c r="AD106" s="9" t="str">
        <f t="shared" si="22"/>
        <v/>
      </c>
    </row>
    <row r="107" spans="1:31" s="41" customFormat="1" ht="24.75" customHeight="1" x14ac:dyDescent="0.2">
      <c r="A107" s="15">
        <f t="shared" si="15"/>
        <v>101</v>
      </c>
      <c r="B107" s="43" t="s">
        <v>236</v>
      </c>
      <c r="C107" s="38" t="str">
        <f>IF(B107="","","vs")</f>
        <v>vs</v>
      </c>
      <c r="D107" s="39" t="s">
        <v>15</v>
      </c>
      <c r="E107" s="38">
        <v>2014</v>
      </c>
      <c r="F107" s="18" t="s">
        <v>47</v>
      </c>
      <c r="G107" s="42"/>
      <c r="H107" s="40" t="s">
        <v>237</v>
      </c>
      <c r="M107" s="9" t="str">
        <f>IF(D107=$M$3,1,"")</f>
        <v/>
      </c>
      <c r="N107" s="9" t="str">
        <f>IF(D107=$N$3,1,"")</f>
        <v/>
      </c>
      <c r="O107" s="9" t="str">
        <f>IF(D107=$O$3,1,"")</f>
        <v/>
      </c>
      <c r="P107" s="9" t="str">
        <f>IF(D107=$P$3,1,"")</f>
        <v/>
      </c>
      <c r="Q107" s="9" t="str">
        <f>IF(D107=$Q$3,1,"")</f>
        <v/>
      </c>
      <c r="R107" s="9" t="str">
        <f>IF(D107=$R$3,1,"")</f>
        <v/>
      </c>
      <c r="S107" s="9" t="str">
        <f>IF(D107=$S$3,1,"")</f>
        <v/>
      </c>
      <c r="T107" s="9">
        <f>IF(D107=$T$3,1,"")</f>
        <v>1</v>
      </c>
      <c r="U107" s="9" t="str">
        <f>IF(D107=$U$3,1,"")</f>
        <v/>
      </c>
      <c r="V107" s="9" t="str">
        <f>IF(D107=$V$3,1,"")</f>
        <v/>
      </c>
      <c r="W107" s="9" t="str">
        <f>IF(D107=$W$3,1,"")</f>
        <v/>
      </c>
      <c r="X107" s="9" t="str">
        <f>IF(D107=$X$3,1,"")</f>
        <v/>
      </c>
      <c r="Y107" s="9" t="e">
        <f>IF(#REF!=$X$3,1,"")</f>
        <v>#REF!</v>
      </c>
      <c r="Z107" s="9" t="str">
        <f t="shared" si="18"/>
        <v/>
      </c>
      <c r="AA107" s="9" t="str">
        <f t="shared" si="19"/>
        <v/>
      </c>
      <c r="AB107" s="9" t="str">
        <f t="shared" si="20"/>
        <v/>
      </c>
      <c r="AC107" s="9" t="str">
        <f t="shared" si="21"/>
        <v/>
      </c>
      <c r="AD107" s="9" t="str">
        <f t="shared" si="22"/>
        <v/>
      </c>
      <c r="AE107" s="7"/>
    </row>
    <row r="108" spans="1:31" ht="33" customHeight="1" x14ac:dyDescent="0.2">
      <c r="A108" s="15">
        <f>IF(B108="","",A107+1)</f>
        <v>102</v>
      </c>
      <c r="B108" s="25" t="s">
        <v>238</v>
      </c>
      <c r="C108" s="16" t="str">
        <f>IF(B108="","","vs")</f>
        <v>vs</v>
      </c>
      <c r="D108" s="17" t="s">
        <v>176</v>
      </c>
      <c r="E108" s="16">
        <v>2014</v>
      </c>
      <c r="F108" s="18" t="s">
        <v>23</v>
      </c>
      <c r="G108" s="9"/>
      <c r="H108" s="124" t="s">
        <v>239</v>
      </c>
      <c r="M108" s="9" t="str">
        <f>IF(D108=$M$3,1,"")</f>
        <v/>
      </c>
      <c r="N108" s="9" t="str">
        <f>IF(D108=$N$3,1,"")</f>
        <v/>
      </c>
      <c r="O108" s="9" t="str">
        <f>IF(D108=$O$3,1,"")</f>
        <v/>
      </c>
      <c r="P108" s="9" t="str">
        <f>IF(D108=$P$3,1,"")</f>
        <v/>
      </c>
      <c r="Q108" s="9" t="str">
        <f>IF(D108=$Q$3,1,"")</f>
        <v/>
      </c>
      <c r="R108" s="9" t="str">
        <f>IF(D108=$R$3,1,"")</f>
        <v/>
      </c>
      <c r="S108" s="9" t="str">
        <f>IF(D108=$S$3,1,"")</f>
        <v/>
      </c>
      <c r="T108" s="9" t="str">
        <f>IF(D108=$T$3,1,"")</f>
        <v/>
      </c>
      <c r="U108" s="9" t="str">
        <f>IF(D108=$U$3,1,"")</f>
        <v/>
      </c>
      <c r="V108" s="9" t="str">
        <f>IF(D108=$V$3,1,"")</f>
        <v/>
      </c>
      <c r="W108" s="9" t="str">
        <f>IF(D108=$W$3,1,"")</f>
        <v/>
      </c>
      <c r="X108" s="9" t="str">
        <f>IF(D108=$X$3,1,"")</f>
        <v/>
      </c>
      <c r="Y108" s="9" t="e">
        <f>IF(#REF!=$X$3,1,"")</f>
        <v>#REF!</v>
      </c>
      <c r="Z108" s="9" t="str">
        <f t="shared" si="18"/>
        <v/>
      </c>
      <c r="AA108" s="9" t="str">
        <f t="shared" si="19"/>
        <v/>
      </c>
      <c r="AB108" s="9" t="str">
        <f t="shared" si="20"/>
        <v/>
      </c>
      <c r="AC108" s="9" t="str">
        <f t="shared" si="21"/>
        <v/>
      </c>
      <c r="AD108" s="9" t="str">
        <f t="shared" si="22"/>
        <v/>
      </c>
    </row>
    <row r="109" spans="1:31" ht="21" customHeight="1" x14ac:dyDescent="0.2">
      <c r="A109" s="15">
        <f>IF(B109="","",A108+1)</f>
        <v>103</v>
      </c>
      <c r="B109" s="25" t="s">
        <v>240</v>
      </c>
      <c r="C109" s="16" t="str">
        <f t="shared" si="23"/>
        <v>vs</v>
      </c>
      <c r="D109" s="17" t="s">
        <v>176</v>
      </c>
      <c r="E109" s="16">
        <v>2014</v>
      </c>
      <c r="F109" s="18" t="s">
        <v>23</v>
      </c>
      <c r="G109" s="9" t="s">
        <v>241</v>
      </c>
      <c r="H109" s="19" t="s">
        <v>242</v>
      </c>
      <c r="I109" s="7" t="s">
        <v>243</v>
      </c>
      <c r="M109" s="9" t="str">
        <f>IF(D109=$M$3,1,"")</f>
        <v/>
      </c>
      <c r="N109" s="9" t="str">
        <f>IF(D109=$N$3,1,"")</f>
        <v/>
      </c>
      <c r="O109" s="9" t="str">
        <f>IF(D109=$O$3,1,"")</f>
        <v/>
      </c>
      <c r="P109" s="9" t="str">
        <f>IF(D109=$P$3,1,"")</f>
        <v/>
      </c>
      <c r="Q109" s="9" t="str">
        <f>IF(D109=$Q$3,1,"")</f>
        <v/>
      </c>
      <c r="R109" s="9" t="str">
        <f>IF(D109=$R$3,1,"")</f>
        <v/>
      </c>
      <c r="S109" s="9" t="str">
        <f>IF(D109=$S$3,1,"")</f>
        <v/>
      </c>
      <c r="T109" s="9" t="str">
        <f>IF(D109=$T$3,1,"")</f>
        <v/>
      </c>
      <c r="U109" s="9" t="str">
        <f>IF(D109=$U$3,1,"")</f>
        <v/>
      </c>
      <c r="V109" s="9" t="str">
        <f>IF(D109=$V$3,1,"")</f>
        <v/>
      </c>
      <c r="W109" s="9" t="str">
        <f>IF(D109=$W$3,1,"")</f>
        <v/>
      </c>
      <c r="X109" s="9" t="str">
        <f>IF(D109=$X$3,1,"")</f>
        <v/>
      </c>
      <c r="Y109" s="9" t="e">
        <f>IF(#REF!=$X$3,1,"")</f>
        <v>#REF!</v>
      </c>
      <c r="Z109" s="9" t="str">
        <f t="shared" si="18"/>
        <v/>
      </c>
      <c r="AA109" s="9" t="str">
        <f t="shared" si="19"/>
        <v/>
      </c>
      <c r="AB109" s="9" t="str">
        <f t="shared" si="20"/>
        <v/>
      </c>
      <c r="AC109" s="9" t="str">
        <f t="shared" si="21"/>
        <v/>
      </c>
      <c r="AD109" s="9" t="str">
        <f t="shared" si="22"/>
        <v/>
      </c>
    </row>
    <row r="110" spans="1:31" ht="21" customHeight="1" x14ac:dyDescent="0.2">
      <c r="A110" s="15">
        <f t="shared" si="15"/>
        <v>104</v>
      </c>
      <c r="B110" s="25" t="s">
        <v>244</v>
      </c>
      <c r="C110" s="16" t="str">
        <f t="shared" si="23"/>
        <v>vs</v>
      </c>
      <c r="D110" s="17" t="s">
        <v>15</v>
      </c>
      <c r="E110" s="16">
        <v>2014</v>
      </c>
      <c r="F110" s="18" t="s">
        <v>33</v>
      </c>
      <c r="G110" s="9"/>
      <c r="H110" s="19" t="s">
        <v>245</v>
      </c>
      <c r="M110" s="9" t="str">
        <f>IF(D110=$M$3,1,"")</f>
        <v/>
      </c>
      <c r="N110" s="9" t="str">
        <f>IF(D110=$N$3,1,"")</f>
        <v/>
      </c>
      <c r="O110" s="9" t="str">
        <f>IF(D110=$O$3,1,"")</f>
        <v/>
      </c>
      <c r="P110" s="9" t="str">
        <f>IF(D110=$P$3,1,"")</f>
        <v/>
      </c>
      <c r="Q110" s="9" t="str">
        <f>IF(D110=$Q$3,1,"")</f>
        <v/>
      </c>
      <c r="R110" s="9" t="str">
        <f>IF(D110=$R$3,1,"")</f>
        <v/>
      </c>
      <c r="S110" s="9" t="str">
        <f>IF(D110=$S$3,1,"")</f>
        <v/>
      </c>
      <c r="T110" s="9">
        <f>IF(D110=$T$3,1,"")</f>
        <v>1</v>
      </c>
      <c r="U110" s="9" t="str">
        <f>IF(D110=$U$3,1,"")</f>
        <v/>
      </c>
      <c r="V110" s="9" t="str">
        <f>IF(D110=$V$3,1,"")</f>
        <v/>
      </c>
      <c r="W110" s="9" t="str">
        <f>IF(D110=$W$3,1,"")</f>
        <v/>
      </c>
      <c r="X110" s="9" t="str">
        <f>IF(D110=$X$3,1,"")</f>
        <v/>
      </c>
      <c r="Y110" s="9" t="e">
        <f>IF(#REF!=$X$3,1,"")</f>
        <v>#REF!</v>
      </c>
      <c r="Z110" s="9" t="str">
        <f t="shared" si="18"/>
        <v/>
      </c>
      <c r="AA110" s="9" t="str">
        <f t="shared" si="19"/>
        <v/>
      </c>
      <c r="AB110" s="9" t="str">
        <f t="shared" si="20"/>
        <v/>
      </c>
      <c r="AC110" s="9" t="str">
        <f t="shared" si="21"/>
        <v/>
      </c>
      <c r="AD110" s="9" t="str">
        <f t="shared" si="22"/>
        <v/>
      </c>
    </row>
    <row r="111" spans="1:31" ht="21" customHeight="1" x14ac:dyDescent="0.2">
      <c r="A111" s="15">
        <f t="shared" si="15"/>
        <v>105</v>
      </c>
      <c r="B111" s="25" t="s">
        <v>246</v>
      </c>
      <c r="C111" s="16" t="str">
        <f t="shared" si="23"/>
        <v>vs</v>
      </c>
      <c r="D111" s="17" t="s">
        <v>15</v>
      </c>
      <c r="E111" s="16">
        <v>2014</v>
      </c>
      <c r="F111" s="18" t="s">
        <v>23</v>
      </c>
      <c r="G111" s="9"/>
      <c r="H111" s="19" t="s">
        <v>247</v>
      </c>
      <c r="M111" s="9" t="str">
        <f>IF(D111=$M$3,1,"")</f>
        <v/>
      </c>
      <c r="N111" s="9" t="str">
        <f>IF(D111=$N$3,1,"")</f>
        <v/>
      </c>
      <c r="O111" s="9" t="str">
        <f>IF(D111=$O$3,1,"")</f>
        <v/>
      </c>
      <c r="P111" s="9" t="str">
        <f>IF(D111=$P$3,1,"")</f>
        <v/>
      </c>
      <c r="Q111" s="9" t="str">
        <f>IF(D111=$Q$3,1,"")</f>
        <v/>
      </c>
      <c r="R111" s="9" t="str">
        <f>IF(D111=$R$3,1,"")</f>
        <v/>
      </c>
      <c r="S111" s="9" t="str">
        <f>IF(D111=$S$3,1,"")</f>
        <v/>
      </c>
      <c r="T111" s="9">
        <f>IF(D111=$T$3,1,"")</f>
        <v>1</v>
      </c>
      <c r="U111" s="9" t="str">
        <f>IF(D111=$U$3,1,"")</f>
        <v/>
      </c>
      <c r="V111" s="9" t="str">
        <f>IF(D111=$V$3,1,"")</f>
        <v/>
      </c>
      <c r="W111" s="9" t="str">
        <f>IF(D111=$W$3,1,"")</f>
        <v/>
      </c>
      <c r="X111" s="9" t="str">
        <f>IF(D111=$X$3,1,"")</f>
        <v/>
      </c>
      <c r="Y111" s="9" t="e">
        <f>IF(#REF!=$X$3,1,"")</f>
        <v>#REF!</v>
      </c>
      <c r="Z111" s="9" t="str">
        <f t="shared" si="18"/>
        <v/>
      </c>
      <c r="AA111" s="9" t="str">
        <f t="shared" si="19"/>
        <v/>
      </c>
      <c r="AB111" s="9" t="str">
        <f t="shared" si="20"/>
        <v/>
      </c>
      <c r="AC111" s="9" t="str">
        <f t="shared" si="21"/>
        <v/>
      </c>
      <c r="AD111" s="9" t="str">
        <f t="shared" si="22"/>
        <v/>
      </c>
    </row>
    <row r="112" spans="1:31" ht="21" customHeight="1" x14ac:dyDescent="0.2">
      <c r="A112" s="15">
        <f>IF(B112="","",A111+1)</f>
        <v>106</v>
      </c>
      <c r="B112" s="25" t="s">
        <v>248</v>
      </c>
      <c r="C112" s="16" t="str">
        <f t="shared" si="23"/>
        <v>vs</v>
      </c>
      <c r="D112" s="17" t="s">
        <v>13</v>
      </c>
      <c r="E112" s="16">
        <v>2014</v>
      </c>
      <c r="F112" s="18" t="s">
        <v>23</v>
      </c>
      <c r="G112" s="9" t="s">
        <v>241</v>
      </c>
      <c r="H112" s="19" t="s">
        <v>249</v>
      </c>
      <c r="M112" s="9" t="str">
        <f>IF(D112=$M$3,1,"")</f>
        <v/>
      </c>
      <c r="N112" s="9" t="str">
        <f>IF(D112=$N$3,1,"")</f>
        <v/>
      </c>
      <c r="O112" s="9" t="str">
        <f>IF(D112=$O$3,1,"")</f>
        <v/>
      </c>
      <c r="P112" s="9" t="str">
        <f>IF(D112=$P$3,1,"")</f>
        <v/>
      </c>
      <c r="Q112" s="9" t="str">
        <f>IF(D112=$Q$3,1,"")</f>
        <v/>
      </c>
      <c r="R112" s="9">
        <f>IF(D112=$R$3,1,"")</f>
        <v>1</v>
      </c>
      <c r="S112" s="9" t="str">
        <f>IF(D112=$S$3,1,"")</f>
        <v/>
      </c>
      <c r="T112" s="9" t="str">
        <f>IF(D112=$T$3,1,"")</f>
        <v/>
      </c>
      <c r="U112" s="9" t="str">
        <f>IF(D112=$U$3,1,"")</f>
        <v/>
      </c>
      <c r="V112" s="9" t="str">
        <f>IF(D112=$V$3,1,"")</f>
        <v/>
      </c>
      <c r="W112" s="9" t="str">
        <f>IF(D112=$W$3,1,"")</f>
        <v/>
      </c>
      <c r="X112" s="9" t="str">
        <f>IF(D112=$X$3,1,"")</f>
        <v/>
      </c>
      <c r="Y112" s="9" t="e">
        <f>IF(#REF!=$X$3,1,"")</f>
        <v>#REF!</v>
      </c>
      <c r="Z112" s="9" t="str">
        <f t="shared" si="18"/>
        <v/>
      </c>
      <c r="AA112" s="9" t="str">
        <f t="shared" si="19"/>
        <v/>
      </c>
      <c r="AB112" s="9" t="str">
        <f t="shared" si="20"/>
        <v/>
      </c>
      <c r="AC112" s="9" t="str">
        <f t="shared" si="21"/>
        <v/>
      </c>
      <c r="AD112" s="9" t="str">
        <f t="shared" si="22"/>
        <v/>
      </c>
    </row>
    <row r="113" spans="1:31" ht="21" customHeight="1" x14ac:dyDescent="0.2">
      <c r="A113" s="15">
        <f t="shared" si="15"/>
        <v>107</v>
      </c>
      <c r="B113" s="25" t="s">
        <v>250</v>
      </c>
      <c r="C113" s="16" t="str">
        <f t="shared" si="23"/>
        <v>vs</v>
      </c>
      <c r="D113" s="17" t="s">
        <v>9</v>
      </c>
      <c r="E113" s="16">
        <v>2014</v>
      </c>
      <c r="F113" s="18" t="s">
        <v>23</v>
      </c>
      <c r="G113" s="9"/>
      <c r="H113" s="19" t="s">
        <v>251</v>
      </c>
      <c r="M113" s="9" t="str">
        <f>IF(D113=$M$3,1,"")</f>
        <v/>
      </c>
      <c r="N113" s="9">
        <f>IF(D113=$N$3,1,"")</f>
        <v>1</v>
      </c>
      <c r="O113" s="9" t="str">
        <f>IF(D113=$O$3,1,"")</f>
        <v/>
      </c>
      <c r="P113" s="9" t="str">
        <f>IF(D113=$P$3,1,"")</f>
        <v/>
      </c>
      <c r="Q113" s="9" t="str">
        <f>IF(D113=$Q$3,1,"")</f>
        <v/>
      </c>
      <c r="R113" s="9" t="str">
        <f>IF(D113=$R$3,1,"")</f>
        <v/>
      </c>
      <c r="S113" s="9" t="str">
        <f>IF(D113=$S$3,1,"")</f>
        <v/>
      </c>
      <c r="T113" s="9" t="str">
        <f>IF(D113=$T$3,1,"")</f>
        <v/>
      </c>
      <c r="U113" s="9" t="str">
        <f>IF(D113=$U$3,1,"")</f>
        <v/>
      </c>
      <c r="V113" s="9" t="str">
        <f>IF(D113=$V$3,1,"")</f>
        <v/>
      </c>
      <c r="W113" s="9" t="str">
        <f>IF(D113=$W$3,1,"")</f>
        <v/>
      </c>
      <c r="X113" s="9" t="str">
        <f>IF(D113=$X$3,1,"")</f>
        <v/>
      </c>
      <c r="Y113" s="9" t="e">
        <f>IF(#REF!=$X$3,1,"")</f>
        <v>#REF!</v>
      </c>
      <c r="Z113" s="9" t="str">
        <f t="shared" si="18"/>
        <v/>
      </c>
      <c r="AA113" s="9" t="str">
        <f t="shared" si="19"/>
        <v/>
      </c>
      <c r="AB113" s="9" t="str">
        <f t="shared" si="20"/>
        <v/>
      </c>
      <c r="AC113" s="9" t="str">
        <f t="shared" si="21"/>
        <v/>
      </c>
      <c r="AD113" s="9" t="str">
        <f t="shared" si="22"/>
        <v/>
      </c>
    </row>
    <row r="114" spans="1:31" ht="21" customHeight="1" x14ac:dyDescent="0.2">
      <c r="A114" s="15">
        <f t="shared" si="15"/>
        <v>108</v>
      </c>
      <c r="B114" s="25" t="s">
        <v>252</v>
      </c>
      <c r="C114" s="16" t="str">
        <f t="shared" si="23"/>
        <v>vs</v>
      </c>
      <c r="D114" s="17" t="s">
        <v>16</v>
      </c>
      <c r="E114" s="16">
        <v>2014</v>
      </c>
      <c r="F114" s="18" t="s">
        <v>23</v>
      </c>
      <c r="G114" s="9"/>
      <c r="H114" s="19" t="s">
        <v>253</v>
      </c>
      <c r="M114" s="9" t="str">
        <f>IF(D114=$M$3,1,"")</f>
        <v/>
      </c>
      <c r="N114" s="9" t="str">
        <f>IF(D114=$N$3,1,"")</f>
        <v/>
      </c>
      <c r="O114" s="9" t="str">
        <f>IF(D114=$O$3,1,"")</f>
        <v/>
      </c>
      <c r="P114" s="9" t="str">
        <f>IF(D114=$P$3,1,"")</f>
        <v/>
      </c>
      <c r="Q114" s="9" t="str">
        <f>IF(D114=$Q$3,1,"")</f>
        <v/>
      </c>
      <c r="R114" s="9" t="str">
        <f>IF(D114=$R$3,1,"")</f>
        <v/>
      </c>
      <c r="S114" s="9" t="str">
        <f>IF(D114=$S$3,1,"")</f>
        <v/>
      </c>
      <c r="T114" s="9" t="str">
        <f>IF(D114=$T$3,1,"")</f>
        <v/>
      </c>
      <c r="U114" s="9">
        <f>IF(D114=$U$3,1,"")</f>
        <v>1</v>
      </c>
      <c r="V114" s="9" t="str">
        <f>IF(D114=$V$3,1,"")</f>
        <v/>
      </c>
      <c r="W114" s="9" t="str">
        <f>IF(D114=$W$3,1,"")</f>
        <v/>
      </c>
      <c r="X114" s="9" t="str">
        <f>IF(D114=$X$3,1,"")</f>
        <v/>
      </c>
      <c r="Y114" s="9" t="e">
        <f>IF(#REF!=$X$3,1,"")</f>
        <v>#REF!</v>
      </c>
      <c r="Z114" s="9" t="str">
        <f t="shared" si="18"/>
        <v/>
      </c>
      <c r="AA114" s="9" t="str">
        <f t="shared" si="19"/>
        <v/>
      </c>
      <c r="AB114" s="9" t="str">
        <f t="shared" si="20"/>
        <v/>
      </c>
      <c r="AC114" s="9" t="str">
        <f t="shared" si="21"/>
        <v/>
      </c>
      <c r="AD114" s="9" t="str">
        <f t="shared" si="22"/>
        <v/>
      </c>
    </row>
    <row r="115" spans="1:31" ht="21" customHeight="1" thickBot="1" x14ac:dyDescent="0.25">
      <c r="A115" s="15">
        <f t="shared" si="15"/>
        <v>109</v>
      </c>
      <c r="B115" s="26" t="s">
        <v>254</v>
      </c>
      <c r="C115" s="23" t="str">
        <f t="shared" si="23"/>
        <v>vs</v>
      </c>
      <c r="D115" s="10" t="s">
        <v>9</v>
      </c>
      <c r="E115" s="23">
        <v>2014</v>
      </c>
      <c r="F115" s="11" t="s">
        <v>23</v>
      </c>
      <c r="G115" s="9"/>
      <c r="H115" s="19" t="s">
        <v>255</v>
      </c>
      <c r="M115" s="9" t="str">
        <f>IF(D115=$M$3,1,"")</f>
        <v/>
      </c>
      <c r="N115" s="9">
        <f>IF(D115=$N$3,1,"")</f>
        <v>1</v>
      </c>
      <c r="O115" s="9" t="str">
        <f>IF(D115=$O$3,1,"")</f>
        <v/>
      </c>
      <c r="P115" s="9" t="str">
        <f>IF(D115=$P$3,1,"")</f>
        <v/>
      </c>
      <c r="Q115" s="9" t="str">
        <f>IF(D115=$Q$3,1,"")</f>
        <v/>
      </c>
      <c r="R115" s="9" t="str">
        <f>IF(D115=$R$3,1,"")</f>
        <v/>
      </c>
      <c r="S115" s="9" t="str">
        <f>IF(D115=$S$3,1,"")</f>
        <v/>
      </c>
      <c r="T115" s="9" t="str">
        <f>IF(D115=$T$3,1,"")</f>
        <v/>
      </c>
      <c r="U115" s="9" t="str">
        <f>IF(D115=$U$3,1,"")</f>
        <v/>
      </c>
      <c r="V115" s="9" t="str">
        <f>IF(D115=$V$3,1,"")</f>
        <v/>
      </c>
      <c r="W115" s="9" t="str">
        <f>IF(D115=$W$3,1,"")</f>
        <v/>
      </c>
      <c r="X115" s="9" t="str">
        <f>IF(D115=$X$3,1,"")</f>
        <v/>
      </c>
      <c r="Y115" s="9" t="e">
        <f>IF(#REF!=$X$3,1,"")</f>
        <v>#REF!</v>
      </c>
      <c r="Z115" s="9" t="str">
        <f t="shared" si="18"/>
        <v/>
      </c>
      <c r="AA115" s="9" t="str">
        <f t="shared" si="19"/>
        <v/>
      </c>
      <c r="AB115" s="9" t="str">
        <f t="shared" si="20"/>
        <v/>
      </c>
      <c r="AC115" s="9" t="str">
        <f t="shared" si="21"/>
        <v/>
      </c>
      <c r="AD115" s="9" t="str">
        <f t="shared" si="22"/>
        <v/>
      </c>
    </row>
    <row r="116" spans="1:31" ht="35.25" customHeight="1" x14ac:dyDescent="0.2">
      <c r="A116" s="15">
        <f t="shared" si="15"/>
        <v>110</v>
      </c>
      <c r="B116" s="37" t="s">
        <v>256</v>
      </c>
      <c r="C116" s="27" t="str">
        <f>IF(B116="","","vs")</f>
        <v>vs</v>
      </c>
      <c r="D116" s="115" t="s">
        <v>61</v>
      </c>
      <c r="E116" s="27">
        <v>2015</v>
      </c>
      <c r="F116" s="103" t="s">
        <v>23</v>
      </c>
      <c r="G116" s="9" t="s">
        <v>241</v>
      </c>
      <c r="H116" s="19" t="s">
        <v>257</v>
      </c>
      <c r="M116" s="9" t="str">
        <f>IF(D116=$M$3,1,"")</f>
        <v/>
      </c>
      <c r="N116" s="9" t="str">
        <f>IF(D116=$N$3,1,"")</f>
        <v/>
      </c>
      <c r="O116" s="9" t="str">
        <f>IF(D116=$O$3,1,"")</f>
        <v/>
      </c>
      <c r="P116" s="9" t="str">
        <f>IF(D116=$P$3,1,"")</f>
        <v/>
      </c>
      <c r="Q116" s="9" t="str">
        <f>IF(D116=$Q$3,1,"")</f>
        <v/>
      </c>
      <c r="R116" s="9" t="str">
        <f>IF(D116=$R$3,1,"")</f>
        <v/>
      </c>
      <c r="S116" s="9" t="str">
        <f>IF(D116=$S$3,1,"")</f>
        <v/>
      </c>
      <c r="T116" s="9" t="str">
        <f>IF(D116=$T$3,1,"")</f>
        <v/>
      </c>
      <c r="U116" s="9" t="str">
        <f>IF(D116=$U$3,1,"")</f>
        <v/>
      </c>
      <c r="V116" s="9" t="str">
        <f>IF(D116=$V$3,1,"")</f>
        <v/>
      </c>
      <c r="W116" s="9" t="str">
        <f>IF(D116=$W$3,1,"")</f>
        <v/>
      </c>
      <c r="X116" s="9" t="str">
        <f>IF(D116=$X$3,1,"")</f>
        <v/>
      </c>
      <c r="Y116" s="9" t="e">
        <f>IF(#REF!=$X$3,1,"")</f>
        <v>#REF!</v>
      </c>
      <c r="Z116" s="9" t="str">
        <f t="shared" si="18"/>
        <v/>
      </c>
      <c r="AA116" s="9" t="str">
        <f t="shared" si="19"/>
        <v/>
      </c>
      <c r="AB116" s="9" t="str">
        <f t="shared" si="20"/>
        <v/>
      </c>
      <c r="AC116" s="9" t="str">
        <f t="shared" si="21"/>
        <v/>
      </c>
      <c r="AD116" s="9" t="str">
        <f t="shared" si="22"/>
        <v/>
      </c>
    </row>
    <row r="117" spans="1:31" ht="21" customHeight="1" x14ac:dyDescent="0.2">
      <c r="A117" s="15">
        <f t="shared" si="15"/>
        <v>111</v>
      </c>
      <c r="B117" s="33" t="s">
        <v>258</v>
      </c>
      <c r="C117" s="20" t="str">
        <f t="shared" ref="C117:C132" si="24">IF(B117="","","vs")</f>
        <v>vs</v>
      </c>
      <c r="D117" s="21" t="s">
        <v>16</v>
      </c>
      <c r="E117" s="20">
        <v>2015</v>
      </c>
      <c r="F117" s="18" t="s">
        <v>23</v>
      </c>
      <c r="G117" s="9"/>
      <c r="H117" s="19" t="s">
        <v>116</v>
      </c>
      <c r="M117" s="9" t="str">
        <f>IF(D117=$M$3,1,"")</f>
        <v/>
      </c>
      <c r="N117" s="9" t="str">
        <f>IF(D117=$N$3,1,"")</f>
        <v/>
      </c>
      <c r="O117" s="9" t="str">
        <f>IF(D117=$O$3,1,"")</f>
        <v/>
      </c>
      <c r="P117" s="9" t="str">
        <f>IF(D117=$P$3,1,"")</f>
        <v/>
      </c>
      <c r="Q117" s="9" t="str">
        <f>IF(D117=$Q$3,1,"")</f>
        <v/>
      </c>
      <c r="R117" s="9" t="str">
        <f>IF(D117=$R$3,1,"")</f>
        <v/>
      </c>
      <c r="S117" s="9" t="str">
        <f>IF(D117=$S$3,1,"")</f>
        <v/>
      </c>
      <c r="T117" s="9" t="str">
        <f>IF(D117=$T$3,1,"")</f>
        <v/>
      </c>
      <c r="U117" s="9">
        <f>IF(D117=$U$3,1,"")</f>
        <v>1</v>
      </c>
      <c r="V117" s="9" t="str">
        <f>IF(D117=$V$3,1,"")</f>
        <v/>
      </c>
      <c r="W117" s="9" t="str">
        <f>IF(D117=$W$3,1,"")</f>
        <v/>
      </c>
      <c r="X117" s="9" t="str">
        <f>IF(D117=$X$3,1,"")</f>
        <v/>
      </c>
      <c r="Y117" s="9" t="e">
        <f>IF(#REF!=$X$3,1,"")</f>
        <v>#REF!</v>
      </c>
      <c r="Z117" s="9" t="str">
        <f t="shared" si="18"/>
        <v/>
      </c>
      <c r="AA117" s="9" t="str">
        <f t="shared" si="19"/>
        <v/>
      </c>
      <c r="AB117" s="9" t="str">
        <f t="shared" si="20"/>
        <v/>
      </c>
      <c r="AC117" s="9" t="str">
        <f t="shared" si="21"/>
        <v/>
      </c>
      <c r="AD117" s="9" t="str">
        <f t="shared" si="22"/>
        <v/>
      </c>
    </row>
    <row r="118" spans="1:31" ht="36" customHeight="1" x14ac:dyDescent="0.2">
      <c r="A118" s="15">
        <f t="shared" si="15"/>
        <v>112</v>
      </c>
      <c r="B118" s="33" t="s">
        <v>259</v>
      </c>
      <c r="C118" s="20" t="str">
        <f t="shared" si="24"/>
        <v>vs</v>
      </c>
      <c r="D118" s="21" t="s">
        <v>61</v>
      </c>
      <c r="E118" s="20">
        <v>2015</v>
      </c>
      <c r="F118" s="18" t="s">
        <v>33</v>
      </c>
      <c r="G118" s="9"/>
      <c r="H118" s="19" t="s">
        <v>260</v>
      </c>
      <c r="M118" s="9" t="str">
        <f>IF(D118=$M$3,1,"")</f>
        <v/>
      </c>
      <c r="N118" s="9" t="str">
        <f>IF(D118=$N$3,1,"")</f>
        <v/>
      </c>
      <c r="O118" s="9" t="str">
        <f>IF(D118=$O$3,1,"")</f>
        <v/>
      </c>
      <c r="P118" s="9" t="str">
        <f>IF(D118=$P$3,1,"")</f>
        <v/>
      </c>
      <c r="Q118" s="9" t="str">
        <f>IF(D118=$Q$3,1,"")</f>
        <v/>
      </c>
      <c r="R118" s="9" t="str">
        <f>IF(D118=$R$3,1,"")</f>
        <v/>
      </c>
      <c r="S118" s="9" t="str">
        <f>IF(D118=$S$3,1,"")</f>
        <v/>
      </c>
      <c r="T118" s="9" t="str">
        <f>IF(D118=$T$3,1,"")</f>
        <v/>
      </c>
      <c r="U118" s="9" t="str">
        <f>IF(D118=$U$3,1,"")</f>
        <v/>
      </c>
      <c r="V118" s="9" t="str">
        <f>IF(D118=$V$3,1,"")</f>
        <v/>
      </c>
      <c r="W118" s="9" t="str">
        <f>IF(D118=$W$3,1,"")</f>
        <v/>
      </c>
      <c r="X118" s="9" t="str">
        <f>IF(D118=$X$3,1,"")</f>
        <v/>
      </c>
      <c r="Y118" s="9" t="e">
        <f>IF(#REF!=$X$3,1,"")</f>
        <v>#REF!</v>
      </c>
      <c r="Z118" s="9" t="str">
        <f t="shared" si="18"/>
        <v/>
      </c>
      <c r="AA118" s="9" t="str">
        <f t="shared" si="19"/>
        <v/>
      </c>
      <c r="AB118" s="9" t="str">
        <f t="shared" si="20"/>
        <v/>
      </c>
      <c r="AC118" s="9" t="str">
        <f t="shared" si="21"/>
        <v/>
      </c>
      <c r="AD118" s="9" t="str">
        <f t="shared" si="22"/>
        <v/>
      </c>
    </row>
    <row r="119" spans="1:31" ht="33" customHeight="1" x14ac:dyDescent="0.2">
      <c r="A119" s="15">
        <f t="shared" si="15"/>
        <v>113</v>
      </c>
      <c r="B119" s="33" t="s">
        <v>261</v>
      </c>
      <c r="C119" s="20" t="str">
        <f t="shared" si="24"/>
        <v>vs</v>
      </c>
      <c r="D119" s="21" t="s">
        <v>61</v>
      </c>
      <c r="E119" s="20">
        <v>2015</v>
      </c>
      <c r="F119" s="18" t="s">
        <v>23</v>
      </c>
      <c r="G119" s="9"/>
      <c r="H119" s="19" t="s">
        <v>262</v>
      </c>
      <c r="M119" s="9" t="str">
        <f>IF(D119=$M$3,1,"")</f>
        <v/>
      </c>
      <c r="N119" s="9" t="str">
        <f>IF(D119=$N$3,1,"")</f>
        <v/>
      </c>
      <c r="O119" s="9" t="str">
        <f>IF(D119=$O$3,1,"")</f>
        <v/>
      </c>
      <c r="P119" s="9" t="str">
        <f>IF(D119=$P$3,1,"")</f>
        <v/>
      </c>
      <c r="Q119" s="9" t="str">
        <f>IF(D119=$Q$3,1,"")</f>
        <v/>
      </c>
      <c r="R119" s="9" t="str">
        <f>IF(D119=$R$3,1,"")</f>
        <v/>
      </c>
      <c r="S119" s="9" t="str">
        <f>IF(D119=$S$3,1,"")</f>
        <v/>
      </c>
      <c r="T119" s="9" t="str">
        <f>IF(D119=$T$3,1,"")</f>
        <v/>
      </c>
      <c r="U119" s="9" t="str">
        <f>IF(D119=$U$3,1,"")</f>
        <v/>
      </c>
      <c r="V119" s="9" t="str">
        <f>IF(D119=$V$3,1,"")</f>
        <v/>
      </c>
      <c r="W119" s="9" t="str">
        <f>IF(D119=$W$3,1,"")</f>
        <v/>
      </c>
      <c r="X119" s="9" t="str">
        <f>IF(D119=$X$3,1,"")</f>
        <v/>
      </c>
      <c r="Y119" s="9" t="e">
        <f>IF(#REF!=$X$3,1,"")</f>
        <v>#REF!</v>
      </c>
      <c r="Z119" s="9" t="str">
        <f t="shared" si="18"/>
        <v/>
      </c>
      <c r="AA119" s="9" t="str">
        <f t="shared" si="19"/>
        <v/>
      </c>
      <c r="AB119" s="9" t="str">
        <f t="shared" si="20"/>
        <v/>
      </c>
      <c r="AC119" s="9" t="str">
        <f t="shared" si="21"/>
        <v/>
      </c>
      <c r="AD119" s="9" t="str">
        <f t="shared" si="22"/>
        <v/>
      </c>
    </row>
    <row r="120" spans="1:31" ht="21" customHeight="1" x14ac:dyDescent="0.2">
      <c r="A120" s="15">
        <f>IF(B120="","",A119+1)</f>
        <v>114</v>
      </c>
      <c r="B120" s="33" t="s">
        <v>263</v>
      </c>
      <c r="C120" s="20" t="str">
        <f>IF(B120="","","vs")</f>
        <v>vs</v>
      </c>
      <c r="D120" s="21" t="s">
        <v>9</v>
      </c>
      <c r="E120" s="20">
        <v>2015</v>
      </c>
      <c r="F120" s="18" t="s">
        <v>33</v>
      </c>
      <c r="G120" s="9"/>
      <c r="H120" s="19" t="s">
        <v>264</v>
      </c>
      <c r="M120" s="9" t="str">
        <f>IF(D120=$M$3,1,"")</f>
        <v/>
      </c>
      <c r="N120" s="9">
        <f>IF(D120=$N$3,1,"")</f>
        <v>1</v>
      </c>
      <c r="O120" s="9" t="str">
        <f>IF(D120=$O$3,1,"")</f>
        <v/>
      </c>
      <c r="P120" s="9" t="str">
        <f>IF(D120=$P$3,1,"")</f>
        <v/>
      </c>
      <c r="Q120" s="9" t="str">
        <f>IF(D120=$Q$3,1,"")</f>
        <v/>
      </c>
      <c r="R120" s="9" t="str">
        <f>IF(D120=$R$3,1,"")</f>
        <v/>
      </c>
      <c r="S120" s="9" t="str">
        <f>IF(D120=$S$3,1,"")</f>
        <v/>
      </c>
      <c r="T120" s="9" t="str">
        <f>IF(D120=$T$3,1,"")</f>
        <v/>
      </c>
      <c r="U120" s="9" t="str">
        <f>IF(D120=$U$3,1,"")</f>
        <v/>
      </c>
      <c r="V120" s="9" t="str">
        <f>IF(D120=$V$3,1,"")</f>
        <v/>
      </c>
      <c r="W120" s="9" t="str">
        <f>IF(D120=$W$3,1,"")</f>
        <v/>
      </c>
      <c r="X120" s="9" t="str">
        <f>IF(D120=$X$3,1,"")</f>
        <v/>
      </c>
      <c r="Y120" s="9" t="e">
        <f>IF(#REF!=$X$3,1,"")</f>
        <v>#REF!</v>
      </c>
      <c r="Z120" s="9" t="str">
        <f t="shared" si="18"/>
        <v/>
      </c>
      <c r="AA120" s="9" t="str">
        <f t="shared" si="19"/>
        <v/>
      </c>
      <c r="AB120" s="9" t="str">
        <f t="shared" si="20"/>
        <v/>
      </c>
      <c r="AC120" s="9" t="str">
        <f t="shared" si="21"/>
        <v/>
      </c>
      <c r="AD120" s="9" t="str">
        <f t="shared" si="22"/>
        <v/>
      </c>
    </row>
    <row r="121" spans="1:31" ht="21" customHeight="1" x14ac:dyDescent="0.2">
      <c r="A121" s="15">
        <f>IF(B121="","",A120+1)</f>
        <v>115</v>
      </c>
      <c r="B121" s="33" t="s">
        <v>265</v>
      </c>
      <c r="C121" s="20" t="str">
        <f t="shared" si="24"/>
        <v>vs</v>
      </c>
      <c r="D121" s="21" t="s">
        <v>15</v>
      </c>
      <c r="E121" s="20">
        <v>2015</v>
      </c>
      <c r="F121" s="18" t="s">
        <v>23</v>
      </c>
      <c r="G121" s="9"/>
      <c r="H121" s="19" t="s">
        <v>266</v>
      </c>
      <c r="M121" s="9" t="str">
        <f>IF(D121=$M$3,1,"")</f>
        <v/>
      </c>
      <c r="N121" s="9" t="str">
        <f>IF(D121=$N$3,1,"")</f>
        <v/>
      </c>
      <c r="O121" s="9" t="str">
        <f>IF(D121=$O$3,1,"")</f>
        <v/>
      </c>
      <c r="P121" s="9" t="str">
        <f>IF(D121=$P$3,1,"")</f>
        <v/>
      </c>
      <c r="Q121" s="9" t="str">
        <f>IF(D121=$Q$3,1,"")</f>
        <v/>
      </c>
      <c r="R121" s="9" t="str">
        <f>IF(D121=$R$3,1,"")</f>
        <v/>
      </c>
      <c r="S121" s="9" t="str">
        <f>IF(D121=$S$3,1,"")</f>
        <v/>
      </c>
      <c r="T121" s="9">
        <f>IF(D121=$T$3,1,"")</f>
        <v>1</v>
      </c>
      <c r="U121" s="9" t="str">
        <f>IF(D121=$U$3,1,"")</f>
        <v/>
      </c>
      <c r="V121" s="9" t="str">
        <f>IF(D121=$V$3,1,"")</f>
        <v/>
      </c>
      <c r="W121" s="9" t="str">
        <f>IF(D121=$W$3,1,"")</f>
        <v/>
      </c>
      <c r="X121" s="9" t="str">
        <f>IF(D121=$X$3,1,"")</f>
        <v/>
      </c>
      <c r="Y121" s="9" t="e">
        <f>IF(#REF!=$X$3,1,"")</f>
        <v>#REF!</v>
      </c>
      <c r="Z121" s="9" t="str">
        <f t="shared" si="18"/>
        <v/>
      </c>
      <c r="AA121" s="9" t="str">
        <f t="shared" si="19"/>
        <v/>
      </c>
      <c r="AB121" s="9" t="str">
        <f t="shared" si="20"/>
        <v/>
      </c>
      <c r="AC121" s="9" t="str">
        <f t="shared" si="21"/>
        <v/>
      </c>
      <c r="AD121" s="9" t="str">
        <f t="shared" si="22"/>
        <v/>
      </c>
    </row>
    <row r="122" spans="1:31" s="41" customFormat="1" ht="21" customHeight="1" x14ac:dyDescent="0.2">
      <c r="A122" s="15">
        <f t="shared" si="15"/>
        <v>116</v>
      </c>
      <c r="B122" s="49" t="s">
        <v>267</v>
      </c>
      <c r="C122" s="50" t="str">
        <f>IF(B122="","","vs")</f>
        <v>vs</v>
      </c>
      <c r="D122" s="51" t="s">
        <v>176</v>
      </c>
      <c r="E122" s="50">
        <v>2015</v>
      </c>
      <c r="F122" s="18" t="s">
        <v>23</v>
      </c>
      <c r="G122" s="42" t="s">
        <v>268</v>
      </c>
      <c r="H122" s="40" t="s">
        <v>269</v>
      </c>
      <c r="M122" s="9" t="str">
        <f>IF(D122=$M$3,1,"")</f>
        <v/>
      </c>
      <c r="N122" s="9" t="str">
        <f>IF(D122=$N$3,1,"")</f>
        <v/>
      </c>
      <c r="O122" s="9" t="str">
        <f>IF(D122=$O$3,1,"")</f>
        <v/>
      </c>
      <c r="P122" s="9" t="str">
        <f>IF(D122=$P$3,1,"")</f>
        <v/>
      </c>
      <c r="Q122" s="9" t="str">
        <f>IF(D122=$Q$3,1,"")</f>
        <v/>
      </c>
      <c r="R122" s="9" t="str">
        <f>IF(D122=$R$3,1,"")</f>
        <v/>
      </c>
      <c r="S122" s="9" t="str">
        <f>IF(D122=$S$3,1,"")</f>
        <v/>
      </c>
      <c r="T122" s="9" t="str">
        <f>IF(D122=$T$3,1,"")</f>
        <v/>
      </c>
      <c r="U122" s="9" t="str">
        <f>IF(D122=$U$3,1,"")</f>
        <v/>
      </c>
      <c r="V122" s="9" t="str">
        <f>IF(D122=$V$3,1,"")</f>
        <v/>
      </c>
      <c r="W122" s="9" t="str">
        <f>IF(D122=$W$3,1,"")</f>
        <v/>
      </c>
      <c r="X122" s="9" t="str">
        <f>IF(D122=$X$3,1,"")</f>
        <v/>
      </c>
      <c r="Y122" s="9" t="e">
        <f>IF(#REF!=$X$3,1,"")</f>
        <v>#REF!</v>
      </c>
      <c r="Z122" s="9" t="str">
        <f t="shared" si="18"/>
        <v/>
      </c>
      <c r="AA122" s="9" t="str">
        <f t="shared" si="19"/>
        <v/>
      </c>
      <c r="AB122" s="9" t="str">
        <f t="shared" si="20"/>
        <v/>
      </c>
      <c r="AC122" s="9" t="str">
        <f t="shared" si="21"/>
        <v/>
      </c>
      <c r="AD122" s="9" t="str">
        <f t="shared" si="22"/>
        <v/>
      </c>
      <c r="AE122" s="7"/>
    </row>
    <row r="123" spans="1:31" s="41" customFormat="1" ht="21" customHeight="1" x14ac:dyDescent="0.2">
      <c r="A123" s="15">
        <f t="shared" si="15"/>
        <v>117</v>
      </c>
      <c r="B123" s="49" t="s">
        <v>270</v>
      </c>
      <c r="C123" s="50" t="str">
        <f>IF(B123="","","vs")</f>
        <v>vs</v>
      </c>
      <c r="D123" s="51" t="s">
        <v>16</v>
      </c>
      <c r="E123" s="50">
        <v>2015</v>
      </c>
      <c r="F123" s="18" t="s">
        <v>23</v>
      </c>
      <c r="G123" s="42"/>
      <c r="H123" s="40" t="s">
        <v>271</v>
      </c>
      <c r="M123" s="9" t="str">
        <f>IF(D123=$M$3,1,"")</f>
        <v/>
      </c>
      <c r="N123" s="9" t="str">
        <f>IF(D123=$N$3,1,"")</f>
        <v/>
      </c>
      <c r="O123" s="9" t="str">
        <f>IF(D123=$O$3,1,"")</f>
        <v/>
      </c>
      <c r="P123" s="9" t="str">
        <f>IF(D123=$P$3,1,"")</f>
        <v/>
      </c>
      <c r="Q123" s="9" t="str">
        <f>IF(D123=$Q$3,1,"")</f>
        <v/>
      </c>
      <c r="R123" s="9" t="str">
        <f>IF(D123=$R$3,1,"")</f>
        <v/>
      </c>
      <c r="S123" s="9" t="str">
        <f>IF(D123=$S$3,1,"")</f>
        <v/>
      </c>
      <c r="T123" s="9" t="str">
        <f>IF(D123=$T$3,1,"")</f>
        <v/>
      </c>
      <c r="U123" s="9">
        <f>IF(D123=$U$3,1,"")</f>
        <v>1</v>
      </c>
      <c r="V123" s="9" t="str">
        <f>IF(D123=$V$3,1,"")</f>
        <v/>
      </c>
      <c r="W123" s="9" t="str">
        <f>IF(D123=$W$3,1,"")</f>
        <v/>
      </c>
      <c r="X123" s="9" t="str">
        <f>IF(D123=$X$3,1,"")</f>
        <v/>
      </c>
      <c r="Y123" s="9" t="e">
        <f>IF(#REF!=$X$3,1,"")</f>
        <v>#REF!</v>
      </c>
      <c r="Z123" s="9" t="str">
        <f t="shared" si="18"/>
        <v/>
      </c>
      <c r="AA123" s="9" t="str">
        <f t="shared" si="19"/>
        <v/>
      </c>
      <c r="AB123" s="9" t="str">
        <f t="shared" si="20"/>
        <v/>
      </c>
      <c r="AC123" s="9" t="str">
        <f t="shared" si="21"/>
        <v/>
      </c>
      <c r="AD123" s="9" t="str">
        <f t="shared" si="22"/>
        <v/>
      </c>
      <c r="AE123" s="7"/>
    </row>
    <row r="124" spans="1:31" ht="36" customHeight="1" x14ac:dyDescent="0.2">
      <c r="A124" s="15">
        <f t="shared" si="15"/>
        <v>118</v>
      </c>
      <c r="B124" s="143" t="s">
        <v>272</v>
      </c>
      <c r="C124" s="20" t="str">
        <f t="shared" si="24"/>
        <v>vs</v>
      </c>
      <c r="D124" s="21" t="s">
        <v>9</v>
      </c>
      <c r="E124" s="20">
        <v>2015</v>
      </c>
      <c r="F124" s="18" t="s">
        <v>23</v>
      </c>
      <c r="G124" s="9"/>
      <c r="H124" s="19" t="s">
        <v>273</v>
      </c>
      <c r="M124" s="9" t="str">
        <f>IF(D124=$M$3,1,"")</f>
        <v/>
      </c>
      <c r="N124" s="9">
        <f>IF(D124=$N$3,1,"")</f>
        <v>1</v>
      </c>
      <c r="O124" s="9" t="str">
        <f>IF(D124=$O$3,1,"")</f>
        <v/>
      </c>
      <c r="P124" s="9" t="str">
        <f>IF(D124=$P$3,1,"")</f>
        <v/>
      </c>
      <c r="Q124" s="9" t="str">
        <f>IF(D124=$Q$3,1,"")</f>
        <v/>
      </c>
      <c r="R124" s="9" t="str">
        <f>IF(D124=$R$3,1,"")</f>
        <v/>
      </c>
      <c r="S124" s="9" t="str">
        <f>IF(D124=$S$3,1,"")</f>
        <v/>
      </c>
      <c r="T124" s="9" t="str">
        <f>IF(D124=$T$3,1,"")</f>
        <v/>
      </c>
      <c r="U124" s="9" t="str">
        <f>IF(D124=$U$3,1,"")</f>
        <v/>
      </c>
      <c r="V124" s="9" t="str">
        <f>IF(D124=$V$3,1,"")</f>
        <v/>
      </c>
      <c r="W124" s="9" t="str">
        <f>IF(D124=$W$3,1,"")</f>
        <v/>
      </c>
      <c r="X124" s="9" t="str">
        <f>IF(D124=$X$3,1,"")</f>
        <v/>
      </c>
      <c r="Y124" s="9" t="e">
        <f>IF(#REF!=$X$3,1,"")</f>
        <v>#REF!</v>
      </c>
      <c r="Z124" s="9" t="str">
        <f t="shared" si="18"/>
        <v/>
      </c>
      <c r="AA124" s="9" t="str">
        <f t="shared" si="19"/>
        <v/>
      </c>
      <c r="AB124" s="9" t="str">
        <f t="shared" si="20"/>
        <v/>
      </c>
      <c r="AC124" s="9" t="str">
        <f t="shared" si="21"/>
        <v/>
      </c>
      <c r="AD124" s="9" t="str">
        <f t="shared" si="22"/>
        <v/>
      </c>
    </row>
    <row r="125" spans="1:31" ht="21" customHeight="1" x14ac:dyDescent="0.2">
      <c r="A125" s="15">
        <f t="shared" si="15"/>
        <v>119</v>
      </c>
      <c r="B125" s="33" t="s">
        <v>274</v>
      </c>
      <c r="C125" s="20" t="str">
        <f t="shared" si="24"/>
        <v>vs</v>
      </c>
      <c r="D125" s="21" t="s">
        <v>9</v>
      </c>
      <c r="E125" s="20">
        <v>2015</v>
      </c>
      <c r="F125" s="18" t="s">
        <v>23</v>
      </c>
      <c r="G125" s="9"/>
      <c r="H125" s="19" t="s">
        <v>275</v>
      </c>
      <c r="M125" s="9" t="str">
        <f>IF(D125=$M$3,1,"")</f>
        <v/>
      </c>
      <c r="N125" s="9">
        <f>IF(D125=$N$3,1,"")</f>
        <v>1</v>
      </c>
      <c r="O125" s="9" t="str">
        <f>IF(D125=$O$3,1,"")</f>
        <v/>
      </c>
      <c r="P125" s="9" t="str">
        <f>IF(D125=$P$3,1,"")</f>
        <v/>
      </c>
      <c r="Q125" s="9" t="str">
        <f>IF(D125=$Q$3,1,"")</f>
        <v/>
      </c>
      <c r="R125" s="9" t="str">
        <f>IF(D125=$R$3,1,"")</f>
        <v/>
      </c>
      <c r="S125" s="9" t="str">
        <f>IF(D125=$S$3,1,"")</f>
        <v/>
      </c>
      <c r="T125" s="9" t="str">
        <f>IF(D125=$T$3,1,"")</f>
        <v/>
      </c>
      <c r="U125" s="9" t="str">
        <f>IF(D125=$U$3,1,"")</f>
        <v/>
      </c>
      <c r="V125" s="9" t="str">
        <f>IF(D125=$V$3,1,"")</f>
        <v/>
      </c>
      <c r="W125" s="9" t="str">
        <f>IF(D125=$W$3,1,"")</f>
        <v/>
      </c>
      <c r="X125" s="9" t="str">
        <f>IF(D125=$X$3,1,"")</f>
        <v/>
      </c>
      <c r="Y125" s="9" t="e">
        <f>IF(#REF!=$X$3,1,"")</f>
        <v>#REF!</v>
      </c>
      <c r="Z125" s="9" t="str">
        <f t="shared" si="18"/>
        <v/>
      </c>
      <c r="AA125" s="9" t="str">
        <f t="shared" si="19"/>
        <v/>
      </c>
      <c r="AB125" s="9" t="str">
        <f t="shared" si="20"/>
        <v/>
      </c>
      <c r="AC125" s="9" t="str">
        <f t="shared" si="21"/>
        <v/>
      </c>
      <c r="AD125" s="9" t="str">
        <f t="shared" si="22"/>
        <v/>
      </c>
    </row>
    <row r="126" spans="1:31" ht="21" customHeight="1" x14ac:dyDescent="0.2">
      <c r="A126" s="15">
        <f t="shared" si="15"/>
        <v>120</v>
      </c>
      <c r="B126" s="33" t="s">
        <v>276</v>
      </c>
      <c r="C126" s="20" t="str">
        <f t="shared" si="24"/>
        <v>vs</v>
      </c>
      <c r="D126" s="21" t="s">
        <v>15</v>
      </c>
      <c r="E126" s="20">
        <v>2015</v>
      </c>
      <c r="F126" s="18" t="s">
        <v>23</v>
      </c>
      <c r="G126" s="9"/>
      <c r="H126" s="19" t="s">
        <v>277</v>
      </c>
      <c r="M126" s="9" t="str">
        <f>IF(D126=$M$3,1,"")</f>
        <v/>
      </c>
      <c r="N126" s="9" t="str">
        <f>IF(D126=$N$3,1,"")</f>
        <v/>
      </c>
      <c r="O126" s="9" t="str">
        <f>IF(D126=$O$3,1,"")</f>
        <v/>
      </c>
      <c r="P126" s="9" t="str">
        <f>IF(D126=$P$3,1,"")</f>
        <v/>
      </c>
      <c r="Q126" s="9" t="str">
        <f>IF(D126=$Q$3,1,"")</f>
        <v/>
      </c>
      <c r="R126" s="9" t="str">
        <f>IF(D126=$R$3,1,"")</f>
        <v/>
      </c>
      <c r="S126" s="9" t="str">
        <f>IF(D126=$S$3,1,"")</f>
        <v/>
      </c>
      <c r="T126" s="9">
        <f>IF(D126=$T$3,1,"")</f>
        <v>1</v>
      </c>
      <c r="U126" s="9" t="str">
        <f>IF(D126=$U$3,1,"")</f>
        <v/>
      </c>
      <c r="V126" s="9" t="str">
        <f>IF(D126=$V$3,1,"")</f>
        <v/>
      </c>
      <c r="W126" s="9" t="str">
        <f>IF(D126=$W$3,1,"")</f>
        <v/>
      </c>
      <c r="X126" s="9" t="str">
        <f>IF(D126=$X$3,1,"")</f>
        <v/>
      </c>
      <c r="Y126" s="9" t="e">
        <f>IF(#REF!=$X$3,1,"")</f>
        <v>#REF!</v>
      </c>
      <c r="Z126" s="9" t="str">
        <f t="shared" si="18"/>
        <v/>
      </c>
      <c r="AA126" s="9" t="str">
        <f t="shared" si="19"/>
        <v/>
      </c>
      <c r="AB126" s="9" t="str">
        <f t="shared" si="20"/>
        <v/>
      </c>
      <c r="AC126" s="9" t="str">
        <f t="shared" si="21"/>
        <v/>
      </c>
      <c r="AD126" s="9" t="str">
        <f t="shared" si="22"/>
        <v/>
      </c>
    </row>
    <row r="127" spans="1:31" ht="21" customHeight="1" x14ac:dyDescent="0.2">
      <c r="A127" s="15">
        <f t="shared" si="15"/>
        <v>121</v>
      </c>
      <c r="B127" s="33" t="s">
        <v>278</v>
      </c>
      <c r="C127" s="20" t="str">
        <f t="shared" si="24"/>
        <v>vs</v>
      </c>
      <c r="D127" s="21" t="s">
        <v>16</v>
      </c>
      <c r="E127" s="20">
        <v>2015</v>
      </c>
      <c r="F127" s="18" t="s">
        <v>23</v>
      </c>
      <c r="G127" s="9"/>
      <c r="H127" s="19" t="s">
        <v>279</v>
      </c>
      <c r="M127" s="9" t="str">
        <f>IF(D127=$M$3,1,"")</f>
        <v/>
      </c>
      <c r="N127" s="9" t="str">
        <f>IF(D127=$N$3,1,"")</f>
        <v/>
      </c>
      <c r="O127" s="9" t="str">
        <f>IF(D127=$O$3,1,"")</f>
        <v/>
      </c>
      <c r="P127" s="9" t="str">
        <f>IF(D127=$P$3,1,"")</f>
        <v/>
      </c>
      <c r="Q127" s="9" t="str">
        <f>IF(D127=$Q$3,1,"")</f>
        <v/>
      </c>
      <c r="R127" s="9" t="str">
        <f>IF(D127=$R$3,1,"")</f>
        <v/>
      </c>
      <c r="S127" s="9" t="str">
        <f>IF(D127=$S$3,1,"")</f>
        <v/>
      </c>
      <c r="T127" s="9" t="str">
        <f>IF(D127=$T$3,1,"")</f>
        <v/>
      </c>
      <c r="U127" s="9">
        <f>IF(D127=$U$3,1,"")</f>
        <v>1</v>
      </c>
      <c r="V127" s="9" t="str">
        <f>IF(D127=$V$3,1,"")</f>
        <v/>
      </c>
      <c r="W127" s="9" t="str">
        <f>IF(D127=$W$3,1,"")</f>
        <v/>
      </c>
      <c r="X127" s="9" t="str">
        <f>IF(D127=$X$3,1,"")</f>
        <v/>
      </c>
      <c r="Y127" s="9" t="e">
        <f>IF(#REF!=$X$3,1,"")</f>
        <v>#REF!</v>
      </c>
      <c r="Z127" s="9" t="str">
        <f t="shared" si="18"/>
        <v/>
      </c>
      <c r="AA127" s="9" t="str">
        <f t="shared" si="19"/>
        <v/>
      </c>
      <c r="AB127" s="9" t="str">
        <f t="shared" si="20"/>
        <v/>
      </c>
      <c r="AC127" s="9" t="str">
        <f t="shared" si="21"/>
        <v/>
      </c>
      <c r="AD127" s="9" t="str">
        <f t="shared" si="22"/>
        <v/>
      </c>
    </row>
    <row r="128" spans="1:31" ht="21" customHeight="1" x14ac:dyDescent="0.2">
      <c r="A128" s="15">
        <f t="shared" si="15"/>
        <v>122</v>
      </c>
      <c r="B128" s="33" t="s">
        <v>280</v>
      </c>
      <c r="C128" s="20" t="str">
        <f t="shared" si="24"/>
        <v>vs</v>
      </c>
      <c r="D128" s="21" t="s">
        <v>15</v>
      </c>
      <c r="E128" s="20">
        <v>2015</v>
      </c>
      <c r="F128" s="18" t="s">
        <v>23</v>
      </c>
      <c r="G128" s="9"/>
      <c r="H128" s="19" t="s">
        <v>281</v>
      </c>
      <c r="M128" s="9" t="str">
        <f>IF(D128=$M$3,1,"")</f>
        <v/>
      </c>
      <c r="N128" s="9" t="str">
        <f>IF(D128=$N$3,1,"")</f>
        <v/>
      </c>
      <c r="O128" s="9" t="str">
        <f>IF(D128=$O$3,1,"")</f>
        <v/>
      </c>
      <c r="P128" s="9" t="str">
        <f>IF(D128=$P$3,1,"")</f>
        <v/>
      </c>
      <c r="Q128" s="9" t="str">
        <f>IF(D128=$Q$3,1,"")</f>
        <v/>
      </c>
      <c r="R128" s="9" t="str">
        <f>IF(D128=$R$3,1,"")</f>
        <v/>
      </c>
      <c r="S128" s="9" t="str">
        <f>IF(D128=$S$3,1,"")</f>
        <v/>
      </c>
      <c r="T128" s="9">
        <f>IF(D128=$T$3,1,"")</f>
        <v>1</v>
      </c>
      <c r="U128" s="9" t="str">
        <f>IF(D128=$U$3,1,"")</f>
        <v/>
      </c>
      <c r="V128" s="9" t="str">
        <f>IF(D128=$V$3,1,"")</f>
        <v/>
      </c>
      <c r="W128" s="9" t="str">
        <f>IF(D128=$W$3,1,"")</f>
        <v/>
      </c>
      <c r="X128" s="9" t="str">
        <f>IF(D128=$X$3,1,"")</f>
        <v/>
      </c>
      <c r="Y128" s="9" t="e">
        <f>IF(#REF!=$X$3,1,"")</f>
        <v>#REF!</v>
      </c>
      <c r="Z128" s="9" t="str">
        <f t="shared" si="18"/>
        <v/>
      </c>
      <c r="AA128" s="9" t="str">
        <f t="shared" si="19"/>
        <v/>
      </c>
      <c r="AB128" s="9" t="str">
        <f t="shared" si="20"/>
        <v/>
      </c>
      <c r="AC128" s="9" t="str">
        <f t="shared" si="21"/>
        <v/>
      </c>
      <c r="AD128" s="9" t="str">
        <f t="shared" si="22"/>
        <v/>
      </c>
    </row>
    <row r="129" spans="1:31" ht="21" customHeight="1" x14ac:dyDescent="0.2">
      <c r="A129" s="15">
        <f t="shared" ref="A129:A135" si="25">IF(B129="","",A128+1)</f>
        <v>123</v>
      </c>
      <c r="B129" s="33" t="s">
        <v>282</v>
      </c>
      <c r="C129" s="20" t="str">
        <f t="shared" si="24"/>
        <v>vs</v>
      </c>
      <c r="D129" s="21" t="s">
        <v>11</v>
      </c>
      <c r="E129" s="20">
        <v>2015</v>
      </c>
      <c r="F129" s="18" t="s">
        <v>23</v>
      </c>
      <c r="G129" s="9" t="s">
        <v>283</v>
      </c>
      <c r="H129" s="19" t="s">
        <v>284</v>
      </c>
      <c r="I129" s="7">
        <v>123</v>
      </c>
      <c r="M129" s="9" t="str">
        <f>IF(D129=$M$3,1,"")</f>
        <v/>
      </c>
      <c r="N129" s="9" t="str">
        <f>IF(D129=$N$3,1,"")</f>
        <v/>
      </c>
      <c r="O129" s="9" t="str">
        <f>IF(D129=$O$3,1,"")</f>
        <v/>
      </c>
      <c r="P129" s="9">
        <f>IF(D129=$P$3,1,"")</f>
        <v>1</v>
      </c>
      <c r="Q129" s="9" t="str">
        <f>IF(D129=$Q$3,1,"")</f>
        <v/>
      </c>
      <c r="R129" s="9" t="str">
        <f>IF(D129=$R$3,1,"")</f>
        <v/>
      </c>
      <c r="S129" s="9" t="str">
        <f>IF(D129=$S$3,1,"")</f>
        <v/>
      </c>
      <c r="T129" s="9" t="str">
        <f>IF(D129=$T$3,1,"")</f>
        <v/>
      </c>
      <c r="U129" s="9" t="str">
        <f>IF(D129=$U$3,1,"")</f>
        <v/>
      </c>
      <c r="V129" s="9" t="str">
        <f>IF(D129=$V$3,1,"")</f>
        <v/>
      </c>
      <c r="W129" s="9" t="str">
        <f>IF(D129=$W$3,1,"")</f>
        <v/>
      </c>
      <c r="X129" s="9" t="str">
        <f>IF(D129=$X$3,1,"")</f>
        <v/>
      </c>
      <c r="Y129" s="9" t="e">
        <f>IF(#REF!=$X$3,1,"")</f>
        <v>#REF!</v>
      </c>
      <c r="Z129" s="9" t="str">
        <f t="shared" si="18"/>
        <v/>
      </c>
      <c r="AA129" s="9" t="str">
        <f t="shared" si="19"/>
        <v/>
      </c>
      <c r="AB129" s="9" t="str">
        <f t="shared" si="20"/>
        <v/>
      </c>
      <c r="AC129" s="9" t="str">
        <f t="shared" si="21"/>
        <v/>
      </c>
      <c r="AD129" s="9" t="str">
        <f t="shared" si="22"/>
        <v/>
      </c>
    </row>
    <row r="130" spans="1:31" ht="21" customHeight="1" x14ac:dyDescent="0.2">
      <c r="A130" s="15">
        <f t="shared" si="25"/>
        <v>124</v>
      </c>
      <c r="B130" s="33" t="s">
        <v>285</v>
      </c>
      <c r="C130" s="20" t="str">
        <f t="shared" si="24"/>
        <v>vs</v>
      </c>
      <c r="D130" s="21" t="s">
        <v>61</v>
      </c>
      <c r="E130" s="20">
        <v>2015</v>
      </c>
      <c r="F130" s="18" t="s">
        <v>23</v>
      </c>
      <c r="G130" s="9"/>
      <c r="H130" s="19" t="s">
        <v>286</v>
      </c>
      <c r="M130" s="9" t="str">
        <f>IF(D130=$M$3,1,"")</f>
        <v/>
      </c>
      <c r="N130" s="9" t="str">
        <f>IF(D130=$N$3,1,"")</f>
        <v/>
      </c>
      <c r="O130" s="9" t="str">
        <f>IF(D130=$O$3,1,"")</f>
        <v/>
      </c>
      <c r="P130" s="9" t="str">
        <f>IF(D130=$P$3,1,"")</f>
        <v/>
      </c>
      <c r="Q130" s="9" t="str">
        <f>IF(D130=$Q$3,1,"")</f>
        <v/>
      </c>
      <c r="R130" s="9" t="str">
        <f>IF(D130=$R$3,1,"")</f>
        <v/>
      </c>
      <c r="S130" s="9" t="str">
        <f>IF(D130=$S$3,1,"")</f>
        <v/>
      </c>
      <c r="T130" s="9" t="str">
        <f>IF(D130=$T$3,1,"")</f>
        <v/>
      </c>
      <c r="U130" s="9" t="str">
        <f>IF(D130=$U$3,1,"")</f>
        <v/>
      </c>
      <c r="V130" s="9" t="str">
        <f>IF(D130=$V$3,1,"")</f>
        <v/>
      </c>
      <c r="W130" s="9" t="str">
        <f>IF(D130=$W$3,1,"")</f>
        <v/>
      </c>
      <c r="X130" s="9" t="str">
        <f>IF(D130=$X$3,1,"")</f>
        <v/>
      </c>
      <c r="Y130" s="9" t="e">
        <f>IF(#REF!=$X$3,1,"")</f>
        <v>#REF!</v>
      </c>
      <c r="Z130" s="9" t="str">
        <f t="shared" si="18"/>
        <v/>
      </c>
      <c r="AA130" s="9" t="str">
        <f t="shared" si="19"/>
        <v/>
      </c>
      <c r="AB130" s="9" t="str">
        <f t="shared" si="20"/>
        <v/>
      </c>
      <c r="AC130" s="9" t="str">
        <f t="shared" si="21"/>
        <v/>
      </c>
      <c r="AD130" s="9" t="str">
        <f t="shared" si="22"/>
        <v/>
      </c>
    </row>
    <row r="131" spans="1:31" ht="21" customHeight="1" x14ac:dyDescent="0.2">
      <c r="A131" s="15">
        <f t="shared" si="25"/>
        <v>125</v>
      </c>
      <c r="B131" s="33" t="s">
        <v>287</v>
      </c>
      <c r="C131" s="20" t="str">
        <f t="shared" si="24"/>
        <v>vs</v>
      </c>
      <c r="D131" s="21" t="s">
        <v>9</v>
      </c>
      <c r="E131" s="20">
        <v>2015</v>
      </c>
      <c r="F131" s="18" t="s">
        <v>23</v>
      </c>
      <c r="G131" s="9"/>
      <c r="H131" s="19" t="s">
        <v>288</v>
      </c>
      <c r="M131" s="9" t="str">
        <f>IF(D131=$M$3,1,"")</f>
        <v/>
      </c>
      <c r="N131" s="9">
        <f>IF(D131=$N$3,1,"")</f>
        <v>1</v>
      </c>
      <c r="O131" s="9" t="str">
        <f>IF(D131=$O$3,1,"")</f>
        <v/>
      </c>
      <c r="P131" s="9" t="str">
        <f>IF(D131=$P$3,1,"")</f>
        <v/>
      </c>
      <c r="Q131" s="9" t="str">
        <f>IF(D131=$Q$3,1,"")</f>
        <v/>
      </c>
      <c r="R131" s="9" t="str">
        <f>IF(D131=$R$3,1,"")</f>
        <v/>
      </c>
      <c r="S131" s="9" t="str">
        <f>IF(D131=$S$3,1,"")</f>
        <v/>
      </c>
      <c r="T131" s="9" t="str">
        <f>IF(D131=$T$3,1,"")</f>
        <v/>
      </c>
      <c r="U131" s="9" t="str">
        <f>IF(D131=$U$3,1,"")</f>
        <v/>
      </c>
      <c r="V131" s="9" t="str">
        <f>IF(D131=$V$3,1,"")</f>
        <v/>
      </c>
      <c r="W131" s="9" t="str">
        <f>IF(D131=$W$3,1,"")</f>
        <v/>
      </c>
      <c r="X131" s="9" t="str">
        <f>IF(D131=$X$3,1,"")</f>
        <v/>
      </c>
      <c r="Y131" s="9" t="e">
        <f>IF(#REF!=$X$3,1,"")</f>
        <v>#REF!</v>
      </c>
      <c r="Z131" s="9" t="str">
        <f t="shared" si="18"/>
        <v/>
      </c>
      <c r="AA131" s="9" t="str">
        <f t="shared" si="19"/>
        <v/>
      </c>
      <c r="AB131" s="9" t="str">
        <f t="shared" si="20"/>
        <v/>
      </c>
      <c r="AC131" s="9" t="str">
        <f t="shared" si="21"/>
        <v/>
      </c>
      <c r="AD131" s="9" t="str">
        <f t="shared" si="22"/>
        <v/>
      </c>
    </row>
    <row r="132" spans="1:31" ht="21" customHeight="1" x14ac:dyDescent="0.2">
      <c r="A132" s="15">
        <f t="shared" si="25"/>
        <v>126</v>
      </c>
      <c r="B132" s="53" t="s">
        <v>289</v>
      </c>
      <c r="C132" s="16" t="str">
        <f t="shared" si="24"/>
        <v>vs</v>
      </c>
      <c r="D132" s="17" t="s">
        <v>9</v>
      </c>
      <c r="E132" s="16">
        <v>2015</v>
      </c>
      <c r="F132" s="18" t="s">
        <v>23</v>
      </c>
      <c r="G132" s="9"/>
      <c r="H132" s="19" t="s">
        <v>290</v>
      </c>
      <c r="M132" s="9" t="str">
        <f>IF(D132=$M$3,1,"")</f>
        <v/>
      </c>
      <c r="N132" s="9">
        <f>IF(D132=$N$3,1,"")</f>
        <v>1</v>
      </c>
      <c r="O132" s="9" t="str">
        <f>IF(D132=$O$3,1,"")</f>
        <v/>
      </c>
      <c r="P132" s="9" t="str">
        <f>IF(D132=$P$3,1,"")</f>
        <v/>
      </c>
      <c r="Q132" s="9" t="str">
        <f>IF(D132=$Q$3,1,"")</f>
        <v/>
      </c>
      <c r="R132" s="9" t="str">
        <f>IF(D132=$R$3,1,"")</f>
        <v/>
      </c>
      <c r="S132" s="9" t="str">
        <f>IF(D132=$S$3,1,"")</f>
        <v/>
      </c>
      <c r="T132" s="9" t="str">
        <f>IF(D132=$T$3,1,"")</f>
        <v/>
      </c>
      <c r="U132" s="9" t="str">
        <f>IF(D132=$U$3,1,"")</f>
        <v/>
      </c>
      <c r="V132" s="9" t="str">
        <f>IF(D132=$V$3,1,"")</f>
        <v/>
      </c>
      <c r="W132" s="9" t="str">
        <f>IF(D132=$W$3,1,"")</f>
        <v/>
      </c>
      <c r="X132" s="9" t="str">
        <f>IF(D132=$X$3,1,"")</f>
        <v/>
      </c>
      <c r="Y132" s="9" t="e">
        <f>IF(#REF!=$X$3,1,"")</f>
        <v>#REF!</v>
      </c>
      <c r="Z132" s="9" t="str">
        <f t="shared" si="18"/>
        <v/>
      </c>
      <c r="AA132" s="9" t="str">
        <f t="shared" si="19"/>
        <v/>
      </c>
      <c r="AB132" s="9" t="str">
        <f t="shared" si="20"/>
        <v/>
      </c>
      <c r="AC132" s="9" t="str">
        <f t="shared" si="21"/>
        <v/>
      </c>
      <c r="AD132" s="9" t="str">
        <f t="shared" si="22"/>
        <v/>
      </c>
    </row>
    <row r="133" spans="1:31" ht="21" customHeight="1" x14ac:dyDescent="0.2">
      <c r="A133" s="15">
        <f t="shared" si="25"/>
        <v>127</v>
      </c>
      <c r="B133" s="25" t="s">
        <v>291</v>
      </c>
      <c r="C133" s="20" t="str">
        <f t="shared" ref="C133:C187" si="26">IF(B133="","","vs")</f>
        <v>vs</v>
      </c>
      <c r="D133" s="21" t="s">
        <v>9</v>
      </c>
      <c r="E133" s="20">
        <v>2015</v>
      </c>
      <c r="F133" s="18" t="s">
        <v>23</v>
      </c>
      <c r="G133" s="9"/>
      <c r="H133" s="19" t="s">
        <v>292</v>
      </c>
      <c r="M133" s="9" t="str">
        <f>IF(D133=$M$3,1,"")</f>
        <v/>
      </c>
      <c r="N133" s="9">
        <f>IF(D133=$N$3,1,"")</f>
        <v>1</v>
      </c>
      <c r="O133" s="9" t="str">
        <f>IF(D133=$O$3,1,"")</f>
        <v/>
      </c>
      <c r="P133" s="9" t="str">
        <f>IF(D133=$P$3,1,"")</f>
        <v/>
      </c>
      <c r="Q133" s="9" t="str">
        <f>IF(D133=$Q$3,1,"")</f>
        <v/>
      </c>
      <c r="R133" s="9" t="str">
        <f>IF(D133=$R$3,1,"")</f>
        <v/>
      </c>
      <c r="S133" s="9" t="str">
        <f>IF(D133=$S$3,1,"")</f>
        <v/>
      </c>
      <c r="T133" s="9" t="str">
        <f>IF(D133=$T$3,1,"")</f>
        <v/>
      </c>
      <c r="U133" s="9" t="str">
        <f>IF(D133=$U$3,1,"")</f>
        <v/>
      </c>
      <c r="V133" s="9" t="str">
        <f>IF(D133=$V$3,1,"")</f>
        <v/>
      </c>
      <c r="W133" s="9" t="str">
        <f>IF(D133=$W$3,1,"")</f>
        <v/>
      </c>
      <c r="X133" s="9" t="str">
        <f>IF(D133=$X$3,1,"")</f>
        <v/>
      </c>
      <c r="Y133" s="9" t="e">
        <f>IF(#REF!=$X$3,1,"")</f>
        <v>#REF!</v>
      </c>
      <c r="Z133" s="9" t="str">
        <f t="shared" si="18"/>
        <v/>
      </c>
      <c r="AA133" s="9" t="str">
        <f t="shared" si="19"/>
        <v/>
      </c>
      <c r="AB133" s="9" t="str">
        <f t="shared" si="20"/>
        <v/>
      </c>
      <c r="AC133" s="9" t="str">
        <f t="shared" si="21"/>
        <v/>
      </c>
      <c r="AD133" s="9" t="str">
        <f t="shared" si="22"/>
        <v/>
      </c>
    </row>
    <row r="134" spans="1:31" ht="21" customHeight="1" x14ac:dyDescent="0.2">
      <c r="A134" s="15">
        <f t="shared" si="25"/>
        <v>128</v>
      </c>
      <c r="B134" s="25" t="s">
        <v>293</v>
      </c>
      <c r="C134" s="20" t="str">
        <f>IF(B134="","","vs")</f>
        <v>vs</v>
      </c>
      <c r="D134" s="21" t="s">
        <v>13</v>
      </c>
      <c r="E134" s="20">
        <v>2015</v>
      </c>
      <c r="F134" s="18" t="s">
        <v>23</v>
      </c>
      <c r="G134" s="9" t="s">
        <v>283</v>
      </c>
      <c r="H134" s="19" t="s">
        <v>294</v>
      </c>
      <c r="I134" s="7" t="s">
        <v>90</v>
      </c>
      <c r="M134" s="9" t="str">
        <f>IF(D134=$M$3,1,"")</f>
        <v/>
      </c>
      <c r="N134" s="9" t="str">
        <f>IF(D134=$N$3,1,"")</f>
        <v/>
      </c>
      <c r="O134" s="9" t="str">
        <f>IF(D134=$O$3,1,"")</f>
        <v/>
      </c>
      <c r="P134" s="9" t="str">
        <f>IF(D134=$P$3,1,"")</f>
        <v/>
      </c>
      <c r="Q134" s="9" t="str">
        <f>IF(D134=$Q$3,1,"")</f>
        <v/>
      </c>
      <c r="R134" s="9">
        <f>IF(D134=$R$3,1,"")</f>
        <v>1</v>
      </c>
      <c r="S134" s="9" t="str">
        <f>IF(D134=$S$3,1,"")</f>
        <v/>
      </c>
      <c r="T134" s="9" t="str">
        <f>IF(D134=$T$3,1,"")</f>
        <v/>
      </c>
      <c r="U134" s="9" t="str">
        <f>IF(D134=$U$3,1,"")</f>
        <v/>
      </c>
      <c r="V134" s="9" t="str">
        <f>IF(D134=$V$3,1,"")</f>
        <v/>
      </c>
      <c r="W134" s="9" t="str">
        <f>IF(D134=$W$3,1,"")</f>
        <v/>
      </c>
      <c r="X134" s="9" t="str">
        <f>IF(D134=$X$3,1,"")</f>
        <v/>
      </c>
      <c r="Y134" s="9" t="e">
        <f>IF(#REF!=$X$3,1,"")</f>
        <v>#REF!</v>
      </c>
      <c r="Z134" s="9" t="str">
        <f t="shared" si="18"/>
        <v/>
      </c>
      <c r="AA134" s="9" t="str">
        <f t="shared" si="19"/>
        <v/>
      </c>
      <c r="AB134" s="9" t="str">
        <f t="shared" si="20"/>
        <v/>
      </c>
      <c r="AC134" s="9" t="str">
        <f t="shared" si="21"/>
        <v/>
      </c>
      <c r="AD134" s="9" t="str">
        <f t="shared" si="22"/>
        <v/>
      </c>
    </row>
    <row r="135" spans="1:31" ht="21" customHeight="1" x14ac:dyDescent="0.2">
      <c r="A135" s="15">
        <f t="shared" si="25"/>
        <v>129</v>
      </c>
      <c r="B135" s="52" t="s">
        <v>295</v>
      </c>
      <c r="C135" s="20" t="str">
        <f t="shared" si="26"/>
        <v>vs</v>
      </c>
      <c r="D135" s="21" t="s">
        <v>16</v>
      </c>
      <c r="E135" s="20">
        <v>2015</v>
      </c>
      <c r="F135" s="18" t="s">
        <v>47</v>
      </c>
      <c r="G135" s="9"/>
      <c r="H135" s="19" t="s">
        <v>294</v>
      </c>
      <c r="I135" s="7" t="s">
        <v>90</v>
      </c>
      <c r="M135" s="9" t="str">
        <f>IF(D135=$M$3,1,"")</f>
        <v/>
      </c>
      <c r="N135" s="9" t="str">
        <f>IF(D135=$N$3,1,"")</f>
        <v/>
      </c>
      <c r="O135" s="9" t="str">
        <f>IF(D135=$O$3,1,"")</f>
        <v/>
      </c>
      <c r="P135" s="9" t="str">
        <f>IF(D135=$P$3,1,"")</f>
        <v/>
      </c>
      <c r="Q135" s="9" t="str">
        <f>IF(D135=$Q$3,1,"")</f>
        <v/>
      </c>
      <c r="R135" s="9" t="str">
        <f>IF(D135=$R$3,1,"")</f>
        <v/>
      </c>
      <c r="S135" s="9" t="str">
        <f>IF(D135=$S$3,1,"")</f>
        <v/>
      </c>
      <c r="T135" s="9" t="str">
        <f>IF(D135=$T$3,1,"")</f>
        <v/>
      </c>
      <c r="U135" s="9">
        <f>IF(D135=$U$3,1,"")</f>
        <v>1</v>
      </c>
      <c r="V135" s="9" t="str">
        <f>IF(D135=$V$3,1,"")</f>
        <v/>
      </c>
      <c r="W135" s="9" t="str">
        <f>IF(D135=$W$3,1,"")</f>
        <v/>
      </c>
      <c r="X135" s="9" t="str">
        <f>IF(D135=$X$3,1,"")</f>
        <v/>
      </c>
      <c r="Y135" s="9" t="e">
        <f>IF(#REF!=$X$3,1,"")</f>
        <v>#REF!</v>
      </c>
      <c r="Z135" s="9" t="str">
        <f t="shared" si="18"/>
        <v/>
      </c>
      <c r="AA135" s="9" t="str">
        <f t="shared" si="19"/>
        <v/>
      </c>
      <c r="AB135" s="9" t="str">
        <f t="shared" si="20"/>
        <v/>
      </c>
      <c r="AC135" s="9" t="str">
        <f t="shared" si="21"/>
        <v/>
      </c>
      <c r="AD135" s="9" t="str">
        <f t="shared" si="22"/>
        <v/>
      </c>
    </row>
    <row r="136" spans="1:31" ht="21" customHeight="1" x14ac:dyDescent="0.3">
      <c r="A136" s="15">
        <f>IF(B136="","",A135+1)</f>
        <v>130</v>
      </c>
      <c r="B136" s="80" t="s">
        <v>296</v>
      </c>
      <c r="C136" s="20" t="str">
        <f t="shared" si="26"/>
        <v>vs</v>
      </c>
      <c r="D136" s="21" t="s">
        <v>16</v>
      </c>
      <c r="E136" s="20">
        <v>2015</v>
      </c>
      <c r="F136" s="18" t="s">
        <v>23</v>
      </c>
      <c r="G136" s="9"/>
      <c r="H136" s="19" t="s">
        <v>297</v>
      </c>
      <c r="M136" s="9" t="str">
        <f>IF(D136=$M$3,1,"")</f>
        <v/>
      </c>
      <c r="N136" s="9" t="str">
        <f>IF(D136=$N$3,1,"")</f>
        <v/>
      </c>
      <c r="O136" s="9" t="str">
        <f>IF(D136=$O$3,1,"")</f>
        <v/>
      </c>
      <c r="P136" s="9" t="str">
        <f>IF(D136=$P$3,1,"")</f>
        <v/>
      </c>
      <c r="Q136" s="9" t="str">
        <f>IF(D136=$Q$3,1,"")</f>
        <v/>
      </c>
      <c r="R136" s="9" t="str">
        <f>IF(D136=$R$3,1,"")</f>
        <v/>
      </c>
      <c r="S136" s="9" t="str">
        <f>IF(D136=$S$3,1,"")</f>
        <v/>
      </c>
      <c r="T136" s="9" t="str">
        <f>IF(D136=$T$3,1,"")</f>
        <v/>
      </c>
      <c r="U136" s="9">
        <f>IF(D136=$U$3,1,"")</f>
        <v>1</v>
      </c>
      <c r="V136" s="9" t="str">
        <f>IF(D136=$V$3,1,"")</f>
        <v/>
      </c>
      <c r="W136" s="9" t="str">
        <f>IF(D136=$W$3,1,"")</f>
        <v/>
      </c>
      <c r="X136" s="9" t="str">
        <f>IF(D136=$X$3,1,"")</f>
        <v/>
      </c>
      <c r="Y136" s="9" t="e">
        <f>IF(#REF!=$X$3,1,"")</f>
        <v>#REF!</v>
      </c>
      <c r="Z136" s="9" t="str">
        <f t="shared" si="18"/>
        <v/>
      </c>
      <c r="AA136" s="9" t="str">
        <f t="shared" si="19"/>
        <v/>
      </c>
      <c r="AB136" s="9" t="str">
        <f t="shared" si="20"/>
        <v/>
      </c>
      <c r="AC136" s="9" t="str">
        <f t="shared" si="21"/>
        <v/>
      </c>
      <c r="AD136" s="9" t="str">
        <f t="shared" si="22"/>
        <v/>
      </c>
    </row>
    <row r="137" spans="1:31" ht="21" customHeight="1" x14ac:dyDescent="0.3">
      <c r="A137" s="15">
        <f>IF(B137="","",A136+1)</f>
        <v>131</v>
      </c>
      <c r="B137" s="80" t="s">
        <v>298</v>
      </c>
      <c r="C137" s="20" t="str">
        <f t="shared" si="26"/>
        <v>vs</v>
      </c>
      <c r="D137" s="21" t="s">
        <v>11</v>
      </c>
      <c r="E137" s="20">
        <v>2015</v>
      </c>
      <c r="F137" s="18" t="s">
        <v>23</v>
      </c>
      <c r="G137" s="9"/>
      <c r="H137" s="19" t="s">
        <v>299</v>
      </c>
      <c r="M137" s="9" t="str">
        <f>IF(D137=$M$3,1,"")</f>
        <v/>
      </c>
      <c r="N137" s="9" t="str">
        <f>IF(D137=$N$3,1,"")</f>
        <v/>
      </c>
      <c r="O137" s="9" t="str">
        <f>IF(D137=$O$3,1,"")</f>
        <v/>
      </c>
      <c r="P137" s="9">
        <f>IF(D137=$P$3,1,"")</f>
        <v>1</v>
      </c>
      <c r="Q137" s="9" t="str">
        <f>IF(D137=$Q$3,1,"")</f>
        <v/>
      </c>
      <c r="R137" s="9" t="str">
        <f>IF(D137=$R$3,1,"")</f>
        <v/>
      </c>
      <c r="S137" s="9" t="str">
        <f>IF(D137=$S$3,1,"")</f>
        <v/>
      </c>
      <c r="T137" s="9" t="str">
        <f>IF(D137=$T$3,1,"")</f>
        <v/>
      </c>
      <c r="U137" s="9" t="str">
        <f>IF(D137=$U$3,1,"")</f>
        <v/>
      </c>
      <c r="V137" s="9" t="str">
        <f>IF(D137=$V$3,1,"")</f>
        <v/>
      </c>
      <c r="W137" s="9" t="str">
        <f>IF(D137=$W$3,1,"")</f>
        <v/>
      </c>
      <c r="X137" s="9" t="str">
        <f>IF(D137=$X$3,1,"")</f>
        <v/>
      </c>
      <c r="Y137" s="9" t="e">
        <f>IF(#REF!=$X$3,1,"")</f>
        <v>#REF!</v>
      </c>
      <c r="Z137" s="9" t="str">
        <f t="shared" si="18"/>
        <v/>
      </c>
      <c r="AA137" s="9" t="str">
        <f t="shared" si="19"/>
        <v/>
      </c>
      <c r="AB137" s="9" t="str">
        <f t="shared" si="20"/>
        <v/>
      </c>
      <c r="AC137" s="9" t="str">
        <f t="shared" si="21"/>
        <v/>
      </c>
      <c r="AD137" s="9" t="str">
        <f t="shared" si="22"/>
        <v/>
      </c>
    </row>
    <row r="138" spans="1:31" ht="21" customHeight="1" thickBot="1" x14ac:dyDescent="0.25">
      <c r="A138" s="22">
        <f>IF(B138="","",A137+1)</f>
        <v>132</v>
      </c>
      <c r="B138" s="81" t="s">
        <v>300</v>
      </c>
      <c r="C138" s="23" t="str">
        <f t="shared" si="26"/>
        <v>vs</v>
      </c>
      <c r="D138" s="10" t="s">
        <v>15</v>
      </c>
      <c r="E138" s="23">
        <v>2015</v>
      </c>
      <c r="F138" s="11" t="s">
        <v>23</v>
      </c>
      <c r="G138" s="9"/>
      <c r="H138" s="19" t="s">
        <v>301</v>
      </c>
      <c r="M138" s="9" t="str">
        <f>IF(D138=$M$3,1,"")</f>
        <v/>
      </c>
      <c r="N138" s="9" t="str">
        <f>IF(D138=$N$3,1,"")</f>
        <v/>
      </c>
      <c r="O138" s="9" t="str">
        <f>IF(D138=$O$3,1,"")</f>
        <v/>
      </c>
      <c r="P138" s="9" t="str">
        <f>IF(D138=$P$3,1,"")</f>
        <v/>
      </c>
      <c r="Q138" s="9" t="str">
        <f>IF(D138=$Q$3,1,"")</f>
        <v/>
      </c>
      <c r="R138" s="9" t="str">
        <f>IF(D138=$R$3,1,"")</f>
        <v/>
      </c>
      <c r="S138" s="9" t="str">
        <f>IF(D138=$S$3,1,"")</f>
        <v/>
      </c>
      <c r="T138" s="9">
        <f>IF(D138=$T$3,1,"")</f>
        <v>1</v>
      </c>
      <c r="U138" s="9" t="str">
        <f>IF(D138=$U$3,1,"")</f>
        <v/>
      </c>
      <c r="V138" s="9" t="str">
        <f>IF(D138=$V$3,1,"")</f>
        <v/>
      </c>
      <c r="W138" s="9" t="str">
        <f>IF(D138=$W$3,1,"")</f>
        <v/>
      </c>
      <c r="X138" s="9" t="str">
        <f>IF(D138=$X$3,1,"")</f>
        <v/>
      </c>
      <c r="Y138" s="9" t="e">
        <f>IF(#REF!=$X$3,1,"")</f>
        <v>#REF!</v>
      </c>
      <c r="Z138" s="9" t="str">
        <f t="shared" si="18"/>
        <v/>
      </c>
      <c r="AA138" s="9" t="str">
        <f t="shared" si="19"/>
        <v/>
      </c>
      <c r="AB138" s="9" t="str">
        <f t="shared" si="20"/>
        <v/>
      </c>
      <c r="AC138" s="9" t="str">
        <f t="shared" si="21"/>
        <v/>
      </c>
      <c r="AD138" s="9" t="str">
        <f t="shared" si="22"/>
        <v/>
      </c>
    </row>
    <row r="139" spans="1:31" ht="21" customHeight="1" x14ac:dyDescent="0.3">
      <c r="A139" s="56">
        <f t="shared" ref="A139:A201" si="27">IF(B139="","",A138+1)</f>
        <v>133</v>
      </c>
      <c r="B139" s="82" t="s">
        <v>302</v>
      </c>
      <c r="C139" s="27" t="str">
        <f t="shared" si="26"/>
        <v>vs</v>
      </c>
      <c r="D139" s="115" t="s">
        <v>61</v>
      </c>
      <c r="E139" s="27">
        <v>2016</v>
      </c>
      <c r="F139" s="103" t="s">
        <v>33</v>
      </c>
      <c r="G139" s="9"/>
      <c r="H139" s="19" t="s">
        <v>303</v>
      </c>
      <c r="M139" s="9" t="str">
        <f>IF(D139=$M$3,1,"")</f>
        <v/>
      </c>
      <c r="N139" s="9" t="str">
        <f>IF(D139=$N$3,1,"")</f>
        <v/>
      </c>
      <c r="O139" s="9" t="str">
        <f>IF(D139=$O$3,1,"")</f>
        <v/>
      </c>
      <c r="P139" s="9" t="str">
        <f>IF(D139=$P$3,1,"")</f>
        <v/>
      </c>
      <c r="Q139" s="9" t="str">
        <f>IF(D139=$Q$3,1,"")</f>
        <v/>
      </c>
      <c r="R139" s="9" t="str">
        <f>IF(D139=$R$3,1,"")</f>
        <v/>
      </c>
      <c r="S139" s="9" t="str">
        <f>IF(D139=$S$3,1,"")</f>
        <v/>
      </c>
      <c r="T139" s="9" t="str">
        <f>IF(D139=$T$3,1,"")</f>
        <v/>
      </c>
      <c r="U139" s="9" t="str">
        <f>IF(D139=$U$3,1,"")</f>
        <v/>
      </c>
      <c r="V139" s="9" t="str">
        <f>IF(D139=$V$3,1,"")</f>
        <v/>
      </c>
      <c r="W139" s="9" t="str">
        <f>IF(D139=$W$3,1,"")</f>
        <v/>
      </c>
      <c r="X139" s="9" t="str">
        <f>IF(D139=$X$3,1,"")</f>
        <v/>
      </c>
      <c r="Y139" s="9" t="e">
        <f>IF(#REF!=$X$3,1,"")</f>
        <v>#REF!</v>
      </c>
      <c r="Z139" s="9" t="str">
        <f t="shared" si="18"/>
        <v/>
      </c>
      <c r="AA139" s="9" t="str">
        <f t="shared" si="19"/>
        <v/>
      </c>
      <c r="AB139" s="9" t="str">
        <f t="shared" si="20"/>
        <v/>
      </c>
      <c r="AC139" s="9" t="str">
        <f t="shared" si="21"/>
        <v/>
      </c>
      <c r="AD139" s="9" t="str">
        <f t="shared" si="22"/>
        <v/>
      </c>
    </row>
    <row r="140" spans="1:31" ht="39.75" customHeight="1" x14ac:dyDescent="0.3">
      <c r="A140" s="15">
        <f t="shared" si="27"/>
        <v>134</v>
      </c>
      <c r="B140" s="83" t="s">
        <v>304</v>
      </c>
      <c r="C140" s="20" t="str">
        <f t="shared" si="26"/>
        <v>vs</v>
      </c>
      <c r="D140" s="21" t="s">
        <v>176</v>
      </c>
      <c r="E140" s="20">
        <v>2016</v>
      </c>
      <c r="F140" s="18" t="s">
        <v>23</v>
      </c>
      <c r="G140" s="9"/>
      <c r="H140" s="19" t="s">
        <v>305</v>
      </c>
      <c r="M140" s="9" t="str">
        <f>IF(D140=$M$3,1,"")</f>
        <v/>
      </c>
      <c r="N140" s="9" t="str">
        <f>IF(D140=$N$3,1,"")</f>
        <v/>
      </c>
      <c r="O140" s="9" t="str">
        <f>IF(D140=$O$3,1,"")</f>
        <v/>
      </c>
      <c r="P140" s="9" t="str">
        <f>IF(D140=$P$3,1,"")</f>
        <v/>
      </c>
      <c r="Q140" s="9" t="str">
        <f>IF(D140=$Q$3,1,"")</f>
        <v/>
      </c>
      <c r="R140" s="9" t="str">
        <f>IF(D140=$R$3,1,"")</f>
        <v/>
      </c>
      <c r="S140" s="9" t="str">
        <f>IF(D140=$S$3,1,"")</f>
        <v/>
      </c>
      <c r="T140" s="9" t="str">
        <f>IF(D140=$T$3,1,"")</f>
        <v/>
      </c>
      <c r="U140" s="9" t="str">
        <f>IF(D140=$U$3,1,"")</f>
        <v/>
      </c>
      <c r="V140" s="9" t="str">
        <f>IF(D140=$V$3,1,"")</f>
        <v/>
      </c>
      <c r="W140" s="9" t="str">
        <f>IF(D140=$W$3,1,"")</f>
        <v/>
      </c>
      <c r="X140" s="9" t="str">
        <f>IF(D140=$X$3,1,"")</f>
        <v/>
      </c>
      <c r="Y140" s="9" t="e">
        <f>IF(#REF!=$X$3,1,"")</f>
        <v>#REF!</v>
      </c>
      <c r="Z140" s="9" t="str">
        <f t="shared" si="18"/>
        <v/>
      </c>
      <c r="AA140" s="9" t="str">
        <f t="shared" si="19"/>
        <v/>
      </c>
      <c r="AB140" s="9" t="str">
        <f t="shared" si="20"/>
        <v/>
      </c>
      <c r="AC140" s="9" t="str">
        <f t="shared" si="21"/>
        <v/>
      </c>
      <c r="AD140" s="9" t="str">
        <f t="shared" si="22"/>
        <v/>
      </c>
    </row>
    <row r="141" spans="1:31" ht="21" customHeight="1" x14ac:dyDescent="0.3">
      <c r="A141" s="15">
        <f t="shared" si="27"/>
        <v>135</v>
      </c>
      <c r="B141" s="80" t="s">
        <v>306</v>
      </c>
      <c r="C141" s="20" t="str">
        <f t="shared" si="26"/>
        <v>vs</v>
      </c>
      <c r="D141" s="21" t="s">
        <v>61</v>
      </c>
      <c r="E141" s="20">
        <v>2016</v>
      </c>
      <c r="F141" s="18" t="s">
        <v>23</v>
      </c>
      <c r="G141" s="9" t="s">
        <v>307</v>
      </c>
      <c r="H141" s="19" t="s">
        <v>308</v>
      </c>
      <c r="M141" s="9" t="str">
        <f>IF(D141=$M$3,1,"")</f>
        <v/>
      </c>
      <c r="N141" s="9" t="str">
        <f>IF(D141=$N$3,1,"")</f>
        <v/>
      </c>
      <c r="O141" s="9" t="str">
        <f>IF(D141=$O$3,1,"")</f>
        <v/>
      </c>
      <c r="P141" s="9" t="str">
        <f>IF(D141=$P$3,1,"")</f>
        <v/>
      </c>
      <c r="Q141" s="9" t="str">
        <f>IF(D141=$Q$3,1,"")</f>
        <v/>
      </c>
      <c r="R141" s="9" t="str">
        <f>IF(D141=$R$3,1,"")</f>
        <v/>
      </c>
      <c r="S141" s="9" t="str">
        <f>IF(D141=$S$3,1,"")</f>
        <v/>
      </c>
      <c r="T141" s="9" t="str">
        <f>IF(D141=$T$3,1,"")</f>
        <v/>
      </c>
      <c r="U141" s="9" t="str">
        <f>IF(D141=$U$3,1,"")</f>
        <v/>
      </c>
      <c r="V141" s="9" t="str">
        <f>IF(D141=$V$3,1,"")</f>
        <v/>
      </c>
      <c r="W141" s="9" t="str">
        <f>IF(D141=$W$3,1,"")</f>
        <v/>
      </c>
      <c r="X141" s="9" t="str">
        <f>IF(D141=$X$3,1,"")</f>
        <v/>
      </c>
      <c r="Y141" s="9" t="e">
        <f>IF(#REF!=$X$3,1,"")</f>
        <v>#REF!</v>
      </c>
      <c r="Z141" s="9" t="str">
        <f t="shared" si="18"/>
        <v/>
      </c>
      <c r="AA141" s="9" t="str">
        <f t="shared" si="19"/>
        <v/>
      </c>
      <c r="AB141" s="9" t="str">
        <f t="shared" si="20"/>
        <v/>
      </c>
      <c r="AC141" s="9" t="str">
        <f t="shared" si="21"/>
        <v/>
      </c>
      <c r="AD141" s="9" t="str">
        <f t="shared" si="22"/>
        <v/>
      </c>
    </row>
    <row r="142" spans="1:31" ht="21" customHeight="1" x14ac:dyDescent="0.3">
      <c r="A142" s="15">
        <f t="shared" si="27"/>
        <v>136</v>
      </c>
      <c r="B142" s="80" t="s">
        <v>309</v>
      </c>
      <c r="C142" s="20" t="str">
        <f t="shared" si="26"/>
        <v>vs</v>
      </c>
      <c r="D142" s="21" t="s">
        <v>310</v>
      </c>
      <c r="E142" s="20">
        <v>2016</v>
      </c>
      <c r="F142" s="18" t="s">
        <v>23</v>
      </c>
      <c r="G142" s="9" t="s">
        <v>173</v>
      </c>
      <c r="H142" s="19" t="s">
        <v>311</v>
      </c>
      <c r="M142" s="9" t="str">
        <f>IF(D142=$M$3,1,"")</f>
        <v/>
      </c>
      <c r="N142" s="9" t="str">
        <f>IF(D142=$N$3,1,"")</f>
        <v/>
      </c>
      <c r="O142" s="9" t="str">
        <f>IF(D142=$O$3,1,"")</f>
        <v/>
      </c>
      <c r="P142" s="9" t="str">
        <f>IF(D142=$P$3,1,"")</f>
        <v/>
      </c>
      <c r="Q142" s="9" t="str">
        <f>IF(D142=$Q$3,1,"")</f>
        <v/>
      </c>
      <c r="R142" s="9" t="str">
        <f>IF(D142=$R$3,1,"")</f>
        <v/>
      </c>
      <c r="S142" s="9" t="str">
        <f>IF(D142=$S$3,1,"")</f>
        <v/>
      </c>
      <c r="T142" s="9" t="str">
        <f>IF(D142=$T$3,1,"")</f>
        <v/>
      </c>
      <c r="U142" s="9" t="str">
        <f>IF(D142=$U$3,1,"")</f>
        <v/>
      </c>
      <c r="V142" s="9" t="str">
        <f>IF(D142=$V$3,1,"")</f>
        <v/>
      </c>
      <c r="W142" s="9" t="str">
        <f>IF(D142=$W$3,1,"")</f>
        <v/>
      </c>
      <c r="X142" s="9" t="str">
        <f>IF(D142=$X$3,1,"")</f>
        <v/>
      </c>
      <c r="Y142" s="9" t="e">
        <f>IF(#REF!=$X$3,1,"")</f>
        <v>#REF!</v>
      </c>
      <c r="Z142" s="9" t="str">
        <f t="shared" si="18"/>
        <v/>
      </c>
      <c r="AA142" s="9" t="str">
        <f t="shared" si="19"/>
        <v/>
      </c>
      <c r="AB142" s="9" t="str">
        <f t="shared" si="20"/>
        <v/>
      </c>
      <c r="AC142" s="9" t="str">
        <f t="shared" si="21"/>
        <v/>
      </c>
      <c r="AD142" s="9" t="str">
        <f t="shared" si="22"/>
        <v/>
      </c>
    </row>
    <row r="143" spans="1:31" ht="35.25" customHeight="1" x14ac:dyDescent="0.2">
      <c r="A143" s="15">
        <f t="shared" si="27"/>
        <v>137</v>
      </c>
      <c r="B143" s="84" t="s">
        <v>312</v>
      </c>
      <c r="C143" s="20" t="str">
        <f t="shared" si="26"/>
        <v>vs</v>
      </c>
      <c r="D143" s="21" t="s">
        <v>15</v>
      </c>
      <c r="E143" s="20">
        <v>2016</v>
      </c>
      <c r="F143" s="18" t="s">
        <v>33</v>
      </c>
      <c r="G143" s="9"/>
      <c r="H143" s="122" t="s">
        <v>313</v>
      </c>
      <c r="M143" s="9" t="str">
        <f>IF(D143=$M$3,1,"")</f>
        <v/>
      </c>
      <c r="N143" s="9" t="str">
        <f>IF(D143=$N$3,1,"")</f>
        <v/>
      </c>
      <c r="O143" s="9" t="str">
        <f>IF(D143=$O$3,1,"")</f>
        <v/>
      </c>
      <c r="P143" s="9" t="str">
        <f>IF(D143=$P$3,1,"")</f>
        <v/>
      </c>
      <c r="Q143" s="9" t="str">
        <f>IF(D143=$Q$3,1,"")</f>
        <v/>
      </c>
      <c r="R143" s="9" t="str">
        <f>IF(D143=$R$3,1,"")</f>
        <v/>
      </c>
      <c r="S143" s="9" t="str">
        <f>IF(D143=$S$3,1,"")</f>
        <v/>
      </c>
      <c r="T143" s="9">
        <f>IF(D143=$T$3,1,"")</f>
        <v>1</v>
      </c>
      <c r="U143" s="9" t="str">
        <f>IF(D143=$U$3,1,"")</f>
        <v/>
      </c>
      <c r="V143" s="9" t="str">
        <f>IF(D143=$V$3,1,"")</f>
        <v/>
      </c>
      <c r="W143" s="9" t="str">
        <f>IF(D143=$W$3,1,"")</f>
        <v/>
      </c>
      <c r="X143" s="9" t="str">
        <f>IF(D143=$X$3,1,"")</f>
        <v/>
      </c>
      <c r="Y143" s="9" t="e">
        <f>IF(#REF!=$X$3,1,"")</f>
        <v>#REF!</v>
      </c>
      <c r="Z143" s="9" t="str">
        <f t="shared" si="18"/>
        <v/>
      </c>
      <c r="AA143" s="9" t="str">
        <f t="shared" si="19"/>
        <v/>
      </c>
      <c r="AB143" s="9" t="str">
        <f t="shared" si="20"/>
        <v/>
      </c>
      <c r="AC143" s="9" t="str">
        <f t="shared" si="21"/>
        <v/>
      </c>
      <c r="AD143" s="9" t="str">
        <f t="shared" si="22"/>
        <v/>
      </c>
    </row>
    <row r="144" spans="1:31" s="41" customFormat="1" ht="21" customHeight="1" x14ac:dyDescent="0.2">
      <c r="A144" s="85">
        <f t="shared" si="27"/>
        <v>138</v>
      </c>
      <c r="B144" s="86" t="s">
        <v>314</v>
      </c>
      <c r="C144" s="50" t="str">
        <f t="shared" si="26"/>
        <v>vs</v>
      </c>
      <c r="D144" s="51" t="s">
        <v>9</v>
      </c>
      <c r="E144" s="50">
        <v>2016</v>
      </c>
      <c r="F144" s="18" t="s">
        <v>52</v>
      </c>
      <c r="G144" s="42"/>
      <c r="H144" s="40" t="s">
        <v>315</v>
      </c>
      <c r="I144" s="41" t="s">
        <v>316</v>
      </c>
      <c r="M144" s="9" t="str">
        <f>IF(D144=$M$3,1,"")</f>
        <v/>
      </c>
      <c r="N144" s="9">
        <f>IF(D144=$N$3,1,"")</f>
        <v>1</v>
      </c>
      <c r="O144" s="9" t="str">
        <f>IF(D144=$O$3,1,"")</f>
        <v/>
      </c>
      <c r="P144" s="9" t="str">
        <f>IF(D144=$P$3,1,"")</f>
        <v/>
      </c>
      <c r="Q144" s="9" t="str">
        <f>IF(D144=$Q$3,1,"")</f>
        <v/>
      </c>
      <c r="R144" s="9" t="str">
        <f>IF(D144=$R$3,1,"")</f>
        <v/>
      </c>
      <c r="S144" s="9" t="str">
        <f>IF(D144=$S$3,1,"")</f>
        <v/>
      </c>
      <c r="T144" s="9" t="str">
        <f>IF(D144=$T$3,1,"")</f>
        <v/>
      </c>
      <c r="U144" s="9" t="str">
        <f>IF(D144=$U$3,1,"")</f>
        <v/>
      </c>
      <c r="V144" s="9" t="str">
        <f>IF(D144=$V$3,1,"")</f>
        <v/>
      </c>
      <c r="W144" s="9" t="str">
        <f>IF(D144=$W$3,1,"")</f>
        <v/>
      </c>
      <c r="X144" s="9" t="str">
        <f>IF(D144=$X$3,1,"")</f>
        <v/>
      </c>
      <c r="Y144" s="9" t="e">
        <f>IF(#REF!=$X$3,1,"")</f>
        <v>#REF!</v>
      </c>
      <c r="Z144" s="9" t="str">
        <f t="shared" si="18"/>
        <v/>
      </c>
      <c r="AA144" s="9" t="str">
        <f t="shared" si="19"/>
        <v/>
      </c>
      <c r="AB144" s="9" t="str">
        <f t="shared" si="20"/>
        <v/>
      </c>
      <c r="AC144" s="9" t="str">
        <f t="shared" si="21"/>
        <v/>
      </c>
      <c r="AD144" s="9" t="str">
        <f t="shared" si="22"/>
        <v/>
      </c>
      <c r="AE144" s="7"/>
    </row>
    <row r="145" spans="1:30" ht="33.75" customHeight="1" x14ac:dyDescent="0.2">
      <c r="A145" s="15">
        <f t="shared" si="27"/>
        <v>139</v>
      </c>
      <c r="B145" s="52" t="s">
        <v>317</v>
      </c>
      <c r="C145" s="20" t="str">
        <f t="shared" si="26"/>
        <v>vs</v>
      </c>
      <c r="D145" s="21" t="s">
        <v>61</v>
      </c>
      <c r="E145" s="20">
        <v>2016</v>
      </c>
      <c r="F145" s="18" t="s">
        <v>33</v>
      </c>
      <c r="G145" s="9"/>
      <c r="H145" s="19" t="s">
        <v>318</v>
      </c>
      <c r="M145" s="9" t="str">
        <f>IF(D145=$M$3,1,"")</f>
        <v/>
      </c>
      <c r="N145" s="9" t="str">
        <f>IF(D145=$N$3,1,"")</f>
        <v/>
      </c>
      <c r="O145" s="9" t="str">
        <f>IF(D145=$O$3,1,"")</f>
        <v/>
      </c>
      <c r="P145" s="9" t="str">
        <f>IF(D145=$P$3,1,"")</f>
        <v/>
      </c>
      <c r="Q145" s="9" t="str">
        <f>IF(D145=$Q$3,1,"")</f>
        <v/>
      </c>
      <c r="R145" s="9" t="str">
        <f>IF(D145=$R$3,1,"")</f>
        <v/>
      </c>
      <c r="S145" s="9" t="str">
        <f>IF(D145=$S$3,1,"")</f>
        <v/>
      </c>
      <c r="T145" s="9" t="str">
        <f>IF(D145=$T$3,1,"")</f>
        <v/>
      </c>
      <c r="U145" s="9" t="str">
        <f>IF(D145=$U$3,1,"")</f>
        <v/>
      </c>
      <c r="V145" s="9" t="str">
        <f>IF(D145=$V$3,1,"")</f>
        <v/>
      </c>
      <c r="W145" s="9" t="str">
        <f>IF(D145=$W$3,1,"")</f>
        <v/>
      </c>
      <c r="X145" s="9" t="str">
        <f>IF(D145=$X$3,1,"")</f>
        <v/>
      </c>
      <c r="Y145" s="9" t="e">
        <f>IF(#REF!=$X$3,1,"")</f>
        <v>#REF!</v>
      </c>
      <c r="Z145" s="9" t="str">
        <f t="shared" si="18"/>
        <v/>
      </c>
      <c r="AA145" s="9" t="str">
        <f t="shared" si="19"/>
        <v/>
      </c>
      <c r="AB145" s="9" t="str">
        <f t="shared" si="20"/>
        <v/>
      </c>
      <c r="AC145" s="9" t="str">
        <f t="shared" si="21"/>
        <v/>
      </c>
      <c r="AD145" s="9" t="str">
        <f t="shared" si="22"/>
        <v/>
      </c>
    </row>
    <row r="146" spans="1:30" ht="21" customHeight="1" x14ac:dyDescent="0.2">
      <c r="A146" s="15">
        <f t="shared" si="27"/>
        <v>140</v>
      </c>
      <c r="B146" s="34" t="s">
        <v>319</v>
      </c>
      <c r="C146" s="20" t="str">
        <f t="shared" si="26"/>
        <v>vs</v>
      </c>
      <c r="D146" s="21" t="s">
        <v>176</v>
      </c>
      <c r="E146" s="20">
        <v>2016</v>
      </c>
      <c r="F146" s="18" t="s">
        <v>23</v>
      </c>
      <c r="G146" s="9" t="s">
        <v>320</v>
      </c>
      <c r="H146" s="19" t="s">
        <v>321</v>
      </c>
      <c r="M146" s="9" t="str">
        <f>IF(D146=$M$3,1,"")</f>
        <v/>
      </c>
      <c r="N146" s="9" t="str">
        <f>IF(D146=$N$3,1,"")</f>
        <v/>
      </c>
      <c r="O146" s="9" t="str">
        <f>IF(D146=$O$3,1,"")</f>
        <v/>
      </c>
      <c r="P146" s="9" t="str">
        <f>IF(D146=$P$3,1,"")</f>
        <v/>
      </c>
      <c r="Q146" s="9" t="str">
        <f>IF(D146=$Q$3,1,"")</f>
        <v/>
      </c>
      <c r="R146" s="9" t="str">
        <f>IF(D146=$R$3,1,"")</f>
        <v/>
      </c>
      <c r="S146" s="9" t="str">
        <f>IF(D146=$S$3,1,"")</f>
        <v/>
      </c>
      <c r="T146" s="9" t="str">
        <f>IF(D146=$T$3,1,"")</f>
        <v/>
      </c>
      <c r="U146" s="9" t="str">
        <f>IF(D146=$U$3,1,"")</f>
        <v/>
      </c>
      <c r="V146" s="9" t="str">
        <f>IF(D146=$V$3,1,"")</f>
        <v/>
      </c>
      <c r="W146" s="9" t="str">
        <f>IF(D146=$W$3,1,"")</f>
        <v/>
      </c>
      <c r="X146" s="9" t="str">
        <f>IF(D146=$X$3,1,"")</f>
        <v/>
      </c>
      <c r="Y146" s="9" t="e">
        <f>IF(#REF!=$X$3,1,"")</f>
        <v>#REF!</v>
      </c>
      <c r="Z146" s="9" t="str">
        <f t="shared" si="18"/>
        <v/>
      </c>
      <c r="AA146" s="9" t="str">
        <f t="shared" si="19"/>
        <v/>
      </c>
      <c r="AB146" s="9" t="str">
        <f t="shared" si="20"/>
        <v/>
      </c>
      <c r="AC146" s="9" t="str">
        <f t="shared" si="21"/>
        <v/>
      </c>
      <c r="AD146" s="9" t="str">
        <f t="shared" si="22"/>
        <v/>
      </c>
    </row>
    <row r="147" spans="1:30" ht="41.25" customHeight="1" x14ac:dyDescent="0.2">
      <c r="A147" s="15">
        <f t="shared" si="27"/>
        <v>141</v>
      </c>
      <c r="B147" s="34" t="s">
        <v>295</v>
      </c>
      <c r="C147" s="20" t="str">
        <f t="shared" si="26"/>
        <v>vs</v>
      </c>
      <c r="D147" s="21" t="s">
        <v>16</v>
      </c>
      <c r="E147" s="20">
        <v>2016</v>
      </c>
      <c r="F147" s="18" t="s">
        <v>23</v>
      </c>
      <c r="G147" s="9" t="s">
        <v>322</v>
      </c>
      <c r="H147" s="19" t="s">
        <v>323</v>
      </c>
      <c r="M147" s="9" t="str">
        <f>IF(D147=$M$3,1,"")</f>
        <v/>
      </c>
      <c r="N147" s="9" t="str">
        <f>IF(D147=$N$3,1,"")</f>
        <v/>
      </c>
      <c r="O147" s="9" t="str">
        <f>IF(D147=$O$3,1,"")</f>
        <v/>
      </c>
      <c r="P147" s="9" t="str">
        <f>IF(D147=$P$3,1,"")</f>
        <v/>
      </c>
      <c r="Q147" s="9" t="str">
        <f>IF(D147=$Q$3,1,"")</f>
        <v/>
      </c>
      <c r="R147" s="9" t="str">
        <f>IF(D147=$R$3,1,"")</f>
        <v/>
      </c>
      <c r="S147" s="9" t="str">
        <f>IF(D147=$S$3,1,"")</f>
        <v/>
      </c>
      <c r="T147" s="9" t="str">
        <f>IF(D147=$T$3,1,"")</f>
        <v/>
      </c>
      <c r="U147" s="9">
        <f>IF(D147=$U$3,1,"")</f>
        <v>1</v>
      </c>
      <c r="V147" s="9" t="str">
        <f>IF(D147=$V$3,1,"")</f>
        <v/>
      </c>
      <c r="W147" s="9" t="str">
        <f>IF(D147=$W$3,1,"")</f>
        <v/>
      </c>
      <c r="X147" s="9" t="str">
        <f>IF(D147=$X$3,1,"")</f>
        <v/>
      </c>
      <c r="Y147" s="9" t="e">
        <f>IF(#REF!=$X$3,1,"")</f>
        <v>#REF!</v>
      </c>
      <c r="Z147" s="9" t="str">
        <f t="shared" si="18"/>
        <v/>
      </c>
      <c r="AA147" s="9" t="str">
        <f t="shared" si="19"/>
        <v/>
      </c>
      <c r="AB147" s="9" t="str">
        <f t="shared" si="20"/>
        <v/>
      </c>
      <c r="AC147" s="9" t="str">
        <f t="shared" si="21"/>
        <v/>
      </c>
      <c r="AD147" s="9" t="str">
        <f t="shared" si="22"/>
        <v/>
      </c>
    </row>
    <row r="148" spans="1:30" ht="21" customHeight="1" x14ac:dyDescent="0.2">
      <c r="A148" s="15">
        <f t="shared" si="27"/>
        <v>142</v>
      </c>
      <c r="B148" s="34" t="s">
        <v>324</v>
      </c>
      <c r="C148" s="20" t="str">
        <f t="shared" si="26"/>
        <v>vs</v>
      </c>
      <c r="D148" s="21" t="s">
        <v>16</v>
      </c>
      <c r="E148" s="20">
        <v>2017</v>
      </c>
      <c r="F148" s="18" t="s">
        <v>23</v>
      </c>
      <c r="G148" s="9" t="s">
        <v>325</v>
      </c>
      <c r="H148" s="19" t="s">
        <v>326</v>
      </c>
      <c r="M148" s="9" t="str">
        <f>IF(D148=$M$3,1,"")</f>
        <v/>
      </c>
      <c r="N148" s="9" t="str">
        <f>IF(D148=$N$3,1,"")</f>
        <v/>
      </c>
      <c r="O148" s="9" t="str">
        <f>IF(D148=$O$3,1,"")</f>
        <v/>
      </c>
      <c r="P148" s="9" t="str">
        <f>IF(D148=$P$3,1,"")</f>
        <v/>
      </c>
      <c r="Q148" s="9" t="str">
        <f>IF(D148=$Q$3,1,"")</f>
        <v/>
      </c>
      <c r="R148" s="9" t="str">
        <f>IF(D148=$R$3,1,"")</f>
        <v/>
      </c>
      <c r="S148" s="9" t="str">
        <f>IF(D148=$S$3,1,"")</f>
        <v/>
      </c>
      <c r="T148" s="9" t="str">
        <f>IF(D148=$T$3,1,"")</f>
        <v/>
      </c>
      <c r="U148" s="9">
        <f>IF(D148=$U$3,1,"")</f>
        <v>1</v>
      </c>
      <c r="V148" s="9" t="str">
        <f>IF(D148=$V$3,1,"")</f>
        <v/>
      </c>
      <c r="W148" s="9" t="str">
        <f>IF(D148=$W$3,1,"")</f>
        <v/>
      </c>
      <c r="X148" s="9" t="str">
        <f>IF(D148=$X$3,1,"")</f>
        <v/>
      </c>
      <c r="Y148" s="9" t="e">
        <f>IF(#REF!=$X$3,1,"")</f>
        <v>#REF!</v>
      </c>
      <c r="Z148" s="9" t="str">
        <f t="shared" ref="Z148:Z211" si="28">IF(F148=$Z$3,1,"")</f>
        <v/>
      </c>
      <c r="AA148" s="9" t="str">
        <f t="shared" ref="AA148:AA211" si="29">IF(F148=$AA$3,1,"")</f>
        <v/>
      </c>
      <c r="AB148" s="9" t="str">
        <f t="shared" ref="AB148:AB211" si="30">IF(F148=$AB$3,1,"")</f>
        <v/>
      </c>
      <c r="AC148" s="9" t="str">
        <f t="shared" ref="AC148:AC211" si="31">IF(F148=$AC$3,1,"")</f>
        <v/>
      </c>
      <c r="AD148" s="9" t="str">
        <f t="shared" ref="AD148:AD211" si="32">IF(F148=$AE$3,1,"")</f>
        <v/>
      </c>
    </row>
    <row r="149" spans="1:30" ht="21" customHeight="1" x14ac:dyDescent="0.2">
      <c r="A149" s="15">
        <f t="shared" si="27"/>
        <v>143</v>
      </c>
      <c r="B149" s="34" t="s">
        <v>327</v>
      </c>
      <c r="C149" s="20" t="str">
        <f t="shared" si="26"/>
        <v>vs</v>
      </c>
      <c r="D149" s="21" t="s">
        <v>16</v>
      </c>
      <c r="E149" s="20">
        <v>2017</v>
      </c>
      <c r="F149" s="18" t="s">
        <v>23</v>
      </c>
      <c r="G149" s="9" t="s">
        <v>328</v>
      </c>
      <c r="H149" s="19" t="s">
        <v>329</v>
      </c>
      <c r="M149" s="9" t="str">
        <f>IF(D149=$M$3,1,"")</f>
        <v/>
      </c>
      <c r="N149" s="9" t="str">
        <f>IF(D149=$N$3,1,"")</f>
        <v/>
      </c>
      <c r="O149" s="9" t="str">
        <f>IF(D149=$O$3,1,"")</f>
        <v/>
      </c>
      <c r="P149" s="9" t="str">
        <f>IF(D149=$P$3,1,"")</f>
        <v/>
      </c>
      <c r="Q149" s="9" t="str">
        <f>IF(D149=$Q$3,1,"")</f>
        <v/>
      </c>
      <c r="R149" s="9" t="str">
        <f>IF(D149=$R$3,1,"")</f>
        <v/>
      </c>
      <c r="S149" s="9" t="str">
        <f>IF(D149=$S$3,1,"")</f>
        <v/>
      </c>
      <c r="T149" s="9" t="str">
        <f>IF(D149=$T$3,1,"")</f>
        <v/>
      </c>
      <c r="U149" s="9">
        <f>IF(D149=$U$3,1,"")</f>
        <v>1</v>
      </c>
      <c r="V149" s="9" t="str">
        <f>IF(D149=$V$3,1,"")</f>
        <v/>
      </c>
      <c r="W149" s="9" t="str">
        <f>IF(D149=$W$3,1,"")</f>
        <v/>
      </c>
      <c r="X149" s="9" t="str">
        <f>IF(D149=$X$3,1,"")</f>
        <v/>
      </c>
      <c r="Y149" s="9" t="e">
        <f>IF(#REF!=$X$3,1,"")</f>
        <v>#REF!</v>
      </c>
      <c r="Z149" s="9" t="str">
        <f t="shared" si="28"/>
        <v/>
      </c>
      <c r="AA149" s="9" t="str">
        <f t="shared" si="29"/>
        <v/>
      </c>
      <c r="AB149" s="9" t="str">
        <f t="shared" si="30"/>
        <v/>
      </c>
      <c r="AC149" s="9" t="str">
        <f t="shared" si="31"/>
        <v/>
      </c>
      <c r="AD149" s="9" t="str">
        <f t="shared" si="32"/>
        <v/>
      </c>
    </row>
    <row r="150" spans="1:30" ht="21" customHeight="1" x14ac:dyDescent="0.2">
      <c r="A150" s="15">
        <f t="shared" si="27"/>
        <v>144</v>
      </c>
      <c r="B150" s="34" t="s">
        <v>330</v>
      </c>
      <c r="C150" s="20" t="str">
        <f t="shared" si="26"/>
        <v>vs</v>
      </c>
      <c r="D150" s="21" t="s">
        <v>16</v>
      </c>
      <c r="E150" s="20">
        <v>2017</v>
      </c>
      <c r="F150" s="18" t="s">
        <v>23</v>
      </c>
      <c r="G150" s="9" t="s">
        <v>328</v>
      </c>
      <c r="H150" s="19" t="s">
        <v>331</v>
      </c>
      <c r="M150" s="9" t="str">
        <f>IF(D150=$M$3,1,"")</f>
        <v/>
      </c>
      <c r="N150" s="9" t="str">
        <f>IF(D150=$N$3,1,"")</f>
        <v/>
      </c>
      <c r="O150" s="9" t="str">
        <f>IF(D150=$O$3,1,"")</f>
        <v/>
      </c>
      <c r="P150" s="9" t="str">
        <f>IF(D150=$P$3,1,"")</f>
        <v/>
      </c>
      <c r="Q150" s="9" t="str">
        <f>IF(D150=$Q$3,1,"")</f>
        <v/>
      </c>
      <c r="R150" s="9" t="str">
        <f>IF(D150=$R$3,1,"")</f>
        <v/>
      </c>
      <c r="S150" s="9" t="str">
        <f>IF(D150=$S$3,1,"")</f>
        <v/>
      </c>
      <c r="T150" s="9" t="str">
        <f>IF(D150=$T$3,1,"")</f>
        <v/>
      </c>
      <c r="U150" s="9">
        <f>IF(D150=$U$3,1,"")</f>
        <v>1</v>
      </c>
      <c r="V150" s="9" t="str">
        <f>IF(D150=$V$3,1,"")</f>
        <v/>
      </c>
      <c r="W150" s="9" t="str">
        <f>IF(D150=$W$3,1,"")</f>
        <v/>
      </c>
      <c r="X150" s="9" t="str">
        <f>IF(D150=$X$3,1,"")</f>
        <v/>
      </c>
      <c r="Y150" s="9" t="e">
        <f>IF(#REF!=$X$3,1,"")</f>
        <v>#REF!</v>
      </c>
      <c r="Z150" s="9" t="str">
        <f t="shared" si="28"/>
        <v/>
      </c>
      <c r="AA150" s="9" t="str">
        <f t="shared" si="29"/>
        <v/>
      </c>
      <c r="AB150" s="9" t="str">
        <f t="shared" si="30"/>
        <v/>
      </c>
      <c r="AC150" s="9" t="str">
        <f t="shared" si="31"/>
        <v/>
      </c>
      <c r="AD150" s="9" t="str">
        <f t="shared" si="32"/>
        <v/>
      </c>
    </row>
    <row r="151" spans="1:30" ht="21" customHeight="1" x14ac:dyDescent="0.2">
      <c r="A151" s="15">
        <f t="shared" si="27"/>
        <v>145</v>
      </c>
      <c r="B151" s="34" t="s">
        <v>332</v>
      </c>
      <c r="C151" s="20" t="str">
        <f t="shared" si="26"/>
        <v>vs</v>
      </c>
      <c r="D151" s="21" t="s">
        <v>176</v>
      </c>
      <c r="E151" s="20">
        <v>2017</v>
      </c>
      <c r="F151" s="18" t="s">
        <v>23</v>
      </c>
      <c r="G151" s="9" t="s">
        <v>333</v>
      </c>
      <c r="H151" s="19" t="s">
        <v>334</v>
      </c>
      <c r="M151" s="9" t="str">
        <f>IF(D151=$M$3,1,"")</f>
        <v/>
      </c>
      <c r="N151" s="9" t="str">
        <f>IF(D151=$N$3,1,"")</f>
        <v/>
      </c>
      <c r="O151" s="9" t="str">
        <f>IF(D151=$O$3,1,"")</f>
        <v/>
      </c>
      <c r="P151" s="9" t="str">
        <f>IF(D151=$P$3,1,"")</f>
        <v/>
      </c>
      <c r="Q151" s="9" t="str">
        <f>IF(D151=$Q$3,1,"")</f>
        <v/>
      </c>
      <c r="R151" s="9" t="str">
        <f>IF(D151=$R$3,1,"")</f>
        <v/>
      </c>
      <c r="S151" s="9" t="str">
        <f>IF(D151=$S$3,1,"")</f>
        <v/>
      </c>
      <c r="T151" s="9" t="str">
        <f>IF(D151=$T$3,1,"")</f>
        <v/>
      </c>
      <c r="U151" s="9" t="str">
        <f>IF(D151=$U$3,1,"")</f>
        <v/>
      </c>
      <c r="V151" s="9" t="str">
        <f>IF(D151=$V$3,1,"")</f>
        <v/>
      </c>
      <c r="W151" s="9" t="str">
        <f>IF(D151=$W$3,1,"")</f>
        <v/>
      </c>
      <c r="X151" s="9" t="str">
        <f>IF(D151=$X$3,1,"")</f>
        <v/>
      </c>
      <c r="Y151" s="9" t="e">
        <f>IF(#REF!=$X$3,1,"")</f>
        <v>#REF!</v>
      </c>
      <c r="Z151" s="9" t="str">
        <f t="shared" si="28"/>
        <v/>
      </c>
      <c r="AA151" s="9" t="str">
        <f t="shared" si="29"/>
        <v/>
      </c>
      <c r="AB151" s="9" t="str">
        <f t="shared" si="30"/>
        <v/>
      </c>
      <c r="AC151" s="9" t="str">
        <f t="shared" si="31"/>
        <v/>
      </c>
      <c r="AD151" s="9" t="str">
        <f t="shared" si="32"/>
        <v/>
      </c>
    </row>
    <row r="152" spans="1:30" ht="21" customHeight="1" x14ac:dyDescent="0.2">
      <c r="A152" s="15">
        <f t="shared" si="27"/>
        <v>146</v>
      </c>
      <c r="B152" s="34" t="s">
        <v>335</v>
      </c>
      <c r="C152" s="20" t="str">
        <f t="shared" si="26"/>
        <v>vs</v>
      </c>
      <c r="D152" s="21" t="s">
        <v>15</v>
      </c>
      <c r="E152" s="20">
        <v>2017</v>
      </c>
      <c r="F152" s="18" t="s">
        <v>47</v>
      </c>
      <c r="G152" s="9"/>
      <c r="H152" s="19" t="s">
        <v>336</v>
      </c>
      <c r="M152" s="9" t="str">
        <f>IF(D152=$M$3,1,"")</f>
        <v/>
      </c>
      <c r="N152" s="9" t="str">
        <f>IF(D152=$N$3,1,"")</f>
        <v/>
      </c>
      <c r="O152" s="9" t="str">
        <f>IF(D152=$O$3,1,"")</f>
        <v/>
      </c>
      <c r="P152" s="9" t="str">
        <f>IF(D152=$P$3,1,"")</f>
        <v/>
      </c>
      <c r="Q152" s="9" t="str">
        <f>IF(D152=$Q$3,1,"")</f>
        <v/>
      </c>
      <c r="R152" s="9" t="str">
        <f>IF(D152=$R$3,1,"")</f>
        <v/>
      </c>
      <c r="S152" s="9" t="str">
        <f>IF(D152=$S$3,1,"")</f>
        <v/>
      </c>
      <c r="T152" s="9">
        <f>IF(D152=$T$3,1,"")</f>
        <v>1</v>
      </c>
      <c r="U152" s="9" t="str">
        <f>IF(D152=$U$3,1,"")</f>
        <v/>
      </c>
      <c r="V152" s="9" t="str">
        <f>IF(D152=$V$3,1,"")</f>
        <v/>
      </c>
      <c r="W152" s="9" t="str">
        <f>IF(D152=$W$3,1,"")</f>
        <v/>
      </c>
      <c r="X152" s="9" t="str">
        <f>IF(D152=$X$3,1,"")</f>
        <v/>
      </c>
      <c r="Y152" s="9" t="e">
        <f>IF(#REF!=$X$3,1,"")</f>
        <v>#REF!</v>
      </c>
      <c r="Z152" s="9" t="str">
        <f t="shared" si="28"/>
        <v/>
      </c>
      <c r="AA152" s="9" t="str">
        <f t="shared" si="29"/>
        <v/>
      </c>
      <c r="AB152" s="9" t="str">
        <f t="shared" si="30"/>
        <v/>
      </c>
      <c r="AC152" s="9" t="str">
        <f t="shared" si="31"/>
        <v/>
      </c>
      <c r="AD152" s="9" t="str">
        <f t="shared" si="32"/>
        <v/>
      </c>
    </row>
    <row r="153" spans="1:30" ht="21" customHeight="1" x14ac:dyDescent="0.2">
      <c r="A153" s="15">
        <f t="shared" si="27"/>
        <v>147</v>
      </c>
      <c r="B153" s="34" t="s">
        <v>337</v>
      </c>
      <c r="C153" s="20" t="str">
        <f t="shared" si="26"/>
        <v>vs</v>
      </c>
      <c r="D153" s="21" t="s">
        <v>16</v>
      </c>
      <c r="E153" s="20">
        <v>2017</v>
      </c>
      <c r="F153" s="18" t="s">
        <v>47</v>
      </c>
      <c r="G153" s="9"/>
      <c r="H153" s="19" t="s">
        <v>338</v>
      </c>
      <c r="M153" s="9" t="str">
        <f>IF(D153=$M$3,1,"")</f>
        <v/>
      </c>
      <c r="N153" s="9" t="str">
        <f>IF(D153=$N$3,1,"")</f>
        <v/>
      </c>
      <c r="O153" s="9" t="str">
        <f>IF(D153=$O$3,1,"")</f>
        <v/>
      </c>
      <c r="P153" s="9" t="str">
        <f>IF(D153=$P$3,1,"")</f>
        <v/>
      </c>
      <c r="Q153" s="9" t="str">
        <f>IF(D153=$Q$3,1,"")</f>
        <v/>
      </c>
      <c r="R153" s="9" t="str">
        <f>IF(D153=$R$3,1,"")</f>
        <v/>
      </c>
      <c r="S153" s="9" t="str">
        <f>IF(D153=$S$3,1,"")</f>
        <v/>
      </c>
      <c r="T153" s="9" t="str">
        <f>IF(D153=$T$3,1,"")</f>
        <v/>
      </c>
      <c r="U153" s="9">
        <f>IF(D153=$U$3,1,"")</f>
        <v>1</v>
      </c>
      <c r="V153" s="9" t="str">
        <f>IF(D153=$V$3,1,"")</f>
        <v/>
      </c>
      <c r="W153" s="9" t="str">
        <f>IF(D153=$W$3,1,"")</f>
        <v/>
      </c>
      <c r="X153" s="9" t="str">
        <f>IF(D153=$X$3,1,"")</f>
        <v/>
      </c>
      <c r="Y153" s="9" t="e">
        <f>IF(#REF!=$X$3,1,"")</f>
        <v>#REF!</v>
      </c>
      <c r="Z153" s="9" t="str">
        <f t="shared" si="28"/>
        <v/>
      </c>
      <c r="AA153" s="9" t="str">
        <f t="shared" si="29"/>
        <v/>
      </c>
      <c r="AB153" s="9" t="str">
        <f t="shared" si="30"/>
        <v/>
      </c>
      <c r="AC153" s="9" t="str">
        <f t="shared" si="31"/>
        <v/>
      </c>
      <c r="AD153" s="9" t="str">
        <f t="shared" si="32"/>
        <v/>
      </c>
    </row>
    <row r="154" spans="1:30" ht="21" customHeight="1" x14ac:dyDescent="0.2">
      <c r="A154" s="15">
        <f t="shared" si="27"/>
        <v>148</v>
      </c>
      <c r="B154" s="34" t="s">
        <v>339</v>
      </c>
      <c r="C154" s="20" t="str">
        <f t="shared" si="26"/>
        <v>vs</v>
      </c>
      <c r="D154" s="21" t="s">
        <v>61</v>
      </c>
      <c r="E154" s="20">
        <v>2017</v>
      </c>
      <c r="F154" s="18" t="s">
        <v>23</v>
      </c>
      <c r="G154" s="9" t="s">
        <v>307</v>
      </c>
      <c r="H154" s="19" t="s">
        <v>340</v>
      </c>
      <c r="M154" s="9" t="str">
        <f>IF(D154=$M$3,1,"")</f>
        <v/>
      </c>
      <c r="N154" s="9" t="str">
        <f>IF(D154=$N$3,1,"")</f>
        <v/>
      </c>
      <c r="O154" s="9" t="str">
        <f>IF(D154=$O$3,1,"")</f>
        <v/>
      </c>
      <c r="P154" s="9" t="str">
        <f>IF(D154=$P$3,1,"")</f>
        <v/>
      </c>
      <c r="Q154" s="9" t="str">
        <f>IF(D154=$Q$3,1,"")</f>
        <v/>
      </c>
      <c r="R154" s="9" t="str">
        <f>IF(D154=$R$3,1,"")</f>
        <v/>
      </c>
      <c r="S154" s="9" t="str">
        <f>IF(D154=$S$3,1,"")</f>
        <v/>
      </c>
      <c r="T154" s="9" t="str">
        <f>IF(D154=$T$3,1,"")</f>
        <v/>
      </c>
      <c r="U154" s="9" t="str">
        <f>IF(D154=$U$3,1,"")</f>
        <v/>
      </c>
      <c r="V154" s="9" t="str">
        <f>IF(D154=$V$3,1,"")</f>
        <v/>
      </c>
      <c r="W154" s="9" t="str">
        <f>IF(D154=$W$3,1,"")</f>
        <v/>
      </c>
      <c r="X154" s="9" t="str">
        <f>IF(D154=$X$3,1,"")</f>
        <v/>
      </c>
      <c r="Y154" s="9" t="e">
        <f>IF(#REF!=$X$3,1,"")</f>
        <v>#REF!</v>
      </c>
      <c r="Z154" s="9" t="str">
        <f t="shared" si="28"/>
        <v/>
      </c>
      <c r="AA154" s="9" t="str">
        <f t="shared" si="29"/>
        <v/>
      </c>
      <c r="AB154" s="9" t="str">
        <f t="shared" si="30"/>
        <v/>
      </c>
      <c r="AC154" s="9" t="str">
        <f t="shared" si="31"/>
        <v/>
      </c>
      <c r="AD154" s="9" t="str">
        <f t="shared" si="32"/>
        <v/>
      </c>
    </row>
    <row r="155" spans="1:30" ht="21" customHeight="1" x14ac:dyDescent="0.2">
      <c r="A155" s="15">
        <f t="shared" si="27"/>
        <v>149</v>
      </c>
      <c r="B155" s="34" t="s">
        <v>341</v>
      </c>
      <c r="C155" s="20" t="str">
        <f t="shared" si="26"/>
        <v>vs</v>
      </c>
      <c r="D155" s="21" t="s">
        <v>16</v>
      </c>
      <c r="E155" s="20">
        <v>2017</v>
      </c>
      <c r="F155" s="18" t="s">
        <v>23</v>
      </c>
      <c r="G155" s="9" t="s">
        <v>307</v>
      </c>
      <c r="H155" s="19" t="s">
        <v>342</v>
      </c>
      <c r="M155" s="9" t="str">
        <f>IF(D155=$M$3,1,"")</f>
        <v/>
      </c>
      <c r="N155" s="9" t="str">
        <f>IF(D155=$N$3,1,"")</f>
        <v/>
      </c>
      <c r="O155" s="9" t="str">
        <f>IF(D155=$O$3,1,"")</f>
        <v/>
      </c>
      <c r="P155" s="9" t="str">
        <f>IF(D155=$P$3,1,"")</f>
        <v/>
      </c>
      <c r="Q155" s="9" t="str">
        <f>IF(D155=$Q$3,1,"")</f>
        <v/>
      </c>
      <c r="R155" s="9" t="str">
        <f>IF(D155=$R$3,1,"")</f>
        <v/>
      </c>
      <c r="S155" s="9" t="str">
        <f>IF(D155=$S$3,1,"")</f>
        <v/>
      </c>
      <c r="T155" s="9" t="str">
        <f>IF(D155=$T$3,1,"")</f>
        <v/>
      </c>
      <c r="U155" s="9">
        <f>IF(D155=$U$3,1,"")</f>
        <v>1</v>
      </c>
      <c r="V155" s="9" t="str">
        <f>IF(D155=$V$3,1,"")</f>
        <v/>
      </c>
      <c r="W155" s="9" t="str">
        <f>IF(D155=$W$3,1,"")</f>
        <v/>
      </c>
      <c r="X155" s="9" t="str">
        <f>IF(D155=$X$3,1,"")</f>
        <v/>
      </c>
      <c r="Y155" s="9" t="e">
        <f>IF(#REF!=$X$3,1,"")</f>
        <v>#REF!</v>
      </c>
      <c r="Z155" s="9" t="str">
        <f t="shared" si="28"/>
        <v/>
      </c>
      <c r="AA155" s="9" t="str">
        <f t="shared" si="29"/>
        <v/>
      </c>
      <c r="AB155" s="9" t="str">
        <f t="shared" si="30"/>
        <v/>
      </c>
      <c r="AC155" s="9" t="str">
        <f t="shared" si="31"/>
        <v/>
      </c>
      <c r="AD155" s="9" t="str">
        <f t="shared" si="32"/>
        <v/>
      </c>
    </row>
    <row r="156" spans="1:30" ht="21" customHeight="1" x14ac:dyDescent="0.2">
      <c r="A156" s="15">
        <f t="shared" si="27"/>
        <v>150</v>
      </c>
      <c r="B156" s="34" t="s">
        <v>343</v>
      </c>
      <c r="C156" s="20" t="str">
        <f t="shared" si="26"/>
        <v>vs</v>
      </c>
      <c r="D156" s="21" t="s">
        <v>9</v>
      </c>
      <c r="E156" s="20">
        <v>2017</v>
      </c>
      <c r="F156" s="18" t="s">
        <v>23</v>
      </c>
      <c r="G156" s="9" t="s">
        <v>307</v>
      </c>
      <c r="H156" s="19" t="s">
        <v>344</v>
      </c>
      <c r="M156" s="9" t="str">
        <f>IF(D156=$M$3,1,"")</f>
        <v/>
      </c>
      <c r="N156" s="9">
        <f>IF(D156=$N$3,1,"")</f>
        <v>1</v>
      </c>
      <c r="O156" s="9" t="str">
        <f>IF(D156=$O$3,1,"")</f>
        <v/>
      </c>
      <c r="P156" s="9" t="str">
        <f>IF(D156=$P$3,1,"")</f>
        <v/>
      </c>
      <c r="Q156" s="9" t="str">
        <f>IF(D156=$Q$3,1,"")</f>
        <v/>
      </c>
      <c r="R156" s="9" t="str">
        <f>IF(D156=$R$3,1,"")</f>
        <v/>
      </c>
      <c r="S156" s="9" t="str">
        <f>IF(D156=$S$3,1,"")</f>
        <v/>
      </c>
      <c r="T156" s="9" t="str">
        <f>IF(D156=$T$3,1,"")</f>
        <v/>
      </c>
      <c r="U156" s="9" t="str">
        <f>IF(D156=$U$3,1,"")</f>
        <v/>
      </c>
      <c r="V156" s="9" t="str">
        <f>IF(D156=$V$3,1,"")</f>
        <v/>
      </c>
      <c r="W156" s="9" t="str">
        <f>IF(D156=$W$3,1,"")</f>
        <v/>
      </c>
      <c r="X156" s="9" t="str">
        <f>IF(D156=$X$3,1,"")</f>
        <v/>
      </c>
      <c r="Y156" s="9" t="e">
        <f>IF(#REF!=$X$3,1,"")</f>
        <v>#REF!</v>
      </c>
      <c r="Z156" s="9" t="str">
        <f t="shared" si="28"/>
        <v/>
      </c>
      <c r="AA156" s="9" t="str">
        <f t="shared" si="29"/>
        <v/>
      </c>
      <c r="AB156" s="9" t="str">
        <f t="shared" si="30"/>
        <v/>
      </c>
      <c r="AC156" s="9" t="str">
        <f t="shared" si="31"/>
        <v/>
      </c>
      <c r="AD156" s="9" t="str">
        <f t="shared" si="32"/>
        <v/>
      </c>
    </row>
    <row r="157" spans="1:30" ht="30" customHeight="1" x14ac:dyDescent="0.2">
      <c r="A157" s="15">
        <f t="shared" si="27"/>
        <v>151</v>
      </c>
      <c r="B157" s="34" t="s">
        <v>345</v>
      </c>
      <c r="C157" s="20" t="str">
        <f t="shared" si="26"/>
        <v>vs</v>
      </c>
      <c r="D157" s="21" t="s">
        <v>61</v>
      </c>
      <c r="E157" s="20">
        <v>2017</v>
      </c>
      <c r="F157" s="18" t="s">
        <v>23</v>
      </c>
      <c r="G157" s="9" t="s">
        <v>320</v>
      </c>
      <c r="H157" s="19" t="s">
        <v>346</v>
      </c>
      <c r="M157" s="9" t="str">
        <f>IF(D157=$M$3,1,"")</f>
        <v/>
      </c>
      <c r="N157" s="9" t="str">
        <f>IF(D157=$N$3,1,"")</f>
        <v/>
      </c>
      <c r="O157" s="9" t="str">
        <f>IF(D157=$O$3,1,"")</f>
        <v/>
      </c>
      <c r="P157" s="9" t="str">
        <f>IF(D157=$P$3,1,"")</f>
        <v/>
      </c>
      <c r="Q157" s="9" t="str">
        <f>IF(D157=$Q$3,1,"")</f>
        <v/>
      </c>
      <c r="R157" s="9" t="str">
        <f>IF(D157=$R$3,1,"")</f>
        <v/>
      </c>
      <c r="S157" s="9" t="str">
        <f>IF(D157=$S$3,1,"")</f>
        <v/>
      </c>
      <c r="T157" s="9" t="str">
        <f>IF(D157=$T$3,1,"")</f>
        <v/>
      </c>
      <c r="U157" s="9" t="str">
        <f>IF(D157=$U$3,1,"")</f>
        <v/>
      </c>
      <c r="V157" s="9" t="str">
        <f>IF(D157=$V$3,1,"")</f>
        <v/>
      </c>
      <c r="W157" s="9" t="str">
        <f>IF(D157=$W$3,1,"")</f>
        <v/>
      </c>
      <c r="X157" s="9" t="str">
        <f>IF(D157=$X$3,1,"")</f>
        <v/>
      </c>
      <c r="Y157" s="9" t="e">
        <f>IF(#REF!=$X$3,1,"")</f>
        <v>#REF!</v>
      </c>
      <c r="Z157" s="9" t="str">
        <f t="shared" si="28"/>
        <v/>
      </c>
      <c r="AA157" s="9" t="str">
        <f t="shared" si="29"/>
        <v/>
      </c>
      <c r="AB157" s="9" t="str">
        <f t="shared" si="30"/>
        <v/>
      </c>
      <c r="AC157" s="9" t="str">
        <f t="shared" si="31"/>
        <v/>
      </c>
      <c r="AD157" s="9" t="str">
        <f t="shared" si="32"/>
        <v/>
      </c>
    </row>
    <row r="158" spans="1:30" ht="21" customHeight="1" x14ac:dyDescent="0.2">
      <c r="A158" s="15">
        <f t="shared" si="27"/>
        <v>152</v>
      </c>
      <c r="B158" s="34" t="s">
        <v>347</v>
      </c>
      <c r="C158" s="20" t="str">
        <f t="shared" si="26"/>
        <v>vs</v>
      </c>
      <c r="D158" s="21" t="s">
        <v>9</v>
      </c>
      <c r="E158" s="20">
        <v>2017</v>
      </c>
      <c r="F158" s="18" t="s">
        <v>23</v>
      </c>
      <c r="G158" s="9" t="s">
        <v>320</v>
      </c>
      <c r="H158" s="19" t="s">
        <v>348</v>
      </c>
      <c r="M158" s="9" t="str">
        <f>IF(D158=$M$3,1,"")</f>
        <v/>
      </c>
      <c r="N158" s="9">
        <f>IF(D158=$N$3,1,"")</f>
        <v>1</v>
      </c>
      <c r="O158" s="9" t="str">
        <f>IF(D158=$O$3,1,"")</f>
        <v/>
      </c>
      <c r="P158" s="9" t="str">
        <f>IF(D158=$P$3,1,"")</f>
        <v/>
      </c>
      <c r="Q158" s="9" t="str">
        <f>IF(D158=$Q$3,1,"")</f>
        <v/>
      </c>
      <c r="R158" s="9" t="str">
        <f>IF(D158=$R$3,1,"")</f>
        <v/>
      </c>
      <c r="S158" s="9" t="str">
        <f>IF(D158=$S$3,1,"")</f>
        <v/>
      </c>
      <c r="T158" s="9" t="str">
        <f>IF(D158=$T$3,1,"")</f>
        <v/>
      </c>
      <c r="U158" s="9" t="str">
        <f>IF(D158=$U$3,1,"")</f>
        <v/>
      </c>
      <c r="V158" s="9" t="str">
        <f>IF(D158=$V$3,1,"")</f>
        <v/>
      </c>
      <c r="W158" s="9" t="str">
        <f>IF(D158=$W$3,1,"")</f>
        <v/>
      </c>
      <c r="X158" s="9" t="str">
        <f>IF(D158=$X$3,1,"")</f>
        <v/>
      </c>
      <c r="Y158" s="9" t="e">
        <f>IF(#REF!=$X$3,1,"")</f>
        <v>#REF!</v>
      </c>
      <c r="Z158" s="9" t="str">
        <f t="shared" si="28"/>
        <v/>
      </c>
      <c r="AA158" s="9" t="str">
        <f t="shared" si="29"/>
        <v/>
      </c>
      <c r="AB158" s="9" t="str">
        <f t="shared" si="30"/>
        <v/>
      </c>
      <c r="AC158" s="9" t="str">
        <f t="shared" si="31"/>
        <v/>
      </c>
      <c r="AD158" s="9" t="str">
        <f t="shared" si="32"/>
        <v/>
      </c>
    </row>
    <row r="159" spans="1:30" ht="21" customHeight="1" x14ac:dyDescent="0.2">
      <c r="A159" s="15">
        <f t="shared" si="27"/>
        <v>153</v>
      </c>
      <c r="B159" s="34" t="s">
        <v>349</v>
      </c>
      <c r="C159" s="20" t="str">
        <f t="shared" si="26"/>
        <v>vs</v>
      </c>
      <c r="D159" s="21" t="s">
        <v>176</v>
      </c>
      <c r="E159" s="20">
        <v>2017</v>
      </c>
      <c r="F159" s="18" t="s">
        <v>23</v>
      </c>
      <c r="G159" s="9" t="s">
        <v>333</v>
      </c>
      <c r="H159" s="19" t="s">
        <v>350</v>
      </c>
      <c r="M159" s="9" t="str">
        <f>IF(D159=$M$3,1,"")</f>
        <v/>
      </c>
      <c r="N159" s="9" t="str">
        <f>IF(D159=$N$3,1,"")</f>
        <v/>
      </c>
      <c r="O159" s="9" t="str">
        <f>IF(D159=$O$3,1,"")</f>
        <v/>
      </c>
      <c r="P159" s="9" t="str">
        <f>IF(D159=$P$3,1,"")</f>
        <v/>
      </c>
      <c r="Q159" s="9" t="str">
        <f>IF(D159=$Q$3,1,"")</f>
        <v/>
      </c>
      <c r="R159" s="9" t="str">
        <f>IF(D159=$R$3,1,"")</f>
        <v/>
      </c>
      <c r="S159" s="9" t="str">
        <f>IF(D159=$S$3,1,"")</f>
        <v/>
      </c>
      <c r="T159" s="9" t="str">
        <f>IF(D159=$T$3,1,"")</f>
        <v/>
      </c>
      <c r="U159" s="9" t="str">
        <f>IF(D159=$U$3,1,"")</f>
        <v/>
      </c>
      <c r="V159" s="9" t="str">
        <f>IF(D159=$V$3,1,"")</f>
        <v/>
      </c>
      <c r="W159" s="9" t="str">
        <f>IF(D159=$W$3,1,"")</f>
        <v/>
      </c>
      <c r="X159" s="9" t="str">
        <f>IF(D159=$X$3,1,"")</f>
        <v/>
      </c>
      <c r="Y159" s="9" t="e">
        <f>IF(#REF!=$X$3,1,"")</f>
        <v>#REF!</v>
      </c>
      <c r="Z159" s="9" t="str">
        <f t="shared" si="28"/>
        <v/>
      </c>
      <c r="AA159" s="9" t="str">
        <f t="shared" si="29"/>
        <v/>
      </c>
      <c r="AB159" s="9" t="str">
        <f t="shared" si="30"/>
        <v/>
      </c>
      <c r="AC159" s="9" t="str">
        <f t="shared" si="31"/>
        <v/>
      </c>
      <c r="AD159" s="9" t="str">
        <f t="shared" si="32"/>
        <v/>
      </c>
    </row>
    <row r="160" spans="1:30" ht="21" customHeight="1" x14ac:dyDescent="0.2">
      <c r="A160" s="15">
        <f t="shared" si="27"/>
        <v>154</v>
      </c>
      <c r="B160" s="34" t="s">
        <v>351</v>
      </c>
      <c r="C160" s="20" t="str">
        <f t="shared" si="26"/>
        <v>vs</v>
      </c>
      <c r="D160" s="21" t="s">
        <v>61</v>
      </c>
      <c r="E160" s="20">
        <v>2017</v>
      </c>
      <c r="F160" s="18" t="s">
        <v>23</v>
      </c>
      <c r="G160" s="9" t="s">
        <v>333</v>
      </c>
      <c r="H160" s="19" t="s">
        <v>352</v>
      </c>
      <c r="M160" s="9" t="str">
        <f>IF(D160=$M$3,1,"")</f>
        <v/>
      </c>
      <c r="N160" s="9" t="str">
        <f>IF(D160=$N$3,1,"")</f>
        <v/>
      </c>
      <c r="O160" s="9" t="str">
        <f>IF(D160=$O$3,1,"")</f>
        <v/>
      </c>
      <c r="P160" s="9" t="str">
        <f>IF(D160=$P$3,1,"")</f>
        <v/>
      </c>
      <c r="Q160" s="9" t="str">
        <f>IF(D160=$Q$3,1,"")</f>
        <v/>
      </c>
      <c r="R160" s="9" t="str">
        <f>IF(D160=$R$3,1,"")</f>
        <v/>
      </c>
      <c r="S160" s="9" t="str">
        <f>IF(D160=$S$3,1,"")</f>
        <v/>
      </c>
      <c r="T160" s="9" t="str">
        <f>IF(D160=$T$3,1,"")</f>
        <v/>
      </c>
      <c r="U160" s="9" t="str">
        <f>IF(D160=$U$3,1,"")</f>
        <v/>
      </c>
      <c r="V160" s="9" t="str">
        <f>IF(D160=$V$3,1,"")</f>
        <v/>
      </c>
      <c r="W160" s="9" t="str">
        <f>IF(D160=$W$3,1,"")</f>
        <v/>
      </c>
      <c r="X160" s="9" t="str">
        <f>IF(D160=$X$3,1,"")</f>
        <v/>
      </c>
      <c r="Y160" s="9" t="e">
        <f>IF(#REF!=$X$3,1,"")</f>
        <v>#REF!</v>
      </c>
      <c r="Z160" s="9" t="str">
        <f t="shared" si="28"/>
        <v/>
      </c>
      <c r="AA160" s="9" t="str">
        <f t="shared" si="29"/>
        <v/>
      </c>
      <c r="AB160" s="9" t="str">
        <f t="shared" si="30"/>
        <v/>
      </c>
      <c r="AC160" s="9" t="str">
        <f t="shared" si="31"/>
        <v/>
      </c>
      <c r="AD160" s="9" t="str">
        <f t="shared" si="32"/>
        <v/>
      </c>
    </row>
    <row r="161" spans="1:30" ht="21" customHeight="1" x14ac:dyDescent="0.2">
      <c r="A161" s="15">
        <f t="shared" si="27"/>
        <v>155</v>
      </c>
      <c r="B161" s="34" t="s">
        <v>353</v>
      </c>
      <c r="C161" s="20" t="str">
        <f t="shared" si="26"/>
        <v>vs</v>
      </c>
      <c r="D161" s="21" t="s">
        <v>354</v>
      </c>
      <c r="E161" s="20">
        <v>2017</v>
      </c>
      <c r="F161" s="18" t="s">
        <v>23</v>
      </c>
      <c r="G161" s="9" t="s">
        <v>325</v>
      </c>
      <c r="H161" s="19" t="s">
        <v>355</v>
      </c>
      <c r="M161" s="9" t="str">
        <f>IF(D161=$M$3,1,"")</f>
        <v/>
      </c>
      <c r="N161" s="9" t="str">
        <f>IF(D161=$N$3,1,"")</f>
        <v/>
      </c>
      <c r="O161" s="9" t="str">
        <f>IF(D161=$O$3,1,"")</f>
        <v/>
      </c>
      <c r="P161" s="9" t="str">
        <f>IF(D161=$P$3,1,"")</f>
        <v/>
      </c>
      <c r="Q161" s="9" t="str">
        <f>IF(D161=$Q$3,1,"")</f>
        <v/>
      </c>
      <c r="R161" s="9" t="str">
        <f>IF(D161=$R$3,1,"")</f>
        <v/>
      </c>
      <c r="S161" s="9" t="str">
        <f>IF(D161=$S$3,1,"")</f>
        <v/>
      </c>
      <c r="T161" s="9" t="str">
        <f>IF(D161=$T$3,1,"")</f>
        <v/>
      </c>
      <c r="U161" s="9" t="str">
        <f>IF(D161=$U$3,1,"")</f>
        <v/>
      </c>
      <c r="V161" s="9" t="str">
        <f>IF(D161=$V$3,1,"")</f>
        <v/>
      </c>
      <c r="W161" s="9" t="str">
        <f>IF(D161=$W$3,1,"")</f>
        <v/>
      </c>
      <c r="X161" s="9" t="str">
        <f>IF(D161=$X$3,1,"")</f>
        <v/>
      </c>
      <c r="Y161" s="9" t="e">
        <f>IF(#REF!=$X$3,1,"")</f>
        <v>#REF!</v>
      </c>
      <c r="Z161" s="9" t="str">
        <f t="shared" si="28"/>
        <v/>
      </c>
      <c r="AA161" s="9" t="str">
        <f t="shared" si="29"/>
        <v/>
      </c>
      <c r="AB161" s="9" t="str">
        <f t="shared" si="30"/>
        <v/>
      </c>
      <c r="AC161" s="9" t="str">
        <f t="shared" si="31"/>
        <v/>
      </c>
      <c r="AD161" s="9" t="str">
        <f t="shared" si="32"/>
        <v/>
      </c>
    </row>
    <row r="162" spans="1:30" ht="21" customHeight="1" x14ac:dyDescent="0.2">
      <c r="A162" s="15">
        <f t="shared" si="27"/>
        <v>156</v>
      </c>
      <c r="B162" s="34" t="s">
        <v>356</v>
      </c>
      <c r="C162" s="20" t="str">
        <f t="shared" si="26"/>
        <v>vs</v>
      </c>
      <c r="D162" s="21" t="s">
        <v>15</v>
      </c>
      <c r="E162" s="20">
        <v>2017</v>
      </c>
      <c r="F162" s="18" t="s">
        <v>23</v>
      </c>
      <c r="G162" s="9"/>
      <c r="H162" s="19" t="s">
        <v>357</v>
      </c>
      <c r="M162" s="9" t="str">
        <f>IF(D162=$M$3,1,"")</f>
        <v/>
      </c>
      <c r="N162" s="9" t="str">
        <f>IF(D162=$N$3,1,"")</f>
        <v/>
      </c>
      <c r="O162" s="9" t="str">
        <f>IF(D162=$O$3,1,"")</f>
        <v/>
      </c>
      <c r="P162" s="9" t="str">
        <f>IF(D162=$P$3,1,"")</f>
        <v/>
      </c>
      <c r="Q162" s="9" t="str">
        <f>IF(D162=$Q$3,1,"")</f>
        <v/>
      </c>
      <c r="R162" s="9" t="str">
        <f>IF(D162=$R$3,1,"")</f>
        <v/>
      </c>
      <c r="S162" s="9" t="str">
        <f>IF(D162=$S$3,1,"")</f>
        <v/>
      </c>
      <c r="T162" s="9">
        <f>IF(D162=$T$3,1,"")</f>
        <v>1</v>
      </c>
      <c r="U162" s="9" t="str">
        <f>IF(D162=$U$3,1,"")</f>
        <v/>
      </c>
      <c r="V162" s="9" t="str">
        <f>IF(D162=$V$3,1,"")</f>
        <v/>
      </c>
      <c r="W162" s="9" t="str">
        <f>IF(D162=$W$3,1,"")</f>
        <v/>
      </c>
      <c r="X162" s="9" t="str">
        <f>IF(D162=$X$3,1,"")</f>
        <v/>
      </c>
      <c r="Y162" s="9" t="e">
        <f>IF(#REF!=$X$3,1,"")</f>
        <v>#REF!</v>
      </c>
      <c r="Z162" s="9" t="str">
        <f t="shared" si="28"/>
        <v/>
      </c>
      <c r="AA162" s="9" t="str">
        <f t="shared" si="29"/>
        <v/>
      </c>
      <c r="AB162" s="9" t="str">
        <f t="shared" si="30"/>
        <v/>
      </c>
      <c r="AC162" s="9" t="str">
        <f t="shared" si="31"/>
        <v/>
      </c>
      <c r="AD162" s="9" t="str">
        <f t="shared" si="32"/>
        <v/>
      </c>
    </row>
    <row r="163" spans="1:30" ht="21" customHeight="1" x14ac:dyDescent="0.2">
      <c r="A163" s="15">
        <f t="shared" si="27"/>
        <v>157</v>
      </c>
      <c r="B163" s="34" t="s">
        <v>358</v>
      </c>
      <c r="C163" s="20" t="str">
        <f t="shared" si="26"/>
        <v>vs</v>
      </c>
      <c r="D163" s="21" t="s">
        <v>16</v>
      </c>
      <c r="E163" s="20">
        <v>2017</v>
      </c>
      <c r="F163" s="18" t="s">
        <v>23</v>
      </c>
      <c r="G163" s="9" t="s">
        <v>328</v>
      </c>
      <c r="H163" s="19" t="s">
        <v>359</v>
      </c>
      <c r="M163" s="9" t="str">
        <f>IF(D163=$M$3,1,"")</f>
        <v/>
      </c>
      <c r="N163" s="9" t="str">
        <f>IF(D163=$N$3,1,"")</f>
        <v/>
      </c>
      <c r="O163" s="9" t="str">
        <f>IF(D163=$O$3,1,"")</f>
        <v/>
      </c>
      <c r="P163" s="9" t="str">
        <f>IF(D163=$P$3,1,"")</f>
        <v/>
      </c>
      <c r="Q163" s="9" t="str">
        <f>IF(D163=$Q$3,1,"")</f>
        <v/>
      </c>
      <c r="R163" s="9" t="str">
        <f>IF(D163=$R$3,1,"")</f>
        <v/>
      </c>
      <c r="S163" s="9" t="str">
        <f>IF(D163=$S$3,1,"")</f>
        <v/>
      </c>
      <c r="T163" s="9" t="str">
        <f>IF(D163=$T$3,1,"")</f>
        <v/>
      </c>
      <c r="U163" s="9">
        <f>IF(D163=$U$3,1,"")</f>
        <v>1</v>
      </c>
      <c r="V163" s="9" t="str">
        <f>IF(D163=$V$3,1,"")</f>
        <v/>
      </c>
      <c r="W163" s="9" t="str">
        <f>IF(D163=$W$3,1,"")</f>
        <v/>
      </c>
      <c r="X163" s="9" t="str">
        <f>IF(D163=$X$3,1,"")</f>
        <v/>
      </c>
      <c r="Y163" s="9" t="e">
        <f>IF(#REF!=$X$3,1,"")</f>
        <v>#REF!</v>
      </c>
      <c r="Z163" s="9" t="str">
        <f t="shared" si="28"/>
        <v/>
      </c>
      <c r="AA163" s="9" t="str">
        <f t="shared" si="29"/>
        <v/>
      </c>
      <c r="AB163" s="9" t="str">
        <f t="shared" si="30"/>
        <v/>
      </c>
      <c r="AC163" s="9" t="str">
        <f t="shared" si="31"/>
        <v/>
      </c>
      <c r="AD163" s="9" t="str">
        <f t="shared" si="32"/>
        <v/>
      </c>
    </row>
    <row r="164" spans="1:30" ht="21.75" customHeight="1" x14ac:dyDescent="0.2">
      <c r="A164" s="15">
        <f t="shared" si="27"/>
        <v>158</v>
      </c>
      <c r="B164" s="34" t="s">
        <v>360</v>
      </c>
      <c r="C164" s="20" t="str">
        <f t="shared" si="26"/>
        <v>vs</v>
      </c>
      <c r="D164" s="21" t="s">
        <v>18</v>
      </c>
      <c r="E164" s="20">
        <v>2017</v>
      </c>
      <c r="F164" s="18" t="s">
        <v>23</v>
      </c>
      <c r="G164" s="9"/>
      <c r="H164" s="19" t="s">
        <v>361</v>
      </c>
      <c r="I164" s="19" t="s">
        <v>362</v>
      </c>
      <c r="M164" s="9" t="str">
        <f>IF(D164=$M$3,1,"")</f>
        <v/>
      </c>
      <c r="N164" s="9" t="str">
        <f>IF(D164=$N$3,1,"")</f>
        <v/>
      </c>
      <c r="O164" s="9" t="str">
        <f>IF(D164=$O$3,1,"")</f>
        <v/>
      </c>
      <c r="P164" s="9" t="str">
        <f>IF(D164=$P$3,1,"")</f>
        <v/>
      </c>
      <c r="Q164" s="9" t="str">
        <f>IF(D164=$Q$3,1,"")</f>
        <v/>
      </c>
      <c r="R164" s="9" t="str">
        <f>IF(D164=$R$3,1,"")</f>
        <v/>
      </c>
      <c r="S164" s="9" t="str">
        <f>IF(D164=$S$3,1,"")</f>
        <v/>
      </c>
      <c r="T164" s="9" t="str">
        <f>IF(D164=$T$3,1,"")</f>
        <v/>
      </c>
      <c r="U164" s="9" t="str">
        <f>IF(D164=$U$3,1,"")</f>
        <v/>
      </c>
      <c r="V164" s="9" t="str">
        <f>IF(D164=$V$3,1,"")</f>
        <v/>
      </c>
      <c r="W164" s="9">
        <f>IF(D164=$W$3,1,"")</f>
        <v>1</v>
      </c>
      <c r="X164" s="9" t="str">
        <f>IF(D164=$X$3,1,"")</f>
        <v/>
      </c>
      <c r="Y164" s="9" t="e">
        <f>IF(#REF!=$X$3,1,"")</f>
        <v>#REF!</v>
      </c>
      <c r="Z164" s="9" t="str">
        <f t="shared" si="28"/>
        <v/>
      </c>
      <c r="AA164" s="9" t="str">
        <f t="shared" si="29"/>
        <v/>
      </c>
      <c r="AB164" s="9" t="str">
        <f t="shared" si="30"/>
        <v/>
      </c>
      <c r="AC164" s="9" t="str">
        <f t="shared" si="31"/>
        <v/>
      </c>
      <c r="AD164" s="9" t="str">
        <f t="shared" si="32"/>
        <v/>
      </c>
    </row>
    <row r="165" spans="1:30" ht="21" customHeight="1" thickBot="1" x14ac:dyDescent="0.25">
      <c r="A165" s="15">
        <f t="shared" si="27"/>
        <v>159</v>
      </c>
      <c r="B165" s="34" t="s">
        <v>363</v>
      </c>
      <c r="C165" s="20" t="str">
        <f>IF(B165="","","vs")</f>
        <v>vs</v>
      </c>
      <c r="D165" s="21" t="s">
        <v>176</v>
      </c>
      <c r="E165" s="20">
        <v>2017</v>
      </c>
      <c r="F165" s="55" t="s">
        <v>23</v>
      </c>
      <c r="G165" s="9" t="s">
        <v>364</v>
      </c>
      <c r="H165" s="19" t="s">
        <v>365</v>
      </c>
      <c r="M165" s="9" t="str">
        <f>IF(D165=$M$3,1,"")</f>
        <v/>
      </c>
      <c r="N165" s="9" t="str">
        <f>IF(D165=$N$3,1,"")</f>
        <v/>
      </c>
      <c r="O165" s="9" t="str">
        <f>IF(D165=$O$3,1,"")</f>
        <v/>
      </c>
      <c r="P165" s="9" t="str">
        <f>IF(D165=$P$3,1,"")</f>
        <v/>
      </c>
      <c r="Q165" s="9" t="str">
        <f>IF(D165=$Q$3,1,"")</f>
        <v/>
      </c>
      <c r="R165" s="9" t="str">
        <f>IF(D165=$R$3,1,"")</f>
        <v/>
      </c>
      <c r="S165" s="9" t="str">
        <f>IF(D165=$S$3,1,"")</f>
        <v/>
      </c>
      <c r="T165" s="9" t="str">
        <f>IF(D165=$T$3,1,"")</f>
        <v/>
      </c>
      <c r="U165" s="9" t="str">
        <f>IF(D165=$U$3,1,"")</f>
        <v/>
      </c>
      <c r="V165" s="9" t="str">
        <f>IF(D165=$V$3,1,"")</f>
        <v/>
      </c>
      <c r="W165" s="9" t="str">
        <f>IF(D165=$W$3,1,"")</f>
        <v/>
      </c>
      <c r="X165" s="9" t="str">
        <f>IF(D165=$X$3,1,"")</f>
        <v/>
      </c>
      <c r="Y165" s="9" t="e">
        <f>IF(#REF!=$X$3,1,"")</f>
        <v>#REF!</v>
      </c>
      <c r="Z165" s="9" t="str">
        <f t="shared" si="28"/>
        <v/>
      </c>
      <c r="AA165" s="9" t="str">
        <f t="shared" si="29"/>
        <v/>
      </c>
      <c r="AB165" s="9" t="str">
        <f t="shared" si="30"/>
        <v/>
      </c>
      <c r="AC165" s="9" t="str">
        <f t="shared" si="31"/>
        <v/>
      </c>
      <c r="AD165" s="9" t="str">
        <f t="shared" si="32"/>
        <v/>
      </c>
    </row>
    <row r="166" spans="1:30" ht="21" customHeight="1" x14ac:dyDescent="0.2">
      <c r="A166" s="12">
        <f>IF(B166="","",A165+1)</f>
        <v>160</v>
      </c>
      <c r="B166" s="92" t="s">
        <v>366</v>
      </c>
      <c r="C166" s="93" t="str">
        <f t="shared" si="26"/>
        <v>vs</v>
      </c>
      <c r="D166" s="94" t="s">
        <v>176</v>
      </c>
      <c r="E166" s="93">
        <v>2018</v>
      </c>
      <c r="F166" s="55" t="s">
        <v>23</v>
      </c>
      <c r="G166" s="9" t="s">
        <v>367</v>
      </c>
      <c r="H166" s="19" t="s">
        <v>368</v>
      </c>
      <c r="M166" s="9" t="str">
        <f>IF(D166=$M$3,1,"")</f>
        <v/>
      </c>
      <c r="N166" s="9" t="str">
        <f>IF(D166=$N$3,1,"")</f>
        <v/>
      </c>
      <c r="O166" s="9" t="str">
        <f>IF(D166=$O$3,1,"")</f>
        <v/>
      </c>
      <c r="P166" s="9" t="str">
        <f>IF(D166=$P$3,1,"")</f>
        <v/>
      </c>
      <c r="Q166" s="9" t="str">
        <f>IF(D166=$Q$3,1,"")</f>
        <v/>
      </c>
      <c r="R166" s="9" t="str">
        <f>IF(D166=$R$3,1,"")</f>
        <v/>
      </c>
      <c r="S166" s="9" t="str">
        <f>IF(D166=$S$3,1,"")</f>
        <v/>
      </c>
      <c r="T166" s="9" t="str">
        <f>IF(D166=$T$3,1,"")</f>
        <v/>
      </c>
      <c r="U166" s="9" t="str">
        <f>IF(D166=$U$3,1,"")</f>
        <v/>
      </c>
      <c r="V166" s="9" t="str">
        <f>IF(D166=$V$3,1,"")</f>
        <v/>
      </c>
      <c r="W166" s="9" t="str">
        <f>IF(D166=$W$3,1,"")</f>
        <v/>
      </c>
      <c r="X166" s="9" t="str">
        <f>IF(D166=$X$3,1,"")</f>
        <v/>
      </c>
      <c r="Y166" s="9" t="e">
        <f>IF(#REF!=$X$3,1,"")</f>
        <v>#REF!</v>
      </c>
      <c r="Z166" s="9" t="str">
        <f t="shared" si="28"/>
        <v/>
      </c>
      <c r="AA166" s="9" t="str">
        <f t="shared" si="29"/>
        <v/>
      </c>
      <c r="AB166" s="9" t="str">
        <f t="shared" si="30"/>
        <v/>
      </c>
      <c r="AC166" s="9" t="str">
        <f t="shared" si="31"/>
        <v/>
      </c>
      <c r="AD166" s="9" t="str">
        <f t="shared" si="32"/>
        <v/>
      </c>
    </row>
    <row r="167" spans="1:30" ht="21" customHeight="1" x14ac:dyDescent="0.2">
      <c r="A167" s="15">
        <f t="shared" si="27"/>
        <v>161</v>
      </c>
      <c r="B167" s="34" t="s">
        <v>369</v>
      </c>
      <c r="C167" s="20" t="str">
        <f t="shared" si="26"/>
        <v>vs</v>
      </c>
      <c r="D167" s="21" t="s">
        <v>16</v>
      </c>
      <c r="E167" s="20">
        <v>2018</v>
      </c>
      <c r="F167" s="55" t="s">
        <v>23</v>
      </c>
      <c r="G167" s="9"/>
      <c r="H167" s="19" t="s">
        <v>370</v>
      </c>
      <c r="M167" s="9" t="str">
        <f>IF(D167=$M$3,1,"")</f>
        <v/>
      </c>
      <c r="N167" s="9" t="str">
        <f>IF(D167=$N$3,1,"")</f>
        <v/>
      </c>
      <c r="O167" s="9" t="str">
        <f>IF(D167=$O$3,1,"")</f>
        <v/>
      </c>
      <c r="P167" s="9" t="str">
        <f>IF(D167=$P$3,1,"")</f>
        <v/>
      </c>
      <c r="Q167" s="9" t="str">
        <f>IF(D167=$Q$3,1,"")</f>
        <v/>
      </c>
      <c r="R167" s="9" t="str">
        <f>IF(D167=$R$3,1,"")</f>
        <v/>
      </c>
      <c r="S167" s="9" t="str">
        <f>IF(D167=$S$3,1,"")</f>
        <v/>
      </c>
      <c r="T167" s="9" t="str">
        <f>IF(D167=$T$3,1,"")</f>
        <v/>
      </c>
      <c r="U167" s="9">
        <f>IF(D167=$U$3,1,"")</f>
        <v>1</v>
      </c>
      <c r="V167" s="9" t="str">
        <f>IF(D167=$V$3,1,"")</f>
        <v/>
      </c>
      <c r="W167" s="9" t="str">
        <f>IF(D167=$W$3,1,"")</f>
        <v/>
      </c>
      <c r="X167" s="9" t="str">
        <f>IF(D167=$X$3,1,"")</f>
        <v/>
      </c>
      <c r="Y167" s="9" t="e">
        <f>IF(#REF!=$X$3,1,"")</f>
        <v>#REF!</v>
      </c>
      <c r="Z167" s="9" t="str">
        <f t="shared" si="28"/>
        <v/>
      </c>
      <c r="AA167" s="9" t="str">
        <f t="shared" si="29"/>
        <v/>
      </c>
      <c r="AB167" s="9" t="str">
        <f t="shared" si="30"/>
        <v/>
      </c>
      <c r="AC167" s="9" t="str">
        <f t="shared" si="31"/>
        <v/>
      </c>
      <c r="AD167" s="9" t="str">
        <f t="shared" si="32"/>
        <v/>
      </c>
    </row>
    <row r="168" spans="1:30" ht="21" customHeight="1" x14ac:dyDescent="0.2">
      <c r="A168" s="15">
        <f t="shared" si="27"/>
        <v>162</v>
      </c>
      <c r="B168" s="34" t="s">
        <v>371</v>
      </c>
      <c r="C168" s="20" t="str">
        <f t="shared" si="26"/>
        <v>vs</v>
      </c>
      <c r="D168" s="21" t="s">
        <v>176</v>
      </c>
      <c r="E168" s="20">
        <v>2018</v>
      </c>
      <c r="F168" s="55" t="s">
        <v>23</v>
      </c>
      <c r="G168" s="9"/>
      <c r="H168" s="19" t="s">
        <v>372</v>
      </c>
      <c r="I168" s="19" t="s">
        <v>373</v>
      </c>
      <c r="M168" s="9" t="str">
        <f>IF(D168=$M$3,1,"")</f>
        <v/>
      </c>
      <c r="N168" s="9" t="str">
        <f>IF(D168=$N$3,1,"")</f>
        <v/>
      </c>
      <c r="O168" s="9" t="str">
        <f>IF(D168=$O$3,1,"")</f>
        <v/>
      </c>
      <c r="P168" s="9" t="str">
        <f>IF(D168=$P$3,1,"")</f>
        <v/>
      </c>
      <c r="Q168" s="9" t="str">
        <f>IF(D168=$Q$3,1,"")</f>
        <v/>
      </c>
      <c r="R168" s="9" t="str">
        <f>IF(D168=$R$3,1,"")</f>
        <v/>
      </c>
      <c r="S168" s="9" t="str">
        <f>IF(D168=$S$3,1,"")</f>
        <v/>
      </c>
      <c r="T168" s="9" t="str">
        <f>IF(D168=$T$3,1,"")</f>
        <v/>
      </c>
      <c r="U168" s="9" t="str">
        <f>IF(D168=$U$3,1,"")</f>
        <v/>
      </c>
      <c r="V168" s="9" t="str">
        <f>IF(D168=$V$3,1,"")</f>
        <v/>
      </c>
      <c r="W168" s="9" t="str">
        <f>IF(D168=$W$3,1,"")</f>
        <v/>
      </c>
      <c r="X168" s="9" t="str">
        <f>IF(D168=$X$3,1,"")</f>
        <v/>
      </c>
      <c r="Y168" s="9" t="e">
        <f>IF(#REF!=$X$3,1,"")</f>
        <v>#REF!</v>
      </c>
      <c r="Z168" s="9" t="str">
        <f t="shared" si="28"/>
        <v/>
      </c>
      <c r="AA168" s="9" t="str">
        <f t="shared" si="29"/>
        <v/>
      </c>
      <c r="AB168" s="9" t="str">
        <f t="shared" si="30"/>
        <v/>
      </c>
      <c r="AC168" s="9" t="str">
        <f t="shared" si="31"/>
        <v/>
      </c>
      <c r="AD168" s="9" t="str">
        <f t="shared" si="32"/>
        <v/>
      </c>
    </row>
    <row r="169" spans="1:30" ht="21" customHeight="1" x14ac:dyDescent="0.2">
      <c r="A169" s="15">
        <f t="shared" si="27"/>
        <v>163</v>
      </c>
      <c r="B169" s="34" t="s">
        <v>374</v>
      </c>
      <c r="C169" s="20" t="str">
        <f t="shared" si="26"/>
        <v>vs</v>
      </c>
      <c r="D169" s="21" t="s">
        <v>16</v>
      </c>
      <c r="E169" s="20">
        <v>2018</v>
      </c>
      <c r="F169" s="55" t="s">
        <v>23</v>
      </c>
      <c r="G169" s="9"/>
      <c r="H169" s="377" t="s">
        <v>375</v>
      </c>
      <c r="M169" s="9" t="str">
        <f>IF(D169=$M$3,1,"")</f>
        <v/>
      </c>
      <c r="N169" s="9" t="str">
        <f>IF(D169=$N$3,1,"")</f>
        <v/>
      </c>
      <c r="O169" s="9" t="str">
        <f>IF(D169=$O$3,1,"")</f>
        <v/>
      </c>
      <c r="P169" s="9" t="str">
        <f>IF(D169=$P$3,1,"")</f>
        <v/>
      </c>
      <c r="Q169" s="9" t="str">
        <f>IF(D169=$Q$3,1,"")</f>
        <v/>
      </c>
      <c r="R169" s="9" t="str">
        <f>IF(D169=$R$3,1,"")</f>
        <v/>
      </c>
      <c r="S169" s="9" t="str">
        <f>IF(D169=$S$3,1,"")</f>
        <v/>
      </c>
      <c r="T169" s="9" t="str">
        <f>IF(D169=$T$3,1,"")</f>
        <v/>
      </c>
      <c r="U169" s="9">
        <f>IF(D169=$U$3,1,"")</f>
        <v>1</v>
      </c>
      <c r="V169" s="9" t="str">
        <f>IF(D169=$V$3,1,"")</f>
        <v/>
      </c>
      <c r="W169" s="9" t="str">
        <f>IF(D169=$W$3,1,"")</f>
        <v/>
      </c>
      <c r="X169" s="9" t="str">
        <f>IF(D169=$X$3,1,"")</f>
        <v/>
      </c>
      <c r="Y169" s="9" t="e">
        <f>IF(#REF!=$X$3,1,"")</f>
        <v>#REF!</v>
      </c>
      <c r="Z169" s="9" t="str">
        <f t="shared" si="28"/>
        <v/>
      </c>
      <c r="AA169" s="9" t="str">
        <f t="shared" si="29"/>
        <v/>
      </c>
      <c r="AB169" s="9" t="str">
        <f t="shared" si="30"/>
        <v/>
      </c>
      <c r="AC169" s="9" t="str">
        <f t="shared" si="31"/>
        <v/>
      </c>
      <c r="AD169" s="9" t="str">
        <f t="shared" si="32"/>
        <v/>
      </c>
    </row>
    <row r="170" spans="1:30" ht="21" customHeight="1" x14ac:dyDescent="0.2">
      <c r="A170" s="15">
        <f t="shared" si="27"/>
        <v>164</v>
      </c>
      <c r="B170" s="89" t="s">
        <v>376</v>
      </c>
      <c r="C170" s="20" t="str">
        <f t="shared" si="26"/>
        <v>vs</v>
      </c>
      <c r="D170" s="21" t="s">
        <v>16</v>
      </c>
      <c r="E170" s="20">
        <v>2018</v>
      </c>
      <c r="F170" s="55" t="s">
        <v>23</v>
      </c>
      <c r="G170" s="9"/>
      <c r="H170" s="378"/>
      <c r="M170" s="9" t="str">
        <f>IF(D170=$M$3,1,"")</f>
        <v/>
      </c>
      <c r="N170" s="9" t="str">
        <f>IF(D170=$N$3,1,"")</f>
        <v/>
      </c>
      <c r="O170" s="9" t="str">
        <f>IF(D170=$O$3,1,"")</f>
        <v/>
      </c>
      <c r="P170" s="9" t="str">
        <f>IF(D170=$P$3,1,"")</f>
        <v/>
      </c>
      <c r="Q170" s="9" t="str">
        <f>IF(D170=$Q$3,1,"")</f>
        <v/>
      </c>
      <c r="R170" s="9" t="str">
        <f>IF(D170=$R$3,1,"")</f>
        <v/>
      </c>
      <c r="S170" s="9" t="str">
        <f>IF(D170=$S$3,1,"")</f>
        <v/>
      </c>
      <c r="T170" s="9" t="str">
        <f>IF(D170=$T$3,1,"")</f>
        <v/>
      </c>
      <c r="U170" s="9">
        <f>IF(D170=$U$3,1,"")</f>
        <v>1</v>
      </c>
      <c r="V170" s="9" t="str">
        <f>IF(D170=$V$3,1,"")</f>
        <v/>
      </c>
      <c r="W170" s="9" t="str">
        <f>IF(D170=$W$3,1,"")</f>
        <v/>
      </c>
      <c r="X170" s="9" t="str">
        <f>IF(D170=$X$3,1,"")</f>
        <v/>
      </c>
      <c r="Y170" s="9" t="e">
        <f>IF(#REF!=$X$3,1,"")</f>
        <v>#REF!</v>
      </c>
      <c r="Z170" s="9" t="str">
        <f t="shared" si="28"/>
        <v/>
      </c>
      <c r="AA170" s="9" t="str">
        <f t="shared" si="29"/>
        <v/>
      </c>
      <c r="AB170" s="9" t="str">
        <f t="shared" si="30"/>
        <v/>
      </c>
      <c r="AC170" s="9" t="str">
        <f t="shared" si="31"/>
        <v/>
      </c>
      <c r="AD170" s="9" t="str">
        <f t="shared" si="32"/>
        <v/>
      </c>
    </row>
    <row r="171" spans="1:30" ht="21" customHeight="1" thickBot="1" x14ac:dyDescent="0.25">
      <c r="A171" s="22">
        <f t="shared" si="27"/>
        <v>165</v>
      </c>
      <c r="B171" s="81" t="s">
        <v>377</v>
      </c>
      <c r="C171" s="23" t="str">
        <f t="shared" si="26"/>
        <v>vs</v>
      </c>
      <c r="D171" s="10" t="s">
        <v>61</v>
      </c>
      <c r="E171" s="23">
        <v>2018</v>
      </c>
      <c r="F171" s="11" t="s">
        <v>33</v>
      </c>
      <c r="G171" s="9"/>
      <c r="H171" s="19" t="s">
        <v>378</v>
      </c>
      <c r="M171" s="9" t="str">
        <f>IF(D171=$M$3,1,"")</f>
        <v/>
      </c>
      <c r="N171" s="9" t="str">
        <f>IF(D171=$N$3,1,"")</f>
        <v/>
      </c>
      <c r="O171" s="9" t="str">
        <f>IF(D171=$O$3,1,"")</f>
        <v/>
      </c>
      <c r="P171" s="9" t="str">
        <f>IF(D171=$P$3,1,"")</f>
        <v/>
      </c>
      <c r="Q171" s="9" t="str">
        <f>IF(D171=$Q$3,1,"")</f>
        <v/>
      </c>
      <c r="R171" s="9" t="str">
        <f>IF(D171=$R$3,1,"")</f>
        <v/>
      </c>
      <c r="S171" s="9" t="str">
        <f>IF(D171=$S$3,1,"")</f>
        <v/>
      </c>
      <c r="T171" s="9" t="str">
        <f>IF(D171=$T$3,1,"")</f>
        <v/>
      </c>
      <c r="U171" s="9" t="str">
        <f>IF(D171=$U$3,1,"")</f>
        <v/>
      </c>
      <c r="V171" s="9" t="str">
        <f>IF(D171=$V$3,1,"")</f>
        <v/>
      </c>
      <c r="W171" s="9" t="str">
        <f>IF(D171=$W$3,1,"")</f>
        <v/>
      </c>
      <c r="X171" s="9" t="str">
        <f>IF(D171=$X$3,1,"")</f>
        <v/>
      </c>
      <c r="Y171" s="9" t="e">
        <f>IF(#REF!=$X$3,1,"")</f>
        <v>#REF!</v>
      </c>
      <c r="Z171" s="9" t="str">
        <f t="shared" si="28"/>
        <v/>
      </c>
      <c r="AA171" s="9" t="str">
        <f t="shared" si="29"/>
        <v/>
      </c>
      <c r="AB171" s="9" t="str">
        <f t="shared" si="30"/>
        <v/>
      </c>
      <c r="AC171" s="9" t="str">
        <f t="shared" si="31"/>
        <v/>
      </c>
      <c r="AD171" s="9" t="str">
        <f t="shared" si="32"/>
        <v/>
      </c>
    </row>
    <row r="172" spans="1:30" ht="21" customHeight="1" x14ac:dyDescent="0.2">
      <c r="A172" s="12">
        <f t="shared" si="27"/>
        <v>166</v>
      </c>
      <c r="B172" s="92" t="s">
        <v>379</v>
      </c>
      <c r="C172" s="93" t="str">
        <f t="shared" si="26"/>
        <v>vs</v>
      </c>
      <c r="D172" s="94" t="s">
        <v>15</v>
      </c>
      <c r="E172" s="93">
        <v>2018</v>
      </c>
      <c r="F172" s="55" t="s">
        <v>23</v>
      </c>
      <c r="G172" s="9" t="s">
        <v>380</v>
      </c>
      <c r="H172" s="19" t="s">
        <v>381</v>
      </c>
      <c r="M172" s="9" t="str">
        <f>IF(D172=$M$3,1,"")</f>
        <v/>
      </c>
      <c r="N172" s="9" t="str">
        <f>IF(D172=$N$3,1,"")</f>
        <v/>
      </c>
      <c r="O172" s="9" t="str">
        <f>IF(D172=$O$3,1,"")</f>
        <v/>
      </c>
      <c r="P172" s="9" t="str">
        <f>IF(D172=$P$3,1,"")</f>
        <v/>
      </c>
      <c r="Q172" s="9" t="str">
        <f>IF(D172=$Q$3,1,"")</f>
        <v/>
      </c>
      <c r="R172" s="9" t="str">
        <f>IF(D172=$R$3,1,"")</f>
        <v/>
      </c>
      <c r="S172" s="9" t="str">
        <f>IF(D172=$S$3,1,"")</f>
        <v/>
      </c>
      <c r="T172" s="9">
        <f>IF(D172=$T$3,1,"")</f>
        <v>1</v>
      </c>
      <c r="U172" s="9" t="str">
        <f>IF(D172=$U$3,1,"")</f>
        <v/>
      </c>
      <c r="V172" s="9" t="str">
        <f>IF(D172=$V$3,1,"")</f>
        <v/>
      </c>
      <c r="W172" s="9" t="str">
        <f>IF(D172=$W$3,1,"")</f>
        <v/>
      </c>
      <c r="X172" s="9" t="str">
        <f>IF(D172=$X$3,1,"")</f>
        <v/>
      </c>
      <c r="Y172" s="9" t="e">
        <f>IF(#REF!=$X$3,1,"")</f>
        <v>#REF!</v>
      </c>
      <c r="Z172" s="9" t="str">
        <f t="shared" si="28"/>
        <v/>
      </c>
      <c r="AA172" s="9" t="str">
        <f t="shared" si="29"/>
        <v/>
      </c>
      <c r="AB172" s="9" t="str">
        <f t="shared" si="30"/>
        <v/>
      </c>
      <c r="AC172" s="9" t="str">
        <f t="shared" si="31"/>
        <v/>
      </c>
      <c r="AD172" s="9" t="str">
        <f t="shared" si="32"/>
        <v/>
      </c>
    </row>
    <row r="173" spans="1:30" ht="21" customHeight="1" x14ac:dyDescent="0.2">
      <c r="A173" s="15">
        <f t="shared" si="27"/>
        <v>167</v>
      </c>
      <c r="B173" s="34" t="s">
        <v>382</v>
      </c>
      <c r="C173" s="20" t="str">
        <f t="shared" si="26"/>
        <v>vs</v>
      </c>
      <c r="D173" s="21" t="s">
        <v>16</v>
      </c>
      <c r="E173" s="20">
        <v>2018</v>
      </c>
      <c r="F173" s="55" t="s">
        <v>23</v>
      </c>
      <c r="G173" s="9"/>
      <c r="H173" s="19" t="s">
        <v>370</v>
      </c>
      <c r="M173" s="9" t="str">
        <f>IF(D173=$M$3,1,"")</f>
        <v/>
      </c>
      <c r="N173" s="9" t="str">
        <f>IF(D173=$N$3,1,"")</f>
        <v/>
      </c>
      <c r="O173" s="9" t="str">
        <f>IF(D173=$O$3,1,"")</f>
        <v/>
      </c>
      <c r="P173" s="9" t="str">
        <f>IF(D173=$P$3,1,"")</f>
        <v/>
      </c>
      <c r="Q173" s="9" t="str">
        <f>IF(D173=$Q$3,1,"")</f>
        <v/>
      </c>
      <c r="R173" s="9" t="str">
        <f>IF(D173=$R$3,1,"")</f>
        <v/>
      </c>
      <c r="S173" s="9" t="str">
        <f>IF(D173=$S$3,1,"")</f>
        <v/>
      </c>
      <c r="T173" s="9" t="str">
        <f>IF(D173=$T$3,1,"")</f>
        <v/>
      </c>
      <c r="U173" s="9">
        <f>IF(D173=$U$3,1,"")</f>
        <v>1</v>
      </c>
      <c r="V173" s="9" t="str">
        <f>IF(D173=$V$3,1,"")</f>
        <v/>
      </c>
      <c r="W173" s="9" t="str">
        <f>IF(D173=$W$3,1,"")</f>
        <v/>
      </c>
      <c r="X173" s="9" t="str">
        <f>IF(D173=$X$3,1,"")</f>
        <v/>
      </c>
      <c r="Y173" s="9" t="e">
        <f>IF(#REF!=$X$3,1,"")</f>
        <v>#REF!</v>
      </c>
      <c r="Z173" s="9" t="str">
        <f t="shared" si="28"/>
        <v/>
      </c>
      <c r="AA173" s="9" t="str">
        <f t="shared" si="29"/>
        <v/>
      </c>
      <c r="AB173" s="9" t="str">
        <f t="shared" si="30"/>
        <v/>
      </c>
      <c r="AC173" s="9" t="str">
        <f t="shared" si="31"/>
        <v/>
      </c>
      <c r="AD173" s="9" t="str">
        <f t="shared" si="32"/>
        <v/>
      </c>
    </row>
    <row r="174" spans="1:30" ht="21" customHeight="1" thickBot="1" x14ac:dyDescent="0.25">
      <c r="A174" s="22">
        <f t="shared" si="27"/>
        <v>168</v>
      </c>
      <c r="B174" s="81" t="s">
        <v>383</v>
      </c>
      <c r="C174" s="23" t="str">
        <f t="shared" si="26"/>
        <v>vs</v>
      </c>
      <c r="D174" s="10" t="s">
        <v>15</v>
      </c>
      <c r="E174" s="23">
        <v>2018</v>
      </c>
      <c r="F174" s="55" t="s">
        <v>23</v>
      </c>
      <c r="G174" s="9"/>
      <c r="H174" s="19" t="s">
        <v>384</v>
      </c>
      <c r="M174" s="9" t="str">
        <f>IF(D174=$M$3,1,"")</f>
        <v/>
      </c>
      <c r="N174" s="9" t="str">
        <f>IF(D174=$N$3,1,"")</f>
        <v/>
      </c>
      <c r="O174" s="9" t="str">
        <f>IF(D174=$O$3,1,"")</f>
        <v/>
      </c>
      <c r="P174" s="9" t="str">
        <f>IF(D174=$P$3,1,"")</f>
        <v/>
      </c>
      <c r="Q174" s="9" t="str">
        <f>IF(D174=$Q$3,1,"")</f>
        <v/>
      </c>
      <c r="R174" s="9" t="str">
        <f>IF(D174=$R$3,1,"")</f>
        <v/>
      </c>
      <c r="S174" s="9" t="str">
        <f>IF(D174=$S$3,1,"")</f>
        <v/>
      </c>
      <c r="T174" s="9">
        <f>IF(D174=$T$3,1,"")</f>
        <v>1</v>
      </c>
      <c r="U174" s="9" t="str">
        <f>IF(D174=$U$3,1,"")</f>
        <v/>
      </c>
      <c r="V174" s="9" t="str">
        <f>IF(D174=$V$3,1,"")</f>
        <v/>
      </c>
      <c r="W174" s="9" t="str">
        <f>IF(D174=$W$3,1,"")</f>
        <v/>
      </c>
      <c r="X174" s="9" t="str">
        <f>IF(D174=$X$3,1,"")</f>
        <v/>
      </c>
      <c r="Y174" s="9" t="e">
        <f>IF(#REF!=$X$3,1,"")</f>
        <v>#REF!</v>
      </c>
      <c r="Z174" s="9" t="str">
        <f t="shared" si="28"/>
        <v/>
      </c>
      <c r="AA174" s="9" t="str">
        <f t="shared" si="29"/>
        <v/>
      </c>
      <c r="AB174" s="9" t="str">
        <f t="shared" si="30"/>
        <v/>
      </c>
      <c r="AC174" s="9" t="str">
        <f t="shared" si="31"/>
        <v/>
      </c>
      <c r="AD174" s="9" t="str">
        <f t="shared" si="32"/>
        <v/>
      </c>
    </row>
    <row r="175" spans="1:30" ht="21" customHeight="1" x14ac:dyDescent="0.2">
      <c r="A175" s="12">
        <f t="shared" si="27"/>
        <v>169</v>
      </c>
      <c r="B175" s="92" t="s">
        <v>385</v>
      </c>
      <c r="C175" s="93" t="str">
        <f t="shared" si="26"/>
        <v>vs</v>
      </c>
      <c r="D175" s="94" t="s">
        <v>18</v>
      </c>
      <c r="E175" s="93">
        <v>2018</v>
      </c>
      <c r="F175" s="55" t="s">
        <v>23</v>
      </c>
      <c r="G175" s="9" t="s">
        <v>386</v>
      </c>
      <c r="H175" s="19" t="s">
        <v>387</v>
      </c>
      <c r="M175" s="9" t="str">
        <f>IF(D175=$M$3,1,"")</f>
        <v/>
      </c>
      <c r="N175" s="9" t="str">
        <f>IF(D175=$N$3,1,"")</f>
        <v/>
      </c>
      <c r="O175" s="9" t="str">
        <f>IF(D175=$O$3,1,"")</f>
        <v/>
      </c>
      <c r="P175" s="9" t="str">
        <f>IF(D175=$P$3,1,"")</f>
        <v/>
      </c>
      <c r="Q175" s="9" t="str">
        <f>IF(D175=$Q$3,1,"")</f>
        <v/>
      </c>
      <c r="R175" s="9" t="str">
        <f>IF(D175=$R$3,1,"")</f>
        <v/>
      </c>
      <c r="S175" s="9" t="str">
        <f>IF(D175=$S$3,1,"")</f>
        <v/>
      </c>
      <c r="T175" s="9" t="str">
        <f>IF(D175=$T$3,1,"")</f>
        <v/>
      </c>
      <c r="U175" s="9" t="str">
        <f>IF(D175=$U$3,1,"")</f>
        <v/>
      </c>
      <c r="V175" s="9" t="str">
        <f>IF(D175=$V$3,1,"")</f>
        <v/>
      </c>
      <c r="W175" s="9">
        <f>IF(D175=$W$3,1,"")</f>
        <v>1</v>
      </c>
      <c r="X175" s="9" t="str">
        <f>IF(D175=$X$3,1,"")</f>
        <v/>
      </c>
      <c r="Y175" s="9" t="e">
        <f>IF(#REF!=$X$3,1,"")</f>
        <v>#REF!</v>
      </c>
      <c r="Z175" s="9" t="str">
        <f t="shared" si="28"/>
        <v/>
      </c>
      <c r="AA175" s="9" t="str">
        <f t="shared" si="29"/>
        <v/>
      </c>
      <c r="AB175" s="9" t="str">
        <f t="shared" si="30"/>
        <v/>
      </c>
      <c r="AC175" s="9" t="str">
        <f t="shared" si="31"/>
        <v/>
      </c>
      <c r="AD175" s="9" t="str">
        <f t="shared" si="32"/>
        <v/>
      </c>
    </row>
    <row r="176" spans="1:30" ht="40.5" customHeight="1" thickBot="1" x14ac:dyDescent="0.25">
      <c r="A176" s="22">
        <f t="shared" si="27"/>
        <v>170</v>
      </c>
      <c r="B176" s="130" t="s">
        <v>388</v>
      </c>
      <c r="C176" s="23" t="str">
        <f t="shared" si="26"/>
        <v>vs</v>
      </c>
      <c r="D176" s="10" t="s">
        <v>9</v>
      </c>
      <c r="E176" s="23">
        <v>2018</v>
      </c>
      <c r="F176" s="11" t="s">
        <v>33</v>
      </c>
      <c r="G176" s="90" t="s">
        <v>389</v>
      </c>
      <c r="H176" s="19" t="s">
        <v>390</v>
      </c>
      <c r="M176" s="9" t="str">
        <f>IF(D176=$M$3,1,"")</f>
        <v/>
      </c>
      <c r="N176" s="9">
        <f>IF(D176=$N$3,1,"")</f>
        <v>1</v>
      </c>
      <c r="O176" s="9" t="str">
        <f>IF(D176=$O$3,1,"")</f>
        <v/>
      </c>
      <c r="P176" s="9" t="str">
        <f>IF(D176=$P$3,1,"")</f>
        <v/>
      </c>
      <c r="Q176" s="9" t="str">
        <f>IF(D176=$Q$3,1,"")</f>
        <v/>
      </c>
      <c r="R176" s="9" t="str">
        <f>IF(D176=$R$3,1,"")</f>
        <v/>
      </c>
      <c r="S176" s="9" t="str">
        <f>IF(D176=$S$3,1,"")</f>
        <v/>
      </c>
      <c r="T176" s="9" t="str">
        <f>IF(D176=$T$3,1,"")</f>
        <v/>
      </c>
      <c r="U176" s="9" t="str">
        <f>IF(D176=$U$3,1,"")</f>
        <v/>
      </c>
      <c r="V176" s="9" t="str">
        <f>IF(D176=$V$3,1,"")</f>
        <v/>
      </c>
      <c r="W176" s="9" t="str">
        <f>IF(D176=$W$3,1,"")</f>
        <v/>
      </c>
      <c r="X176" s="9" t="str">
        <f>IF(D176=$X$3,1,"")</f>
        <v/>
      </c>
      <c r="Y176" s="9" t="e">
        <f>IF(#REF!=$X$3,1,"")</f>
        <v>#REF!</v>
      </c>
      <c r="Z176" s="9" t="str">
        <f t="shared" si="28"/>
        <v/>
      </c>
      <c r="AA176" s="9" t="str">
        <f t="shared" si="29"/>
        <v/>
      </c>
      <c r="AB176" s="9" t="str">
        <f t="shared" si="30"/>
        <v/>
      </c>
      <c r="AC176" s="9" t="str">
        <f t="shared" si="31"/>
        <v/>
      </c>
      <c r="AD176" s="9" t="str">
        <f t="shared" si="32"/>
        <v/>
      </c>
    </row>
    <row r="177" spans="1:30" ht="21" customHeight="1" x14ac:dyDescent="0.2">
      <c r="A177" s="12">
        <f t="shared" si="27"/>
        <v>171</v>
      </c>
      <c r="B177" s="92" t="s">
        <v>391</v>
      </c>
      <c r="C177" s="93" t="str">
        <f t="shared" si="26"/>
        <v>vs</v>
      </c>
      <c r="D177" s="94" t="s">
        <v>61</v>
      </c>
      <c r="E177" s="93">
        <v>2018</v>
      </c>
      <c r="F177" s="55" t="s">
        <v>23</v>
      </c>
      <c r="G177" s="9"/>
      <c r="H177" s="19" t="s">
        <v>392</v>
      </c>
      <c r="M177" s="9" t="str">
        <f>IF(D177=$M$3,1,"")</f>
        <v/>
      </c>
      <c r="N177" s="9" t="str">
        <f>IF(D177=$N$3,1,"")</f>
        <v/>
      </c>
      <c r="O177" s="9" t="str">
        <f>IF(D177=$O$3,1,"")</f>
        <v/>
      </c>
      <c r="P177" s="9" t="str">
        <f>IF(D177=$P$3,1,"")</f>
        <v/>
      </c>
      <c r="Q177" s="9" t="str">
        <f>IF(D177=$Q$3,1,"")</f>
        <v/>
      </c>
      <c r="R177" s="9" t="str">
        <f>IF(D177=$R$3,1,"")</f>
        <v/>
      </c>
      <c r="S177" s="9" t="str">
        <f>IF(D177=$S$3,1,"")</f>
        <v/>
      </c>
      <c r="T177" s="9" t="str">
        <f>IF(D177=$T$3,1,"")</f>
        <v/>
      </c>
      <c r="U177" s="9" t="str">
        <f>IF(D177=$U$3,1,"")</f>
        <v/>
      </c>
      <c r="V177" s="9" t="str">
        <f>IF(D177=$V$3,1,"")</f>
        <v/>
      </c>
      <c r="W177" s="9" t="str">
        <f>IF(D177=$W$3,1,"")</f>
        <v/>
      </c>
      <c r="X177" s="9" t="str">
        <f>IF(D177=$X$3,1,"")</f>
        <v/>
      </c>
      <c r="Y177" s="9" t="e">
        <f>IF(#REF!=$X$3,1,"")</f>
        <v>#REF!</v>
      </c>
      <c r="Z177" s="9" t="str">
        <f t="shared" si="28"/>
        <v/>
      </c>
      <c r="AA177" s="9" t="str">
        <f t="shared" si="29"/>
        <v/>
      </c>
      <c r="AB177" s="9" t="str">
        <f t="shared" si="30"/>
        <v/>
      </c>
      <c r="AC177" s="9" t="str">
        <f t="shared" si="31"/>
        <v/>
      </c>
      <c r="AD177" s="9" t="str">
        <f t="shared" si="32"/>
        <v/>
      </c>
    </row>
    <row r="178" spans="1:30" ht="21" customHeight="1" x14ac:dyDescent="0.2">
      <c r="A178" s="15">
        <f t="shared" si="27"/>
        <v>172</v>
      </c>
      <c r="B178" s="34" t="s">
        <v>393</v>
      </c>
      <c r="C178" s="20" t="str">
        <f t="shared" si="26"/>
        <v>vs</v>
      </c>
      <c r="D178" s="21" t="s">
        <v>61</v>
      </c>
      <c r="E178" s="20">
        <v>2018</v>
      </c>
      <c r="F178" s="55" t="s">
        <v>23</v>
      </c>
      <c r="G178" s="9"/>
      <c r="H178" s="19" t="s">
        <v>394</v>
      </c>
      <c r="M178" s="9" t="str">
        <f>IF(D178=$M$3,1,"")</f>
        <v/>
      </c>
      <c r="N178" s="9" t="str">
        <f>IF(D178=$N$3,1,"")</f>
        <v/>
      </c>
      <c r="O178" s="9" t="str">
        <f>IF(D178=$O$3,1,"")</f>
        <v/>
      </c>
      <c r="P178" s="9" t="str">
        <f>IF(D178=$P$3,1,"")</f>
        <v/>
      </c>
      <c r="Q178" s="9" t="str">
        <f>IF(D178=$Q$3,1,"")</f>
        <v/>
      </c>
      <c r="R178" s="9" t="str">
        <f>IF(D178=$R$3,1,"")</f>
        <v/>
      </c>
      <c r="S178" s="9" t="str">
        <f>IF(D178=$S$3,1,"")</f>
        <v/>
      </c>
      <c r="T178" s="9" t="str">
        <f>IF(D178=$T$3,1,"")</f>
        <v/>
      </c>
      <c r="U178" s="9" t="str">
        <f>IF(D178=$U$3,1,"")</f>
        <v/>
      </c>
      <c r="V178" s="9" t="str">
        <f>IF(D178=$V$3,1,"")</f>
        <v/>
      </c>
      <c r="W178" s="9" t="str">
        <f>IF(D178=$W$3,1,"")</f>
        <v/>
      </c>
      <c r="X178" s="9" t="str">
        <f>IF(D178=$X$3,1,"")</f>
        <v/>
      </c>
      <c r="Y178" s="9" t="e">
        <f>IF(#REF!=$X$3,1,"")</f>
        <v>#REF!</v>
      </c>
      <c r="Z178" s="9" t="str">
        <f t="shared" si="28"/>
        <v/>
      </c>
      <c r="AA178" s="9" t="str">
        <f t="shared" si="29"/>
        <v/>
      </c>
      <c r="AB178" s="9" t="str">
        <f t="shared" si="30"/>
        <v/>
      </c>
      <c r="AC178" s="9" t="str">
        <f t="shared" si="31"/>
        <v/>
      </c>
      <c r="AD178" s="9" t="str">
        <f t="shared" si="32"/>
        <v/>
      </c>
    </row>
    <row r="179" spans="1:30" ht="21" customHeight="1" thickBot="1" x14ac:dyDescent="0.25">
      <c r="A179" s="54">
        <f t="shared" si="27"/>
        <v>173</v>
      </c>
      <c r="B179" s="34" t="s">
        <v>395</v>
      </c>
      <c r="C179" s="20" t="str">
        <f t="shared" si="26"/>
        <v>vs</v>
      </c>
      <c r="D179" s="21" t="s">
        <v>9</v>
      </c>
      <c r="E179" s="20">
        <v>2018</v>
      </c>
      <c r="F179" s="55" t="s">
        <v>23</v>
      </c>
      <c r="G179" s="9"/>
      <c r="H179" s="19" t="s">
        <v>396</v>
      </c>
      <c r="M179" s="9" t="str">
        <f>IF(D179=$M$3,1,"")</f>
        <v/>
      </c>
      <c r="N179" s="9">
        <f>IF(D179=$N$3,1,"")</f>
        <v>1</v>
      </c>
      <c r="O179" s="9" t="str">
        <f>IF(D179=$O$3,1,"")</f>
        <v/>
      </c>
      <c r="P179" s="9" t="str">
        <f>IF(D179=$P$3,1,"")</f>
        <v/>
      </c>
      <c r="Q179" s="9" t="str">
        <f>IF(D179=$Q$3,1,"")</f>
        <v/>
      </c>
      <c r="R179" s="9" t="str">
        <f>IF(D179=$R$3,1,"")</f>
        <v/>
      </c>
      <c r="S179" s="9" t="str">
        <f>IF(D179=$S$3,1,"")</f>
        <v/>
      </c>
      <c r="T179" s="9" t="str">
        <f>IF(D179=$T$3,1,"")</f>
        <v/>
      </c>
      <c r="U179" s="9" t="str">
        <f>IF(D179=$U$3,1,"")</f>
        <v/>
      </c>
      <c r="V179" s="9" t="str">
        <f>IF(D179=$V$3,1,"")</f>
        <v/>
      </c>
      <c r="W179" s="9" t="str">
        <f>IF(D179=$W$3,1,"")</f>
        <v/>
      </c>
      <c r="X179" s="9" t="str">
        <f>IF(D179=$X$3,1,"")</f>
        <v/>
      </c>
      <c r="Y179" s="9" t="e">
        <f>IF(#REF!=$X$3,1,"")</f>
        <v>#REF!</v>
      </c>
      <c r="Z179" s="9" t="str">
        <f t="shared" si="28"/>
        <v/>
      </c>
      <c r="AA179" s="9" t="str">
        <f t="shared" si="29"/>
        <v/>
      </c>
      <c r="AB179" s="9" t="str">
        <f t="shared" si="30"/>
        <v/>
      </c>
      <c r="AC179" s="9" t="str">
        <f t="shared" si="31"/>
        <v/>
      </c>
      <c r="AD179" s="9" t="str">
        <f t="shared" si="32"/>
        <v/>
      </c>
    </row>
    <row r="180" spans="1:30" ht="21" customHeight="1" x14ac:dyDescent="0.2">
      <c r="A180" s="12">
        <f t="shared" si="27"/>
        <v>174</v>
      </c>
      <c r="B180" s="110" t="s">
        <v>397</v>
      </c>
      <c r="C180" s="13" t="str">
        <f t="shared" si="26"/>
        <v>vs</v>
      </c>
      <c r="D180" s="31" t="s">
        <v>13</v>
      </c>
      <c r="E180" s="13">
        <v>2018</v>
      </c>
      <c r="F180" s="119" t="s">
        <v>23</v>
      </c>
      <c r="G180" s="9" t="s">
        <v>367</v>
      </c>
      <c r="H180" s="19" t="s">
        <v>398</v>
      </c>
      <c r="M180" s="9" t="str">
        <f>IF(D180=$M$3,1,"")</f>
        <v/>
      </c>
      <c r="N180" s="9" t="str">
        <f>IF(D180=$N$3,1,"")</f>
        <v/>
      </c>
      <c r="O180" s="9" t="str">
        <f>IF(D180=$O$3,1,"")</f>
        <v/>
      </c>
      <c r="P180" s="9" t="str">
        <f>IF(D180=$P$3,1,"")</f>
        <v/>
      </c>
      <c r="Q180" s="9" t="str">
        <f>IF(D180=$Q$3,1,"")</f>
        <v/>
      </c>
      <c r="R180" s="9">
        <f>IF(D180=$R$3,1,"")</f>
        <v>1</v>
      </c>
      <c r="S180" s="9" t="str">
        <f>IF(D180=$S$3,1,"")</f>
        <v/>
      </c>
      <c r="T180" s="9" t="str">
        <f>IF(D180=$T$3,1,"")</f>
        <v/>
      </c>
      <c r="U180" s="9" t="str">
        <f>IF(D180=$U$3,1,"")</f>
        <v/>
      </c>
      <c r="V180" s="9" t="str">
        <f>IF(D180=$V$3,1,"")</f>
        <v/>
      </c>
      <c r="W180" s="9" t="str">
        <f>IF(D180=$W$3,1,"")</f>
        <v/>
      </c>
      <c r="X180" s="9" t="str">
        <f>IF(D180=$X$3,1,"")</f>
        <v/>
      </c>
      <c r="Y180" s="9" t="e">
        <f>IF(#REF!=$X$3,1,"")</f>
        <v>#REF!</v>
      </c>
      <c r="Z180" s="9" t="str">
        <f t="shared" si="28"/>
        <v/>
      </c>
      <c r="AA180" s="9" t="str">
        <f t="shared" si="29"/>
        <v/>
      </c>
      <c r="AB180" s="9" t="str">
        <f t="shared" si="30"/>
        <v/>
      </c>
      <c r="AC180" s="9" t="str">
        <f t="shared" si="31"/>
        <v/>
      </c>
      <c r="AD180" s="9" t="str">
        <f t="shared" si="32"/>
        <v/>
      </c>
    </row>
    <row r="181" spans="1:30" ht="39.75" customHeight="1" thickBot="1" x14ac:dyDescent="0.25">
      <c r="A181" s="22">
        <f t="shared" si="27"/>
        <v>175</v>
      </c>
      <c r="B181" s="81" t="s">
        <v>399</v>
      </c>
      <c r="C181" s="23" t="str">
        <f t="shared" si="26"/>
        <v>vs</v>
      </c>
      <c r="D181" s="10" t="s">
        <v>9</v>
      </c>
      <c r="E181" s="23">
        <v>2018</v>
      </c>
      <c r="F181" s="11" t="s">
        <v>23</v>
      </c>
      <c r="G181" s="9" t="s">
        <v>367</v>
      </c>
      <c r="H181" s="19" t="s">
        <v>400</v>
      </c>
      <c r="I181" s="19" t="s">
        <v>401</v>
      </c>
      <c r="M181" s="9" t="str">
        <f>IF(D181=$M$3,1,"")</f>
        <v/>
      </c>
      <c r="N181" s="9">
        <f>IF(D181=$N$3,1,"")</f>
        <v>1</v>
      </c>
      <c r="O181" s="9" t="str">
        <f>IF(D181=$O$3,1,"")</f>
        <v/>
      </c>
      <c r="P181" s="9" t="str">
        <f>IF(D181=$P$3,1,"")</f>
        <v/>
      </c>
      <c r="Q181" s="9" t="str">
        <f>IF(D181=$Q$3,1,"")</f>
        <v/>
      </c>
      <c r="R181" s="9" t="str">
        <f>IF(D181=$R$3,1,"")</f>
        <v/>
      </c>
      <c r="S181" s="9" t="str">
        <f>IF(D181=$S$3,1,"")</f>
        <v/>
      </c>
      <c r="T181" s="9" t="str">
        <f>IF(D181=$T$3,1,"")</f>
        <v/>
      </c>
      <c r="U181" s="9" t="str">
        <f>IF(D181=$U$3,1,"")</f>
        <v/>
      </c>
      <c r="V181" s="9" t="str">
        <f>IF(D181=$V$3,1,"")</f>
        <v/>
      </c>
      <c r="W181" s="9" t="str">
        <f>IF(D181=$W$3,1,"")</f>
        <v/>
      </c>
      <c r="X181" s="9" t="str">
        <f>IF(D181=$X$3,1,"")</f>
        <v/>
      </c>
      <c r="Y181" s="9" t="e">
        <f>IF(#REF!=$X$3,1,"")</f>
        <v>#REF!</v>
      </c>
      <c r="Z181" s="9" t="str">
        <f t="shared" si="28"/>
        <v/>
      </c>
      <c r="AA181" s="9" t="str">
        <f t="shared" si="29"/>
        <v/>
      </c>
      <c r="AB181" s="9" t="str">
        <f t="shared" si="30"/>
        <v/>
      </c>
      <c r="AC181" s="9" t="str">
        <f t="shared" si="31"/>
        <v/>
      </c>
      <c r="AD181" s="9" t="str">
        <f t="shared" si="32"/>
        <v/>
      </c>
    </row>
    <row r="182" spans="1:30" ht="21" customHeight="1" x14ac:dyDescent="0.2">
      <c r="A182" s="56">
        <f t="shared" si="27"/>
        <v>176</v>
      </c>
      <c r="B182" s="131" t="s">
        <v>402</v>
      </c>
      <c r="C182" s="58" t="str">
        <f t="shared" si="26"/>
        <v>vs</v>
      </c>
      <c r="D182" s="116" t="s">
        <v>15</v>
      </c>
      <c r="E182" s="58">
        <v>2018</v>
      </c>
      <c r="F182" s="103" t="s">
        <v>23</v>
      </c>
      <c r="G182" s="9" t="s">
        <v>322</v>
      </c>
      <c r="H182" s="19" t="s">
        <v>403</v>
      </c>
      <c r="M182" s="9" t="str">
        <f>IF(D182=$M$3,1,"")</f>
        <v/>
      </c>
      <c r="N182" s="9" t="str">
        <f>IF(D182=$N$3,1,"")</f>
        <v/>
      </c>
      <c r="O182" s="9" t="str">
        <f>IF(D182=$O$3,1,"")</f>
        <v/>
      </c>
      <c r="P182" s="9" t="str">
        <f>IF(D182=$P$3,1,"")</f>
        <v/>
      </c>
      <c r="Q182" s="9" t="str">
        <f>IF(D182=$Q$3,1,"")</f>
        <v/>
      </c>
      <c r="R182" s="9" t="str">
        <f>IF(D182=$R$3,1,"")</f>
        <v/>
      </c>
      <c r="S182" s="9" t="str">
        <f>IF(D182=$S$3,1,"")</f>
        <v/>
      </c>
      <c r="T182" s="9">
        <f>IF(D182=$T$3,1,"")</f>
        <v>1</v>
      </c>
      <c r="U182" s="9" t="str">
        <f>IF(D182=$U$3,1,"")</f>
        <v/>
      </c>
      <c r="V182" s="9" t="str">
        <f>IF(D182=$V$3,1,"")</f>
        <v/>
      </c>
      <c r="W182" s="9" t="str">
        <f>IF(D182=$W$3,1,"")</f>
        <v/>
      </c>
      <c r="X182" s="9" t="str">
        <f>IF(D182=$X$3,1,"")</f>
        <v/>
      </c>
      <c r="Y182" s="9" t="e">
        <f>IF(#REF!=$X$3,1,"")</f>
        <v>#REF!</v>
      </c>
      <c r="Z182" s="9" t="str">
        <f t="shared" si="28"/>
        <v/>
      </c>
      <c r="AA182" s="9" t="str">
        <f t="shared" si="29"/>
        <v/>
      </c>
      <c r="AB182" s="9" t="str">
        <f t="shared" si="30"/>
        <v/>
      </c>
      <c r="AC182" s="9" t="str">
        <f t="shared" si="31"/>
        <v/>
      </c>
      <c r="AD182" s="9" t="str">
        <f t="shared" si="32"/>
        <v/>
      </c>
    </row>
    <row r="183" spans="1:30" ht="21" customHeight="1" x14ac:dyDescent="0.2">
      <c r="A183" s="15">
        <f t="shared" si="27"/>
        <v>177</v>
      </c>
      <c r="B183" s="112" t="s">
        <v>404</v>
      </c>
      <c r="C183" s="16" t="str">
        <f t="shared" si="26"/>
        <v>vs</v>
      </c>
      <c r="D183" s="17" t="s">
        <v>15</v>
      </c>
      <c r="E183" s="16">
        <v>2018</v>
      </c>
      <c r="F183" s="18" t="s">
        <v>23</v>
      </c>
      <c r="G183" s="9" t="s">
        <v>322</v>
      </c>
      <c r="H183" s="19" t="s">
        <v>405</v>
      </c>
      <c r="M183" s="9" t="str">
        <f>IF(D183=$M$3,1,"")</f>
        <v/>
      </c>
      <c r="N183" s="9" t="str">
        <f>IF(D183=$N$3,1,"")</f>
        <v/>
      </c>
      <c r="O183" s="9" t="str">
        <f>IF(D183=$O$3,1,"")</f>
        <v/>
      </c>
      <c r="P183" s="9" t="str">
        <f>IF(D183=$P$3,1,"")</f>
        <v/>
      </c>
      <c r="Q183" s="9" t="str">
        <f>IF(D183=$Q$3,1,"")</f>
        <v/>
      </c>
      <c r="R183" s="9" t="str">
        <f>IF(D183=$R$3,1,"")</f>
        <v/>
      </c>
      <c r="S183" s="9" t="str">
        <f>IF(D183=$S$3,1,"")</f>
        <v/>
      </c>
      <c r="T183" s="9">
        <f>IF(D183=$T$3,1,"")</f>
        <v>1</v>
      </c>
      <c r="U183" s="9" t="str">
        <f>IF(D183=$U$3,1,"")</f>
        <v/>
      </c>
      <c r="V183" s="9" t="str">
        <f>IF(D183=$V$3,1,"")</f>
        <v/>
      </c>
      <c r="W183" s="9" t="str">
        <f>IF(D183=$W$3,1,"")</f>
        <v/>
      </c>
      <c r="X183" s="9" t="str">
        <f>IF(D183=$X$3,1,"")</f>
        <v/>
      </c>
      <c r="Y183" s="9" t="e">
        <f>IF(#REF!=$X$3,1,"")</f>
        <v>#REF!</v>
      </c>
      <c r="Z183" s="9" t="str">
        <f t="shared" si="28"/>
        <v/>
      </c>
      <c r="AA183" s="9" t="str">
        <f t="shared" si="29"/>
        <v/>
      </c>
      <c r="AB183" s="9" t="str">
        <f t="shared" si="30"/>
        <v/>
      </c>
      <c r="AC183" s="9" t="str">
        <f t="shared" si="31"/>
        <v/>
      </c>
      <c r="AD183" s="9" t="str">
        <f t="shared" si="32"/>
        <v/>
      </c>
    </row>
    <row r="184" spans="1:30" ht="40.5" customHeight="1" thickBot="1" x14ac:dyDescent="0.25">
      <c r="A184" s="22">
        <f t="shared" si="27"/>
        <v>178</v>
      </c>
      <c r="B184" s="130" t="s">
        <v>406</v>
      </c>
      <c r="C184" s="23" t="str">
        <f t="shared" si="26"/>
        <v>vs</v>
      </c>
      <c r="D184" s="10" t="s">
        <v>11</v>
      </c>
      <c r="E184" s="23">
        <v>2018</v>
      </c>
      <c r="F184" s="11" t="s">
        <v>23</v>
      </c>
      <c r="G184" s="9" t="s">
        <v>322</v>
      </c>
      <c r="H184" s="19" t="s">
        <v>407</v>
      </c>
      <c r="M184" s="9" t="str">
        <f>IF(D184=$M$3,1,"")</f>
        <v/>
      </c>
      <c r="N184" s="9" t="str">
        <f>IF(D184=$N$3,1,"")</f>
        <v/>
      </c>
      <c r="O184" s="9" t="str">
        <f>IF(D184=$O$3,1,"")</f>
        <v/>
      </c>
      <c r="P184" s="9">
        <f>IF(D184=$P$3,1,"")</f>
        <v>1</v>
      </c>
      <c r="Q184" s="9" t="str">
        <f>IF(D184=$Q$3,1,"")</f>
        <v/>
      </c>
      <c r="R184" s="9" t="str">
        <f>IF(D184=$R$3,1,"")</f>
        <v/>
      </c>
      <c r="S184" s="9" t="str">
        <f>IF(D184=$S$3,1,"")</f>
        <v/>
      </c>
      <c r="T184" s="9" t="str">
        <f>IF(D184=$T$3,1,"")</f>
        <v/>
      </c>
      <c r="U184" s="9" t="str">
        <f>IF(D184=$U$3,1,"")</f>
        <v/>
      </c>
      <c r="V184" s="9" t="str">
        <f>IF(D184=$V$3,1,"")</f>
        <v/>
      </c>
      <c r="W184" s="9" t="str">
        <f>IF(D184=$W$3,1,"")</f>
        <v/>
      </c>
      <c r="X184" s="9" t="str">
        <f>IF(D184=$X$3,1,"")</f>
        <v/>
      </c>
      <c r="Y184" s="9" t="e">
        <f>IF(#REF!=$X$3,1,"")</f>
        <v>#REF!</v>
      </c>
      <c r="Z184" s="9" t="str">
        <f t="shared" si="28"/>
        <v/>
      </c>
      <c r="AA184" s="9" t="str">
        <f t="shared" si="29"/>
        <v/>
      </c>
      <c r="AB184" s="9" t="str">
        <f t="shared" si="30"/>
        <v/>
      </c>
      <c r="AC184" s="9" t="str">
        <f t="shared" si="31"/>
        <v/>
      </c>
      <c r="AD184" s="9" t="str">
        <f t="shared" si="32"/>
        <v/>
      </c>
    </row>
    <row r="185" spans="1:30" ht="21" customHeight="1" x14ac:dyDescent="0.2">
      <c r="A185" s="56">
        <f>IF(B185="","",A184+1)</f>
        <v>179</v>
      </c>
      <c r="B185" s="131" t="s">
        <v>408</v>
      </c>
      <c r="C185" s="58" t="str">
        <f t="shared" si="26"/>
        <v>vs</v>
      </c>
      <c r="D185" s="116" t="s">
        <v>61</v>
      </c>
      <c r="E185" s="58">
        <v>2019</v>
      </c>
      <c r="F185" s="103" t="s">
        <v>47</v>
      </c>
      <c r="G185" s="9"/>
      <c r="H185" s="19" t="s">
        <v>409</v>
      </c>
      <c r="I185" s="7" t="s">
        <v>410</v>
      </c>
      <c r="M185" s="9" t="str">
        <f>IF(D185=$M$3,1,"")</f>
        <v/>
      </c>
      <c r="N185" s="9" t="str">
        <f>IF(D185=$N$3,1,"")</f>
        <v/>
      </c>
      <c r="O185" s="9" t="str">
        <f>IF(D185=$O$3,1,"")</f>
        <v/>
      </c>
      <c r="P185" s="9" t="str">
        <f>IF(D185=$P$3,1,"")</f>
        <v/>
      </c>
      <c r="Q185" s="9" t="str">
        <f>IF(D185=$Q$3,1,"")</f>
        <v/>
      </c>
      <c r="R185" s="9" t="str">
        <f>IF(D185=$R$3,1,"")</f>
        <v/>
      </c>
      <c r="S185" s="9" t="str">
        <f>IF(D185=$S$3,1,"")</f>
        <v/>
      </c>
      <c r="T185" s="9" t="str">
        <f>IF(D185=$T$3,1,"")</f>
        <v/>
      </c>
      <c r="U185" s="9" t="str">
        <f>IF(D185=$U$3,1,"")</f>
        <v/>
      </c>
      <c r="V185" s="9" t="str">
        <f>IF(D185=$V$3,1,"")</f>
        <v/>
      </c>
      <c r="W185" s="9" t="str">
        <f>IF(D185=$W$3,1,"")</f>
        <v/>
      </c>
      <c r="X185" s="9" t="str">
        <f>IF(D185=$X$3,1,"")</f>
        <v/>
      </c>
      <c r="Y185" s="9" t="e">
        <f>IF(#REF!=$X$3,1,"")</f>
        <v>#REF!</v>
      </c>
      <c r="Z185" s="9" t="str">
        <f t="shared" si="28"/>
        <v/>
      </c>
      <c r="AA185" s="9" t="str">
        <f t="shared" si="29"/>
        <v/>
      </c>
      <c r="AB185" s="9" t="str">
        <f t="shared" si="30"/>
        <v/>
      </c>
      <c r="AC185" s="9" t="str">
        <f t="shared" si="31"/>
        <v/>
      </c>
      <c r="AD185" s="9" t="str">
        <f t="shared" si="32"/>
        <v/>
      </c>
    </row>
    <row r="186" spans="1:30" ht="21" customHeight="1" x14ac:dyDescent="0.2">
      <c r="A186" s="15">
        <f t="shared" si="27"/>
        <v>180</v>
      </c>
      <c r="B186" s="112" t="s">
        <v>411</v>
      </c>
      <c r="C186" s="16" t="str">
        <f t="shared" si="26"/>
        <v>vs</v>
      </c>
      <c r="D186" s="17" t="s">
        <v>15</v>
      </c>
      <c r="E186" s="16">
        <v>2019</v>
      </c>
      <c r="F186" s="18" t="s">
        <v>23</v>
      </c>
      <c r="G186" s="9" t="s">
        <v>386</v>
      </c>
      <c r="H186" s="19" t="s">
        <v>412</v>
      </c>
      <c r="M186" s="9" t="str">
        <f>IF(D186=$M$3,1,"")</f>
        <v/>
      </c>
      <c r="N186" s="9" t="str">
        <f>IF(D186=$N$3,1,"")</f>
        <v/>
      </c>
      <c r="O186" s="9" t="str">
        <f>IF(D186=$O$3,1,"")</f>
        <v/>
      </c>
      <c r="P186" s="9" t="str">
        <f>IF(D186=$P$3,1,"")</f>
        <v/>
      </c>
      <c r="Q186" s="9" t="str">
        <f>IF(D186=$Q$3,1,"")</f>
        <v/>
      </c>
      <c r="R186" s="9" t="str">
        <f>IF(D186=$R$3,1,"")</f>
        <v/>
      </c>
      <c r="S186" s="9" t="str">
        <f>IF(D186=$S$3,1,"")</f>
        <v/>
      </c>
      <c r="T186" s="9">
        <f>IF(D186=$T$3,1,"")</f>
        <v>1</v>
      </c>
      <c r="U186" s="9" t="str">
        <f>IF(D186=$U$3,1,"")</f>
        <v/>
      </c>
      <c r="V186" s="9" t="str">
        <f>IF(D186=$V$3,1,"")</f>
        <v/>
      </c>
      <c r="W186" s="9" t="str">
        <f>IF(D186=$W$3,1,"")</f>
        <v/>
      </c>
      <c r="X186" s="9" t="str">
        <f>IF(D186=$X$3,1,"")</f>
        <v/>
      </c>
      <c r="Y186" s="9" t="e">
        <f>IF(#REF!=$X$3,1,"")</f>
        <v>#REF!</v>
      </c>
      <c r="Z186" s="9" t="str">
        <f t="shared" si="28"/>
        <v/>
      </c>
      <c r="AA186" s="9" t="str">
        <f t="shared" si="29"/>
        <v/>
      </c>
      <c r="AB186" s="9" t="str">
        <f t="shared" si="30"/>
        <v/>
      </c>
      <c r="AC186" s="9" t="str">
        <f t="shared" si="31"/>
        <v/>
      </c>
      <c r="AD186" s="9" t="str">
        <f t="shared" si="32"/>
        <v/>
      </c>
    </row>
    <row r="187" spans="1:30" ht="21" customHeight="1" x14ac:dyDescent="0.2">
      <c r="A187" s="15">
        <f t="shared" si="27"/>
        <v>181</v>
      </c>
      <c r="B187" s="112" t="s">
        <v>413</v>
      </c>
      <c r="C187" s="16" t="str">
        <f t="shared" si="26"/>
        <v>vs</v>
      </c>
      <c r="D187" s="17" t="s">
        <v>18</v>
      </c>
      <c r="E187" s="16">
        <v>2019</v>
      </c>
      <c r="F187" s="18" t="s">
        <v>23</v>
      </c>
      <c r="G187" s="9" t="s">
        <v>386</v>
      </c>
      <c r="H187" s="19" t="s">
        <v>414</v>
      </c>
      <c r="I187" s="19" t="s">
        <v>415</v>
      </c>
      <c r="M187" s="9" t="str">
        <f>IF(D187=$M$3,1,"")</f>
        <v/>
      </c>
      <c r="N187" s="9" t="str">
        <f>IF(D187=$N$3,1,"")</f>
        <v/>
      </c>
      <c r="O187" s="9" t="str">
        <f>IF(D187=$O$3,1,"")</f>
        <v/>
      </c>
      <c r="P187" s="9" t="str">
        <f>IF(D187=$P$3,1,"")</f>
        <v/>
      </c>
      <c r="Q187" s="9" t="str">
        <f>IF(D187=$Q$3,1,"")</f>
        <v/>
      </c>
      <c r="R187" s="9" t="str">
        <f>IF(D187=$R$3,1,"")</f>
        <v/>
      </c>
      <c r="S187" s="9" t="str">
        <f>IF(D187=$S$3,1,"")</f>
        <v/>
      </c>
      <c r="T187" s="9" t="str">
        <f>IF(D187=$T$3,1,"")</f>
        <v/>
      </c>
      <c r="U187" s="9" t="str">
        <f>IF(D187=$U$3,1,"")</f>
        <v/>
      </c>
      <c r="V187" s="9" t="str">
        <f>IF(D187=$V$3,1,"")</f>
        <v/>
      </c>
      <c r="W187" s="9">
        <f>IF(D187=$W$3,1,"")</f>
        <v>1</v>
      </c>
      <c r="X187" s="9" t="str">
        <f>IF(D187=$X$3,1,"")</f>
        <v/>
      </c>
      <c r="Y187" s="9" t="e">
        <f>IF(#REF!=$X$3,1,"")</f>
        <v>#REF!</v>
      </c>
      <c r="Z187" s="9" t="str">
        <f t="shared" si="28"/>
        <v/>
      </c>
      <c r="AA187" s="9" t="str">
        <f t="shared" si="29"/>
        <v/>
      </c>
      <c r="AB187" s="9" t="str">
        <f t="shared" si="30"/>
        <v/>
      </c>
      <c r="AC187" s="9" t="str">
        <f t="shared" si="31"/>
        <v/>
      </c>
      <c r="AD187" s="9" t="str">
        <f t="shared" si="32"/>
        <v/>
      </c>
    </row>
    <row r="188" spans="1:30" ht="21" customHeight="1" thickBot="1" x14ac:dyDescent="0.25">
      <c r="A188" s="22">
        <f t="shared" si="27"/>
        <v>182</v>
      </c>
      <c r="B188" s="81" t="s">
        <v>416</v>
      </c>
      <c r="C188" s="23" t="str">
        <f t="shared" ref="C188:C254" si="33">IF(B188="","","vs")</f>
        <v>vs</v>
      </c>
      <c r="D188" s="10" t="s">
        <v>61</v>
      </c>
      <c r="E188" s="23">
        <v>2019</v>
      </c>
      <c r="F188" s="11" t="s">
        <v>23</v>
      </c>
      <c r="G188" s="9" t="s">
        <v>386</v>
      </c>
      <c r="H188" s="19" t="s">
        <v>417</v>
      </c>
      <c r="M188" s="9" t="str">
        <f>IF(D188=$M$3,1,"")</f>
        <v/>
      </c>
      <c r="N188" s="9" t="str">
        <f>IF(D188=$N$3,1,"")</f>
        <v/>
      </c>
      <c r="O188" s="9" t="str">
        <f>IF(D188=$O$3,1,"")</f>
        <v/>
      </c>
      <c r="P188" s="9" t="str">
        <f>IF(D188=$P$3,1,"")</f>
        <v/>
      </c>
      <c r="Q188" s="9" t="str">
        <f>IF(D188=$Q$3,1,"")</f>
        <v/>
      </c>
      <c r="R188" s="9" t="str">
        <f>IF(D188=$R$3,1,"")</f>
        <v/>
      </c>
      <c r="S188" s="9" t="str">
        <f>IF(D188=$S$3,1,"")</f>
        <v/>
      </c>
      <c r="T188" s="9" t="str">
        <f>IF(D188=$T$3,1,"")</f>
        <v/>
      </c>
      <c r="U188" s="9" t="str">
        <f>IF(D188=$U$3,1,"")</f>
        <v/>
      </c>
      <c r="V188" s="9" t="str">
        <f>IF(D188=$V$3,1,"")</f>
        <v/>
      </c>
      <c r="W188" s="9" t="str">
        <f>IF(D188=$W$3,1,"")</f>
        <v/>
      </c>
      <c r="X188" s="9" t="str">
        <f>IF(D188=$X$3,1,"")</f>
        <v/>
      </c>
      <c r="Y188" s="9" t="e">
        <f>IF(#REF!=$X$3,1,"")</f>
        <v>#REF!</v>
      </c>
      <c r="Z188" s="9" t="str">
        <f t="shared" si="28"/>
        <v/>
      </c>
      <c r="AA188" s="9" t="str">
        <f t="shared" si="29"/>
        <v/>
      </c>
      <c r="AB188" s="9" t="str">
        <f t="shared" si="30"/>
        <v/>
      </c>
      <c r="AC188" s="9" t="str">
        <f t="shared" si="31"/>
        <v/>
      </c>
      <c r="AD188" s="9" t="str">
        <f t="shared" si="32"/>
        <v/>
      </c>
    </row>
    <row r="189" spans="1:30" ht="21" customHeight="1" x14ac:dyDescent="0.2">
      <c r="A189" s="56">
        <f t="shared" si="27"/>
        <v>183</v>
      </c>
      <c r="B189" s="131" t="s">
        <v>418</v>
      </c>
      <c r="C189" s="58" t="str">
        <f t="shared" si="33"/>
        <v>vs</v>
      </c>
      <c r="D189" s="116" t="s">
        <v>15</v>
      </c>
      <c r="E189" s="58">
        <v>2019</v>
      </c>
      <c r="F189" s="103" t="s">
        <v>47</v>
      </c>
      <c r="G189" s="9"/>
      <c r="H189" s="19" t="s">
        <v>419</v>
      </c>
      <c r="M189" s="9" t="str">
        <f>IF(D189=$M$3,1,"")</f>
        <v/>
      </c>
      <c r="N189" s="9" t="str">
        <f>IF(D189=$N$3,1,"")</f>
        <v/>
      </c>
      <c r="O189" s="9" t="str">
        <f>IF(D189=$O$3,1,"")</f>
        <v/>
      </c>
      <c r="P189" s="9" t="str">
        <f>IF(D189=$P$3,1,"")</f>
        <v/>
      </c>
      <c r="Q189" s="9" t="str">
        <f>IF(D189=$Q$3,1,"")</f>
        <v/>
      </c>
      <c r="R189" s="9" t="str">
        <f>IF(D189=$R$3,1,"")</f>
        <v/>
      </c>
      <c r="S189" s="9" t="str">
        <f>IF(D189=$S$3,1,"")</f>
        <v/>
      </c>
      <c r="T189" s="9">
        <f>IF(D189=$T$3,1,"")</f>
        <v>1</v>
      </c>
      <c r="U189" s="9" t="str">
        <f>IF(D189=$U$3,1,"")</f>
        <v/>
      </c>
      <c r="V189" s="9" t="str">
        <f>IF(D189=$V$3,1,"")</f>
        <v/>
      </c>
      <c r="W189" s="9" t="str">
        <f>IF(D189=$W$3,1,"")</f>
        <v/>
      </c>
      <c r="X189" s="9" t="str">
        <f>IF(D189=$X$3,1,"")</f>
        <v/>
      </c>
      <c r="Y189" s="9" t="e">
        <f>IF(#REF!=$X$3,1,"")</f>
        <v>#REF!</v>
      </c>
      <c r="Z189" s="9" t="str">
        <f t="shared" si="28"/>
        <v/>
      </c>
      <c r="AA189" s="9" t="str">
        <f t="shared" si="29"/>
        <v/>
      </c>
      <c r="AB189" s="9" t="str">
        <f t="shared" si="30"/>
        <v/>
      </c>
      <c r="AC189" s="9" t="str">
        <f t="shared" si="31"/>
        <v/>
      </c>
      <c r="AD189" s="9" t="str">
        <f t="shared" si="32"/>
        <v/>
      </c>
    </row>
    <row r="190" spans="1:30" ht="21" customHeight="1" x14ac:dyDescent="0.2">
      <c r="A190" s="15">
        <f t="shared" si="27"/>
        <v>184</v>
      </c>
      <c r="B190" s="112" t="s">
        <v>420</v>
      </c>
      <c r="C190" s="16" t="str">
        <f t="shared" si="33"/>
        <v>vs</v>
      </c>
      <c r="D190" s="17" t="s">
        <v>15</v>
      </c>
      <c r="E190" s="16">
        <v>2019</v>
      </c>
      <c r="F190" s="18" t="s">
        <v>23</v>
      </c>
      <c r="G190" s="9" t="s">
        <v>421</v>
      </c>
      <c r="H190" s="19" t="s">
        <v>422</v>
      </c>
      <c r="M190" s="9" t="str">
        <f>IF(D190=$M$3,1,"")</f>
        <v/>
      </c>
      <c r="N190" s="9" t="str">
        <f>IF(D190=$N$3,1,"")</f>
        <v/>
      </c>
      <c r="O190" s="9" t="str">
        <f>IF(D190=$O$3,1,"")</f>
        <v/>
      </c>
      <c r="P190" s="9" t="str">
        <f>IF(D190=$P$3,1,"")</f>
        <v/>
      </c>
      <c r="Q190" s="9" t="str">
        <f>IF(D190=$Q$3,1,"")</f>
        <v/>
      </c>
      <c r="R190" s="9" t="str">
        <f>IF(D190=$R$3,1,"")</f>
        <v/>
      </c>
      <c r="S190" s="9" t="str">
        <f>IF(D190=$S$3,1,"")</f>
        <v/>
      </c>
      <c r="T190" s="9">
        <f>IF(D190=$T$3,1,"")</f>
        <v>1</v>
      </c>
      <c r="U190" s="9" t="str">
        <f>IF(D190=$U$3,1,"")</f>
        <v/>
      </c>
      <c r="V190" s="9" t="str">
        <f>IF(D190=$V$3,1,"")</f>
        <v/>
      </c>
      <c r="W190" s="9" t="str">
        <f>IF(D190=$W$3,1,"")</f>
        <v/>
      </c>
      <c r="X190" s="9" t="str">
        <f>IF(D190=$X$3,1,"")</f>
        <v/>
      </c>
      <c r="Y190" s="9" t="e">
        <f>IF(#REF!=$X$3,1,"")</f>
        <v>#REF!</v>
      </c>
      <c r="Z190" s="9" t="str">
        <f t="shared" si="28"/>
        <v/>
      </c>
      <c r="AA190" s="9" t="str">
        <f t="shared" si="29"/>
        <v/>
      </c>
      <c r="AB190" s="9" t="str">
        <f t="shared" si="30"/>
        <v/>
      </c>
      <c r="AC190" s="9" t="str">
        <f t="shared" si="31"/>
        <v/>
      </c>
      <c r="AD190" s="9" t="str">
        <f t="shared" si="32"/>
        <v/>
      </c>
    </row>
    <row r="191" spans="1:30" ht="21" customHeight="1" x14ac:dyDescent="0.2">
      <c r="A191" s="15">
        <f t="shared" si="27"/>
        <v>185</v>
      </c>
      <c r="B191" s="112" t="s">
        <v>423</v>
      </c>
      <c r="C191" s="16" t="str">
        <f t="shared" si="33"/>
        <v>vs</v>
      </c>
      <c r="D191" s="17" t="s">
        <v>18</v>
      </c>
      <c r="E191" s="16">
        <v>2019</v>
      </c>
      <c r="F191" s="18" t="s">
        <v>23</v>
      </c>
      <c r="G191" s="9" t="s">
        <v>421</v>
      </c>
      <c r="H191" s="19" t="s">
        <v>424</v>
      </c>
      <c r="M191" s="9" t="str">
        <f>IF(D191=$M$3,1,"")</f>
        <v/>
      </c>
      <c r="N191" s="9" t="str">
        <f>IF(D191=$N$3,1,"")</f>
        <v/>
      </c>
      <c r="O191" s="9" t="str">
        <f>IF(D191=$O$3,1,"")</f>
        <v/>
      </c>
      <c r="P191" s="9" t="str">
        <f>IF(D191=$P$3,1,"")</f>
        <v/>
      </c>
      <c r="Q191" s="9" t="str">
        <f>IF(D191=$Q$3,1,"")</f>
        <v/>
      </c>
      <c r="R191" s="9" t="str">
        <f>IF(D191=$R$3,1,"")</f>
        <v/>
      </c>
      <c r="S191" s="9" t="str">
        <f>IF(D191=$S$3,1,"")</f>
        <v/>
      </c>
      <c r="T191" s="9" t="str">
        <f>IF(D191=$T$3,1,"")</f>
        <v/>
      </c>
      <c r="U191" s="9" t="str">
        <f>IF(D191=$U$3,1,"")</f>
        <v/>
      </c>
      <c r="V191" s="9" t="str">
        <f>IF(D191=$V$3,1,"")</f>
        <v/>
      </c>
      <c r="W191" s="9">
        <f>IF(D191=$W$3,1,"")</f>
        <v>1</v>
      </c>
      <c r="X191" s="9" t="str">
        <f>IF(D191=$X$3,1,"")</f>
        <v/>
      </c>
      <c r="Y191" s="9" t="e">
        <f>IF(#REF!=$X$3,1,"")</f>
        <v>#REF!</v>
      </c>
      <c r="Z191" s="9" t="str">
        <f t="shared" si="28"/>
        <v/>
      </c>
      <c r="AA191" s="9" t="str">
        <f t="shared" si="29"/>
        <v/>
      </c>
      <c r="AB191" s="9" t="str">
        <f t="shared" si="30"/>
        <v/>
      </c>
      <c r="AC191" s="9" t="str">
        <f t="shared" si="31"/>
        <v/>
      </c>
      <c r="AD191" s="9" t="str">
        <f t="shared" si="32"/>
        <v/>
      </c>
    </row>
    <row r="192" spans="1:30" ht="21" customHeight="1" thickBot="1" x14ac:dyDescent="0.25">
      <c r="A192" s="22">
        <f t="shared" si="27"/>
        <v>186</v>
      </c>
      <c r="B192" s="81" t="s">
        <v>425</v>
      </c>
      <c r="C192" s="23" t="str">
        <f t="shared" si="33"/>
        <v>vs</v>
      </c>
      <c r="D192" s="10" t="s">
        <v>16</v>
      </c>
      <c r="E192" s="23">
        <v>2019</v>
      </c>
      <c r="F192" s="11" t="s">
        <v>23</v>
      </c>
      <c r="G192" s="9" t="s">
        <v>421</v>
      </c>
      <c r="H192" s="19" t="s">
        <v>426</v>
      </c>
      <c r="M192" s="9" t="str">
        <f>IF(D192=$M$3,1,"")</f>
        <v/>
      </c>
      <c r="N192" s="9" t="str">
        <f>IF(D192=$N$3,1,"")</f>
        <v/>
      </c>
      <c r="O192" s="9" t="str">
        <f>IF(D192=$O$3,1,"")</f>
        <v/>
      </c>
      <c r="P192" s="9" t="str">
        <f>IF(D192=$P$3,1,"")</f>
        <v/>
      </c>
      <c r="Q192" s="9" t="str">
        <f>IF(D192=$Q$3,1,"")</f>
        <v/>
      </c>
      <c r="R192" s="9" t="str">
        <f>IF(D192=$R$3,1,"")</f>
        <v/>
      </c>
      <c r="S192" s="9" t="str">
        <f>IF(D192=$S$3,1,"")</f>
        <v/>
      </c>
      <c r="T192" s="9" t="str">
        <f>IF(D192=$T$3,1,"")</f>
        <v/>
      </c>
      <c r="U192" s="9">
        <f>IF(D192=$U$3,1,"")</f>
        <v>1</v>
      </c>
      <c r="V192" s="9" t="str">
        <f>IF(D192=$V$3,1,"")</f>
        <v/>
      </c>
      <c r="W192" s="9" t="str">
        <f>IF(D192=$W$3,1,"")</f>
        <v/>
      </c>
      <c r="X192" s="9" t="str">
        <f>IF(D192=$X$3,1,"")</f>
        <v/>
      </c>
      <c r="Y192" s="9" t="e">
        <f>IF(#REF!=$X$3,1,"")</f>
        <v>#REF!</v>
      </c>
      <c r="Z192" s="9" t="str">
        <f t="shared" si="28"/>
        <v/>
      </c>
      <c r="AA192" s="9" t="str">
        <f t="shared" si="29"/>
        <v/>
      </c>
      <c r="AB192" s="9" t="str">
        <f t="shared" si="30"/>
        <v/>
      </c>
      <c r="AC192" s="9" t="str">
        <f t="shared" si="31"/>
        <v/>
      </c>
      <c r="AD192" s="9" t="str">
        <f t="shared" si="32"/>
        <v/>
      </c>
    </row>
    <row r="193" spans="1:30" ht="21" customHeight="1" x14ac:dyDescent="0.2">
      <c r="A193" s="56">
        <f t="shared" si="27"/>
        <v>187</v>
      </c>
      <c r="B193" s="131" t="s">
        <v>427</v>
      </c>
      <c r="C193" s="58" t="str">
        <f t="shared" si="33"/>
        <v>vs</v>
      </c>
      <c r="D193" s="116" t="s">
        <v>9</v>
      </c>
      <c r="E193" s="58">
        <v>2019</v>
      </c>
      <c r="F193" s="103" t="s">
        <v>23</v>
      </c>
      <c r="G193" s="9"/>
      <c r="H193" s="19" t="s">
        <v>428</v>
      </c>
      <c r="M193" s="9" t="str">
        <f>IF(D193=$M$3,1,"")</f>
        <v/>
      </c>
      <c r="N193" s="9">
        <f>IF(D193=$N$3,1,"")</f>
        <v>1</v>
      </c>
      <c r="O193" s="9" t="str">
        <f>IF(D193=$O$3,1,"")</f>
        <v/>
      </c>
      <c r="P193" s="9" t="str">
        <f>IF(D193=$P$3,1,"")</f>
        <v/>
      </c>
      <c r="Q193" s="9" t="str">
        <f>IF(D193=$Q$3,1,"")</f>
        <v/>
      </c>
      <c r="R193" s="9" t="str">
        <f>IF(D193=$R$3,1,"")</f>
        <v/>
      </c>
      <c r="S193" s="9" t="str">
        <f>IF(D193=$S$3,1,"")</f>
        <v/>
      </c>
      <c r="T193" s="9" t="str">
        <f>IF(D193=$T$3,1,"")</f>
        <v/>
      </c>
      <c r="U193" s="9" t="str">
        <f>IF(D193=$U$3,1,"")</f>
        <v/>
      </c>
      <c r="V193" s="9" t="str">
        <f>IF(D193=$V$3,1,"")</f>
        <v/>
      </c>
      <c r="W193" s="9" t="str">
        <f>IF(D193=$W$3,1,"")</f>
        <v/>
      </c>
      <c r="X193" s="9" t="str">
        <f>IF(D193=$X$3,1,"")</f>
        <v/>
      </c>
      <c r="Y193" s="9" t="e">
        <f>IF(#REF!=$X$3,1,"")</f>
        <v>#REF!</v>
      </c>
      <c r="Z193" s="9" t="str">
        <f t="shared" si="28"/>
        <v/>
      </c>
      <c r="AA193" s="9" t="str">
        <f t="shared" si="29"/>
        <v/>
      </c>
      <c r="AB193" s="9" t="str">
        <f t="shared" si="30"/>
        <v/>
      </c>
      <c r="AC193" s="9" t="str">
        <f t="shared" si="31"/>
        <v/>
      </c>
      <c r="AD193" s="9" t="str">
        <f t="shared" si="32"/>
        <v/>
      </c>
    </row>
    <row r="194" spans="1:30" ht="21" customHeight="1" x14ac:dyDescent="0.2">
      <c r="A194" s="15">
        <f t="shared" si="27"/>
        <v>188</v>
      </c>
      <c r="B194" s="112" t="s">
        <v>429</v>
      </c>
      <c r="C194" s="16" t="str">
        <f t="shared" si="33"/>
        <v>vs</v>
      </c>
      <c r="D194" s="17" t="s">
        <v>15</v>
      </c>
      <c r="E194" s="16">
        <v>2019</v>
      </c>
      <c r="F194" s="18" t="s">
        <v>23</v>
      </c>
      <c r="G194" s="9" t="s">
        <v>430</v>
      </c>
      <c r="H194" s="19" t="s">
        <v>431</v>
      </c>
      <c r="M194" s="9" t="str">
        <f>IF(D194=$M$3,1,"")</f>
        <v/>
      </c>
      <c r="N194" s="9" t="str">
        <f>IF(D194=$N$3,1,"")</f>
        <v/>
      </c>
      <c r="O194" s="9" t="str">
        <f>IF(D194=$O$3,1,"")</f>
        <v/>
      </c>
      <c r="P194" s="9" t="str">
        <f>IF(D194=$P$3,1,"")</f>
        <v/>
      </c>
      <c r="Q194" s="9" t="str">
        <f>IF(D194=$Q$3,1,"")</f>
        <v/>
      </c>
      <c r="R194" s="9" t="str">
        <f>IF(D194=$R$3,1,"")</f>
        <v/>
      </c>
      <c r="S194" s="9" t="str">
        <f>IF(D194=$S$3,1,"")</f>
        <v/>
      </c>
      <c r="T194" s="9">
        <f>IF(D194=$T$3,1,"")</f>
        <v>1</v>
      </c>
      <c r="U194" s="9" t="str">
        <f>IF(D194=$U$3,1,"")</f>
        <v/>
      </c>
      <c r="V194" s="9" t="str">
        <f>IF(D194=$V$3,1,"")</f>
        <v/>
      </c>
      <c r="W194" s="9" t="str">
        <f>IF(D194=$W$3,1,"")</f>
        <v/>
      </c>
      <c r="X194" s="9" t="str">
        <f>IF(D194=$X$3,1,"")</f>
        <v/>
      </c>
      <c r="Y194" s="9" t="e">
        <f>IF(#REF!=$X$3,1,"")</f>
        <v>#REF!</v>
      </c>
      <c r="Z194" s="9" t="str">
        <f t="shared" si="28"/>
        <v/>
      </c>
      <c r="AA194" s="9" t="str">
        <f t="shared" si="29"/>
        <v/>
      </c>
      <c r="AB194" s="9" t="str">
        <f t="shared" si="30"/>
        <v/>
      </c>
      <c r="AC194" s="9" t="str">
        <f t="shared" si="31"/>
        <v/>
      </c>
      <c r="AD194" s="9" t="str">
        <f t="shared" si="32"/>
        <v/>
      </c>
    </row>
    <row r="195" spans="1:30" ht="21" customHeight="1" thickBot="1" x14ac:dyDescent="0.25">
      <c r="A195" s="22">
        <f t="shared" si="27"/>
        <v>189</v>
      </c>
      <c r="B195" s="81" t="s">
        <v>432</v>
      </c>
      <c r="C195" s="23" t="str">
        <f t="shared" si="33"/>
        <v>vs</v>
      </c>
      <c r="D195" s="10" t="s">
        <v>310</v>
      </c>
      <c r="E195" s="23">
        <v>2019</v>
      </c>
      <c r="F195" s="11" t="s">
        <v>23</v>
      </c>
      <c r="G195" s="9" t="s">
        <v>433</v>
      </c>
      <c r="H195" s="19" t="s">
        <v>434</v>
      </c>
      <c r="M195" s="9" t="str">
        <f>IF(D195=$M$3,1,"")</f>
        <v/>
      </c>
      <c r="N195" s="9" t="str">
        <f>IF(D195=$N$3,1,"")</f>
        <v/>
      </c>
      <c r="O195" s="9" t="str">
        <f>IF(D195=$O$3,1,"")</f>
        <v/>
      </c>
      <c r="P195" s="9" t="str">
        <f>IF(D195=$P$3,1,"")</f>
        <v/>
      </c>
      <c r="Q195" s="9" t="str">
        <f>IF(D195=$Q$3,1,"")</f>
        <v/>
      </c>
      <c r="R195" s="9" t="str">
        <f>IF(D195=$R$3,1,"")</f>
        <v/>
      </c>
      <c r="S195" s="9" t="str">
        <f>IF(D195=$S$3,1,"")</f>
        <v/>
      </c>
      <c r="T195" s="9" t="str">
        <f>IF(D195=$T$3,1,"")</f>
        <v/>
      </c>
      <c r="U195" s="9" t="str">
        <f>IF(D195=$U$3,1,"")</f>
        <v/>
      </c>
      <c r="V195" s="9" t="str">
        <f>IF(D195=$V$3,1,"")</f>
        <v/>
      </c>
      <c r="W195" s="9" t="str">
        <f>IF(D195=$W$3,1,"")</f>
        <v/>
      </c>
      <c r="X195" s="9" t="str">
        <f>IF(D195=$X$3,1,"")</f>
        <v/>
      </c>
      <c r="Y195" s="9" t="e">
        <f>IF(#REF!=$X$3,1,"")</f>
        <v>#REF!</v>
      </c>
      <c r="Z195" s="9" t="str">
        <f t="shared" si="28"/>
        <v/>
      </c>
      <c r="AA195" s="9" t="str">
        <f t="shared" si="29"/>
        <v/>
      </c>
      <c r="AB195" s="9" t="str">
        <f t="shared" si="30"/>
        <v/>
      </c>
      <c r="AC195" s="9" t="str">
        <f t="shared" si="31"/>
        <v/>
      </c>
      <c r="AD195" s="9" t="str">
        <f t="shared" si="32"/>
        <v/>
      </c>
    </row>
    <row r="196" spans="1:30" ht="21" customHeight="1" x14ac:dyDescent="0.2">
      <c r="A196" s="56">
        <f t="shared" si="27"/>
        <v>190</v>
      </c>
      <c r="B196" s="131" t="s">
        <v>435</v>
      </c>
      <c r="C196" s="58" t="str">
        <f t="shared" si="33"/>
        <v>vs</v>
      </c>
      <c r="D196" s="116" t="s">
        <v>18</v>
      </c>
      <c r="E196" s="58">
        <v>2019</v>
      </c>
      <c r="F196" s="103" t="s">
        <v>23</v>
      </c>
      <c r="G196" s="9"/>
      <c r="H196" s="19" t="s">
        <v>436</v>
      </c>
      <c r="M196" s="9" t="str">
        <f>IF(D196=$M$3,1,"")</f>
        <v/>
      </c>
      <c r="N196" s="9" t="str">
        <f>IF(D196=$N$3,1,"")</f>
        <v/>
      </c>
      <c r="O196" s="9" t="str">
        <f>IF(D196=$O$3,1,"")</f>
        <v/>
      </c>
      <c r="P196" s="9" t="str">
        <f>IF(D196=$P$3,1,"")</f>
        <v/>
      </c>
      <c r="Q196" s="9" t="str">
        <f>IF(D196=$Q$3,1,"")</f>
        <v/>
      </c>
      <c r="R196" s="9" t="str">
        <f>IF(D196=$R$3,1,"")</f>
        <v/>
      </c>
      <c r="S196" s="9" t="str">
        <f>IF(D196=$S$3,1,"")</f>
        <v/>
      </c>
      <c r="T196" s="9" t="str">
        <f>IF(D196=$T$3,1,"")</f>
        <v/>
      </c>
      <c r="U196" s="9" t="str">
        <f>IF(D196=$U$3,1,"")</f>
        <v/>
      </c>
      <c r="V196" s="9" t="str">
        <f>IF(D196=$V$3,1,"")</f>
        <v/>
      </c>
      <c r="W196" s="9">
        <f>IF(D196=$W$3,1,"")</f>
        <v>1</v>
      </c>
      <c r="X196" s="9" t="str">
        <f>IF(D196=$X$3,1,"")</f>
        <v/>
      </c>
      <c r="Y196" s="9" t="e">
        <f>IF(#REF!=$X$3,1,"")</f>
        <v>#REF!</v>
      </c>
      <c r="Z196" s="9" t="str">
        <f t="shared" si="28"/>
        <v/>
      </c>
      <c r="AA196" s="9" t="str">
        <f t="shared" si="29"/>
        <v/>
      </c>
      <c r="AB196" s="9" t="str">
        <f t="shared" si="30"/>
        <v/>
      </c>
      <c r="AC196" s="9" t="str">
        <f t="shared" si="31"/>
        <v/>
      </c>
      <c r="AD196" s="9" t="str">
        <f t="shared" si="32"/>
        <v/>
      </c>
    </row>
    <row r="197" spans="1:30" ht="21" customHeight="1" x14ac:dyDescent="0.2">
      <c r="A197" s="15">
        <f t="shared" si="27"/>
        <v>191</v>
      </c>
      <c r="B197" s="112" t="s">
        <v>437</v>
      </c>
      <c r="C197" s="16" t="str">
        <f t="shared" si="33"/>
        <v>vs</v>
      </c>
      <c r="D197" s="17" t="s">
        <v>61</v>
      </c>
      <c r="E197" s="16">
        <v>2019</v>
      </c>
      <c r="F197" s="18" t="s">
        <v>23</v>
      </c>
      <c r="G197" s="9"/>
      <c r="H197" s="19" t="s">
        <v>438</v>
      </c>
      <c r="M197" s="9" t="str">
        <f>IF(D197=$M$3,1,"")</f>
        <v/>
      </c>
      <c r="N197" s="9" t="str">
        <f>IF(D197=$N$3,1,"")</f>
        <v/>
      </c>
      <c r="O197" s="9" t="str">
        <f>IF(D197=$O$3,1,"")</f>
        <v/>
      </c>
      <c r="P197" s="9" t="str">
        <f>IF(D197=$P$3,1,"")</f>
        <v/>
      </c>
      <c r="Q197" s="9" t="str">
        <f>IF(D197=$Q$3,1,"")</f>
        <v/>
      </c>
      <c r="R197" s="9" t="str">
        <f>IF(D197=$R$3,1,"")</f>
        <v/>
      </c>
      <c r="S197" s="9" t="str">
        <f>IF(D197=$S$3,1,"")</f>
        <v/>
      </c>
      <c r="T197" s="9" t="str">
        <f>IF(D197=$T$3,1,"")</f>
        <v/>
      </c>
      <c r="U197" s="9" t="str">
        <f>IF(D197=$U$3,1,"")</f>
        <v/>
      </c>
      <c r="V197" s="9" t="str">
        <f>IF(D197=$V$3,1,"")</f>
        <v/>
      </c>
      <c r="W197" s="9" t="str">
        <f>IF(D197=$W$3,1,"")</f>
        <v/>
      </c>
      <c r="X197" s="9" t="str">
        <f>IF(D197=$X$3,1,"")</f>
        <v/>
      </c>
      <c r="Y197" s="9" t="e">
        <f>IF(#REF!=$X$3,1,"")</f>
        <v>#REF!</v>
      </c>
      <c r="Z197" s="9" t="str">
        <f t="shared" si="28"/>
        <v/>
      </c>
      <c r="AA197" s="9" t="str">
        <f t="shared" si="29"/>
        <v/>
      </c>
      <c r="AB197" s="9" t="str">
        <f t="shared" si="30"/>
        <v/>
      </c>
      <c r="AC197" s="9" t="str">
        <f t="shared" si="31"/>
        <v/>
      </c>
      <c r="AD197" s="9" t="str">
        <f t="shared" si="32"/>
        <v/>
      </c>
    </row>
    <row r="198" spans="1:30" ht="23.25" customHeight="1" thickBot="1" x14ac:dyDescent="0.25">
      <c r="A198" s="22">
        <f t="shared" si="27"/>
        <v>192</v>
      </c>
      <c r="B198" s="81" t="s">
        <v>439</v>
      </c>
      <c r="C198" s="23" t="str">
        <f t="shared" si="33"/>
        <v>vs</v>
      </c>
      <c r="D198" s="10" t="s">
        <v>16</v>
      </c>
      <c r="E198" s="23">
        <v>2019</v>
      </c>
      <c r="F198" s="11" t="s">
        <v>23</v>
      </c>
      <c r="G198" s="109">
        <v>43732</v>
      </c>
      <c r="H198" s="19" t="s">
        <v>440</v>
      </c>
      <c r="M198" s="9" t="str">
        <f>IF(D198=$M$3,1,"")</f>
        <v/>
      </c>
      <c r="N198" s="9" t="str">
        <f>IF(D198=$N$3,1,"")</f>
        <v/>
      </c>
      <c r="O198" s="9" t="str">
        <f>IF(D198=$O$3,1,"")</f>
        <v/>
      </c>
      <c r="P198" s="9" t="str">
        <f>IF(D198=$P$3,1,"")</f>
        <v/>
      </c>
      <c r="Q198" s="9" t="str">
        <f>IF(D198=$Q$3,1,"")</f>
        <v/>
      </c>
      <c r="R198" s="9" t="str">
        <f>IF(D198=$R$3,1,"")</f>
        <v/>
      </c>
      <c r="S198" s="9" t="str">
        <f>IF(D198=$S$3,1,"")</f>
        <v/>
      </c>
      <c r="T198" s="9" t="str">
        <f>IF(D198=$T$3,1,"")</f>
        <v/>
      </c>
      <c r="U198" s="9">
        <f>IF(D198=$U$3,1,"")</f>
        <v>1</v>
      </c>
      <c r="V198" s="9" t="str">
        <f>IF(D198=$V$3,1,"")</f>
        <v/>
      </c>
      <c r="W198" s="9" t="str">
        <f>IF(D198=$W$3,1,"")</f>
        <v/>
      </c>
      <c r="X198" s="9" t="str">
        <f>IF(D198=$X$3,1,"")</f>
        <v/>
      </c>
      <c r="Y198" s="9" t="e">
        <f>IF(#REF!=$X$3,1,"")</f>
        <v>#REF!</v>
      </c>
      <c r="Z198" s="9" t="str">
        <f t="shared" si="28"/>
        <v/>
      </c>
      <c r="AA198" s="9" t="str">
        <f t="shared" si="29"/>
        <v/>
      </c>
      <c r="AB198" s="9" t="str">
        <f t="shared" si="30"/>
        <v/>
      </c>
      <c r="AC198" s="9" t="str">
        <f t="shared" si="31"/>
        <v/>
      </c>
      <c r="AD198" s="9" t="str">
        <f t="shared" si="32"/>
        <v/>
      </c>
    </row>
    <row r="199" spans="1:30" ht="23.25" customHeight="1" x14ac:dyDescent="0.2">
      <c r="A199" s="56">
        <f t="shared" si="27"/>
        <v>193</v>
      </c>
      <c r="B199" s="131" t="s">
        <v>441</v>
      </c>
      <c r="C199" s="58" t="str">
        <f t="shared" si="33"/>
        <v>vs</v>
      </c>
      <c r="D199" s="116" t="s">
        <v>18</v>
      </c>
      <c r="E199" s="58">
        <v>2019</v>
      </c>
      <c r="F199" s="103" t="s">
        <v>23</v>
      </c>
      <c r="G199" s="9"/>
      <c r="H199" s="19" t="s">
        <v>442</v>
      </c>
      <c r="M199" s="9" t="str">
        <f>IF(D199=$M$3,1,"")</f>
        <v/>
      </c>
      <c r="N199" s="9" t="str">
        <f>IF(D199=$N$3,1,"")</f>
        <v/>
      </c>
      <c r="O199" s="9" t="str">
        <f>IF(D199=$O$3,1,"")</f>
        <v/>
      </c>
      <c r="P199" s="9" t="str">
        <f>IF(D199=$P$3,1,"")</f>
        <v/>
      </c>
      <c r="Q199" s="9" t="str">
        <f>IF(D199=$Q$3,1,"")</f>
        <v/>
      </c>
      <c r="R199" s="9" t="str">
        <f>IF(D199=$R$3,1,"")</f>
        <v/>
      </c>
      <c r="S199" s="9" t="str">
        <f>IF(D199=$S$3,1,"")</f>
        <v/>
      </c>
      <c r="T199" s="9" t="str">
        <f>IF(D199=$T$3,1,"")</f>
        <v/>
      </c>
      <c r="U199" s="9" t="str">
        <f>IF(D199=$U$3,1,"")</f>
        <v/>
      </c>
      <c r="V199" s="9" t="str">
        <f>IF(D199=$V$3,1,"")</f>
        <v/>
      </c>
      <c r="W199" s="9">
        <f>IF(D199=$W$3,1,"")</f>
        <v>1</v>
      </c>
      <c r="X199" s="9" t="str">
        <f>IF(D199=$X$3,1,"")</f>
        <v/>
      </c>
      <c r="Y199" s="9" t="e">
        <f>IF(#REF!=$X$3,1,"")</f>
        <v>#REF!</v>
      </c>
      <c r="Z199" s="9" t="str">
        <f t="shared" si="28"/>
        <v/>
      </c>
      <c r="AA199" s="9" t="str">
        <f t="shared" si="29"/>
        <v/>
      </c>
      <c r="AB199" s="9" t="str">
        <f t="shared" si="30"/>
        <v/>
      </c>
      <c r="AC199" s="9" t="str">
        <f t="shared" si="31"/>
        <v/>
      </c>
      <c r="AD199" s="9" t="str">
        <f t="shared" si="32"/>
        <v/>
      </c>
    </row>
    <row r="200" spans="1:30" ht="23.25" customHeight="1" x14ac:dyDescent="0.2">
      <c r="A200" s="15">
        <f t="shared" si="27"/>
        <v>194</v>
      </c>
      <c r="B200" s="112" t="s">
        <v>337</v>
      </c>
      <c r="C200" s="16" t="str">
        <f t="shared" si="33"/>
        <v>vs</v>
      </c>
      <c r="D200" s="17" t="s">
        <v>16</v>
      </c>
      <c r="E200" s="16">
        <v>2019</v>
      </c>
      <c r="F200" s="18" t="s">
        <v>23</v>
      </c>
      <c r="G200" s="9"/>
      <c r="H200" s="19" t="s">
        <v>443</v>
      </c>
      <c r="M200" s="9" t="str">
        <f>IF(D200=$M$3,1,"")</f>
        <v/>
      </c>
      <c r="N200" s="9" t="str">
        <f>IF(D200=$N$3,1,"")</f>
        <v/>
      </c>
      <c r="O200" s="9" t="str">
        <f>IF(D200=$O$3,1,"")</f>
        <v/>
      </c>
      <c r="P200" s="9" t="str">
        <f>IF(D200=$P$3,1,"")</f>
        <v/>
      </c>
      <c r="Q200" s="9" t="str">
        <f>IF(D200=$Q$3,1,"")</f>
        <v/>
      </c>
      <c r="R200" s="9" t="str">
        <f>IF(D200=$R$3,1,"")</f>
        <v/>
      </c>
      <c r="S200" s="9" t="str">
        <f>IF(D200=$S$3,1,"")</f>
        <v/>
      </c>
      <c r="T200" s="9" t="str">
        <f>IF(D200=$T$3,1,"")</f>
        <v/>
      </c>
      <c r="U200" s="9">
        <f>IF(D200=$U$3,1,"")</f>
        <v>1</v>
      </c>
      <c r="V200" s="9" t="str">
        <f>IF(D200=$V$3,1,"")</f>
        <v/>
      </c>
      <c r="W200" s="9" t="str">
        <f>IF(D200=$W$3,1,"")</f>
        <v/>
      </c>
      <c r="X200" s="9" t="str">
        <f>IF(D200=$X$3,1,"")</f>
        <v/>
      </c>
      <c r="Y200" s="9" t="e">
        <f>IF(#REF!=$X$3,1,"")</f>
        <v>#REF!</v>
      </c>
      <c r="Z200" s="9" t="str">
        <f t="shared" si="28"/>
        <v/>
      </c>
      <c r="AA200" s="9" t="str">
        <f t="shared" si="29"/>
        <v/>
      </c>
      <c r="AB200" s="9" t="str">
        <f t="shared" si="30"/>
        <v/>
      </c>
      <c r="AC200" s="9" t="str">
        <f t="shared" si="31"/>
        <v/>
      </c>
      <c r="AD200" s="9" t="str">
        <f t="shared" si="32"/>
        <v/>
      </c>
    </row>
    <row r="201" spans="1:30" ht="23.25" customHeight="1" x14ac:dyDescent="0.2">
      <c r="A201" s="15">
        <f t="shared" si="27"/>
        <v>195</v>
      </c>
      <c r="B201" s="112" t="s">
        <v>444</v>
      </c>
      <c r="C201" s="16" t="str">
        <f t="shared" si="33"/>
        <v>vs</v>
      </c>
      <c r="D201" s="17" t="s">
        <v>18</v>
      </c>
      <c r="E201" s="16">
        <v>2019</v>
      </c>
      <c r="F201" s="18" t="s">
        <v>23</v>
      </c>
      <c r="G201" s="9"/>
      <c r="H201" s="19" t="s">
        <v>445</v>
      </c>
      <c r="M201" s="9" t="str">
        <f>IF(D201=$M$3,1,"")</f>
        <v/>
      </c>
      <c r="N201" s="9" t="str">
        <f>IF(D201=$N$3,1,"")</f>
        <v/>
      </c>
      <c r="O201" s="9" t="str">
        <f>IF(D201=$O$3,1,"")</f>
        <v/>
      </c>
      <c r="P201" s="9" t="str">
        <f>IF(D201=$P$3,1,"")</f>
        <v/>
      </c>
      <c r="Q201" s="9" t="str">
        <f>IF(D201=$Q$3,1,"")</f>
        <v/>
      </c>
      <c r="R201" s="9" t="str">
        <f>IF(D201=$R$3,1,"")</f>
        <v/>
      </c>
      <c r="S201" s="9" t="str">
        <f>IF(D201=$S$3,1,"")</f>
        <v/>
      </c>
      <c r="T201" s="9" t="str">
        <f>IF(D201=$T$3,1,"")</f>
        <v/>
      </c>
      <c r="U201" s="9" t="str">
        <f>IF(D201=$U$3,1,"")</f>
        <v/>
      </c>
      <c r="V201" s="9" t="str">
        <f>IF(D201=$V$3,1,"")</f>
        <v/>
      </c>
      <c r="W201" s="9">
        <f>IF(D201=$W$3,1,"")</f>
        <v>1</v>
      </c>
      <c r="X201" s="9" t="str">
        <f>IF(D201=$X$3,1,"")</f>
        <v/>
      </c>
      <c r="Y201" s="9" t="e">
        <f>IF(#REF!=$X$3,1,"")</f>
        <v>#REF!</v>
      </c>
      <c r="Z201" s="9" t="str">
        <f t="shared" si="28"/>
        <v/>
      </c>
      <c r="AA201" s="9" t="str">
        <f t="shared" si="29"/>
        <v/>
      </c>
      <c r="AB201" s="9" t="str">
        <f t="shared" si="30"/>
        <v/>
      </c>
      <c r="AC201" s="9" t="str">
        <f t="shared" si="31"/>
        <v/>
      </c>
      <c r="AD201" s="9" t="str">
        <f t="shared" si="32"/>
        <v/>
      </c>
    </row>
    <row r="202" spans="1:30" ht="23.25" customHeight="1" thickBot="1" x14ac:dyDescent="0.25">
      <c r="A202" s="22">
        <f t="shared" ref="A202:A266" si="34">IF(B202="","",A201+1)</f>
        <v>196</v>
      </c>
      <c r="B202" s="81" t="s">
        <v>446</v>
      </c>
      <c r="C202" s="23" t="str">
        <f t="shared" si="33"/>
        <v>vs</v>
      </c>
      <c r="D202" s="10" t="s">
        <v>310</v>
      </c>
      <c r="E202" s="23">
        <v>2019</v>
      </c>
      <c r="F202" s="11" t="s">
        <v>23</v>
      </c>
      <c r="G202" s="9"/>
      <c r="H202" s="19" t="s">
        <v>447</v>
      </c>
      <c r="M202" s="9" t="str">
        <f>IF(D202=$M$3,1,"")</f>
        <v/>
      </c>
      <c r="N202" s="9" t="str">
        <f>IF(D202=$N$3,1,"")</f>
        <v/>
      </c>
      <c r="O202" s="9" t="str">
        <f>IF(D202=$O$3,1,"")</f>
        <v/>
      </c>
      <c r="P202" s="9" t="str">
        <f>IF(D202=$P$3,1,"")</f>
        <v/>
      </c>
      <c r="Q202" s="9" t="str">
        <f>IF(D202=$Q$3,1,"")</f>
        <v/>
      </c>
      <c r="R202" s="9" t="str">
        <f>IF(D202=$R$3,1,"")</f>
        <v/>
      </c>
      <c r="S202" s="9" t="str">
        <f>IF(D202=$S$3,1,"")</f>
        <v/>
      </c>
      <c r="T202" s="9" t="str">
        <f>IF(D202=$T$3,1,"")</f>
        <v/>
      </c>
      <c r="U202" s="9" t="str">
        <f>IF(D202=$U$3,1,"")</f>
        <v/>
      </c>
      <c r="V202" s="9" t="str">
        <f>IF(D202=$V$3,1,"")</f>
        <v/>
      </c>
      <c r="W202" s="9" t="str">
        <f>IF(D202=$W$3,1,"")</f>
        <v/>
      </c>
      <c r="X202" s="9" t="str">
        <f>IF(D202=$X$3,1,"")</f>
        <v/>
      </c>
      <c r="Y202" s="9" t="e">
        <f>IF(#REF!=$X$3,1,"")</f>
        <v>#REF!</v>
      </c>
      <c r="Z202" s="9" t="str">
        <f t="shared" si="28"/>
        <v/>
      </c>
      <c r="AA202" s="9" t="str">
        <f t="shared" si="29"/>
        <v/>
      </c>
      <c r="AB202" s="9" t="str">
        <f t="shared" si="30"/>
        <v/>
      </c>
      <c r="AC202" s="9" t="str">
        <f t="shared" si="31"/>
        <v/>
      </c>
      <c r="AD202" s="9" t="str">
        <f t="shared" si="32"/>
        <v/>
      </c>
    </row>
    <row r="203" spans="1:30" ht="21" customHeight="1" x14ac:dyDescent="0.2">
      <c r="A203" s="56">
        <f t="shared" si="34"/>
        <v>197</v>
      </c>
      <c r="B203" s="131" t="s">
        <v>448</v>
      </c>
      <c r="C203" s="58" t="str">
        <f t="shared" si="33"/>
        <v>vs</v>
      </c>
      <c r="D203" s="116" t="s">
        <v>16</v>
      </c>
      <c r="E203" s="58">
        <v>2019</v>
      </c>
      <c r="F203" s="103" t="s">
        <v>33</v>
      </c>
      <c r="G203" s="9"/>
      <c r="H203" s="19" t="s">
        <v>449</v>
      </c>
      <c r="M203" s="9" t="str">
        <f>IF(D203=$M$3,1,"")</f>
        <v/>
      </c>
      <c r="N203" s="9" t="str">
        <f>IF(D203=$N$3,1,"")</f>
        <v/>
      </c>
      <c r="O203" s="9" t="str">
        <f>IF(D203=$O$3,1,"")</f>
        <v/>
      </c>
      <c r="P203" s="9" t="str">
        <f>IF(D203=$P$3,1,"")</f>
        <v/>
      </c>
      <c r="Q203" s="9" t="str">
        <f>IF(D203=$Q$3,1,"")</f>
        <v/>
      </c>
      <c r="R203" s="9" t="str">
        <f>IF(D203=$R$3,1,"")</f>
        <v/>
      </c>
      <c r="S203" s="9" t="str">
        <f>IF(D203=$S$3,1,"")</f>
        <v/>
      </c>
      <c r="T203" s="9" t="str">
        <f>IF(D203=$T$3,1,"")</f>
        <v/>
      </c>
      <c r="U203" s="9">
        <f>IF(D203=$U$3,1,"")</f>
        <v>1</v>
      </c>
      <c r="V203" s="9" t="str">
        <f>IF(D203=$V$3,1,"")</f>
        <v/>
      </c>
      <c r="W203" s="9" t="str">
        <f>IF(D203=$W$3,1,"")</f>
        <v/>
      </c>
      <c r="X203" s="9" t="str">
        <f>IF(D203=$X$3,1,"")</f>
        <v/>
      </c>
      <c r="Y203" s="9" t="e">
        <f>IF(#REF!=$X$3,1,"")</f>
        <v>#REF!</v>
      </c>
      <c r="Z203" s="9" t="str">
        <f t="shared" si="28"/>
        <v/>
      </c>
      <c r="AA203" s="9" t="str">
        <f t="shared" si="29"/>
        <v/>
      </c>
      <c r="AB203" s="9" t="str">
        <f t="shared" si="30"/>
        <v/>
      </c>
      <c r="AC203" s="9" t="str">
        <f t="shared" si="31"/>
        <v/>
      </c>
      <c r="AD203" s="9" t="str">
        <f t="shared" si="32"/>
        <v/>
      </c>
    </row>
    <row r="204" spans="1:30" ht="21" customHeight="1" x14ac:dyDescent="0.2">
      <c r="A204" s="15">
        <f t="shared" si="34"/>
        <v>198</v>
      </c>
      <c r="B204" s="111" t="s">
        <v>450</v>
      </c>
      <c r="C204" s="16" t="str">
        <f t="shared" si="33"/>
        <v>vs</v>
      </c>
      <c r="D204" s="17" t="s">
        <v>9</v>
      </c>
      <c r="E204" s="16">
        <v>2019</v>
      </c>
      <c r="F204" s="18" t="s">
        <v>23</v>
      </c>
      <c r="G204" s="9"/>
      <c r="H204" s="19" t="s">
        <v>451</v>
      </c>
      <c r="M204" s="9" t="str">
        <f>IF(D204=$M$3,1,"")</f>
        <v/>
      </c>
      <c r="N204" s="9">
        <f>IF(D204=$N$3,1,"")</f>
        <v>1</v>
      </c>
      <c r="O204" s="9" t="str">
        <f>IF(D204=$O$3,1,"")</f>
        <v/>
      </c>
      <c r="P204" s="9" t="str">
        <f>IF(D204=$P$3,1,"")</f>
        <v/>
      </c>
      <c r="Q204" s="9" t="str">
        <f>IF(D204=$Q$3,1,"")</f>
        <v/>
      </c>
      <c r="R204" s="9" t="str">
        <f>IF(D204=$R$3,1,"")</f>
        <v/>
      </c>
      <c r="S204" s="9" t="str">
        <f>IF(D204=$S$3,1,"")</f>
        <v/>
      </c>
      <c r="T204" s="9" t="str">
        <f>IF(D204=$T$3,1,"")</f>
        <v/>
      </c>
      <c r="U204" s="9" t="str">
        <f>IF(D204=$U$3,1,"")</f>
        <v/>
      </c>
      <c r="V204" s="9" t="str">
        <f>IF(D204=$V$3,1,"")</f>
        <v/>
      </c>
      <c r="W204" s="9" t="str">
        <f>IF(D204=$W$3,1,"")</f>
        <v/>
      </c>
      <c r="X204" s="9" t="str">
        <f>IF(D204=$X$3,1,"")</f>
        <v/>
      </c>
      <c r="Y204" s="9" t="e">
        <f>IF(#REF!=$X$3,1,"")</f>
        <v>#REF!</v>
      </c>
      <c r="Z204" s="9" t="str">
        <f t="shared" si="28"/>
        <v/>
      </c>
      <c r="AA204" s="9" t="str">
        <f t="shared" si="29"/>
        <v/>
      </c>
      <c r="AB204" s="9" t="str">
        <f t="shared" si="30"/>
        <v/>
      </c>
      <c r="AC204" s="9" t="str">
        <f t="shared" si="31"/>
        <v/>
      </c>
      <c r="AD204" s="9" t="str">
        <f t="shared" si="32"/>
        <v/>
      </c>
    </row>
    <row r="205" spans="1:30" ht="21.75" customHeight="1" x14ac:dyDescent="0.2">
      <c r="A205" s="15">
        <f t="shared" si="34"/>
        <v>199</v>
      </c>
      <c r="B205" s="112" t="s">
        <v>452</v>
      </c>
      <c r="C205" s="16" t="str">
        <f t="shared" si="33"/>
        <v>vs</v>
      </c>
      <c r="D205" s="17" t="s">
        <v>11</v>
      </c>
      <c r="E205" s="16">
        <v>2020</v>
      </c>
      <c r="F205" s="18" t="s">
        <v>47</v>
      </c>
      <c r="G205" s="9" t="s">
        <v>453</v>
      </c>
      <c r="H205" s="19" t="s">
        <v>454</v>
      </c>
      <c r="I205" s="7" t="s">
        <v>455</v>
      </c>
      <c r="M205" s="9" t="str">
        <f>IF(D205=$M$3,1,"")</f>
        <v/>
      </c>
      <c r="N205" s="9" t="str">
        <f>IF(D205=$N$3,1,"")</f>
        <v/>
      </c>
      <c r="O205" s="9" t="str">
        <f>IF(D205=$O$3,1,"")</f>
        <v/>
      </c>
      <c r="P205" s="9">
        <f>IF(D205=$P$3,1,"")</f>
        <v>1</v>
      </c>
      <c r="Q205" s="9" t="str">
        <f>IF(D205=$Q$3,1,"")</f>
        <v/>
      </c>
      <c r="R205" s="9" t="str">
        <f>IF(D205=$R$3,1,"")</f>
        <v/>
      </c>
      <c r="S205" s="9" t="str">
        <f>IF(D205=$S$3,1,"")</f>
        <v/>
      </c>
      <c r="T205" s="9" t="str">
        <f>IF(D205=$T$3,1,"")</f>
        <v/>
      </c>
      <c r="U205" s="9" t="str">
        <f>IF(D205=$U$3,1,"")</f>
        <v/>
      </c>
      <c r="V205" s="9" t="str">
        <f>IF(D205=$V$3,1,"")</f>
        <v/>
      </c>
      <c r="W205" s="9" t="str">
        <f>IF(D205=$W$3,1,"")</f>
        <v/>
      </c>
      <c r="X205" s="9" t="str">
        <f>IF(D205=$X$3,1,"")</f>
        <v/>
      </c>
      <c r="Y205" s="9" t="e">
        <f>IF(#REF!=$X$3,1,"")</f>
        <v>#REF!</v>
      </c>
      <c r="Z205" s="9" t="str">
        <f t="shared" si="28"/>
        <v/>
      </c>
      <c r="AA205" s="9" t="str">
        <f t="shared" si="29"/>
        <v/>
      </c>
      <c r="AB205" s="9" t="str">
        <f t="shared" si="30"/>
        <v/>
      </c>
      <c r="AC205" s="9" t="str">
        <f t="shared" si="31"/>
        <v/>
      </c>
      <c r="AD205" s="9" t="str">
        <f t="shared" si="32"/>
        <v/>
      </c>
    </row>
    <row r="206" spans="1:30" ht="21.75" customHeight="1" thickBot="1" x14ac:dyDescent="0.25">
      <c r="A206" s="22">
        <f t="shared" si="34"/>
        <v>200</v>
      </c>
      <c r="B206" s="81" t="s">
        <v>456</v>
      </c>
      <c r="C206" s="23" t="str">
        <f t="shared" si="33"/>
        <v>vs</v>
      </c>
      <c r="D206" s="10" t="s">
        <v>310</v>
      </c>
      <c r="E206" s="23">
        <v>2020</v>
      </c>
      <c r="F206" s="11" t="s">
        <v>23</v>
      </c>
      <c r="G206" s="9"/>
      <c r="H206" s="19" t="s">
        <v>457</v>
      </c>
      <c r="M206" s="9" t="str">
        <f>IF(D206=$M$3,1,"")</f>
        <v/>
      </c>
      <c r="N206" s="9" t="str">
        <f>IF(D206=$N$3,1,"")</f>
        <v/>
      </c>
      <c r="O206" s="9" t="str">
        <f>IF(D206=$O$3,1,"")</f>
        <v/>
      </c>
      <c r="P206" s="9" t="str">
        <f>IF(D206=$P$3,1,"")</f>
        <v/>
      </c>
      <c r="Q206" s="9" t="str">
        <f>IF(D206=$Q$3,1,"")</f>
        <v/>
      </c>
      <c r="R206" s="9" t="str">
        <f>IF(D206=$R$3,1,"")</f>
        <v/>
      </c>
      <c r="S206" s="9" t="str">
        <f>IF(D206=$S$3,1,"")</f>
        <v/>
      </c>
      <c r="T206" s="9" t="str">
        <f>IF(D206=$T$3,1,"")</f>
        <v/>
      </c>
      <c r="U206" s="9" t="str">
        <f>IF(D206=$U$3,1,"")</f>
        <v/>
      </c>
      <c r="V206" s="9" t="str">
        <f>IF(D206=$V$3,1,"")</f>
        <v/>
      </c>
      <c r="W206" s="9" t="str">
        <f>IF(D206=$W$3,1,"")</f>
        <v/>
      </c>
      <c r="X206" s="9" t="str">
        <f>IF(D206=$X$3,1,"")</f>
        <v/>
      </c>
      <c r="Y206" s="9" t="e">
        <f>IF(#REF!=$X$3,1,"")</f>
        <v>#REF!</v>
      </c>
      <c r="Z206" s="9" t="str">
        <f t="shared" si="28"/>
        <v/>
      </c>
      <c r="AA206" s="9" t="str">
        <f t="shared" si="29"/>
        <v/>
      </c>
      <c r="AB206" s="9" t="str">
        <f t="shared" si="30"/>
        <v/>
      </c>
      <c r="AC206" s="9" t="str">
        <f t="shared" si="31"/>
        <v/>
      </c>
      <c r="AD206" s="9" t="str">
        <f t="shared" si="32"/>
        <v/>
      </c>
    </row>
    <row r="207" spans="1:30" ht="38.25" customHeight="1" thickBot="1" x14ac:dyDescent="0.25">
      <c r="A207" s="132">
        <f t="shared" si="34"/>
        <v>201</v>
      </c>
      <c r="B207" s="91" t="s">
        <v>408</v>
      </c>
      <c r="C207" s="27" t="str">
        <f t="shared" si="33"/>
        <v>vs</v>
      </c>
      <c r="D207" s="115" t="s">
        <v>61</v>
      </c>
      <c r="E207" s="27">
        <v>2020</v>
      </c>
      <c r="F207" s="134" t="s">
        <v>23</v>
      </c>
      <c r="G207" s="9"/>
      <c r="H207" s="19" t="s">
        <v>409</v>
      </c>
      <c r="M207" s="9" t="str">
        <f>IF(D207=$M$3,1,"")</f>
        <v/>
      </c>
      <c r="N207" s="9" t="str">
        <f>IF(D207=$N$3,1,"")</f>
        <v/>
      </c>
      <c r="O207" s="9" t="str">
        <f>IF(D207=$O$3,1,"")</f>
        <v/>
      </c>
      <c r="P207" s="9" t="str">
        <f>IF(D207=$P$3,1,"")</f>
        <v/>
      </c>
      <c r="Q207" s="9" t="str">
        <f>IF(D207=$Q$3,1,"")</f>
        <v/>
      </c>
      <c r="R207" s="9" t="str">
        <f>IF(D207=$R$3,1,"")</f>
        <v/>
      </c>
      <c r="S207" s="9" t="str">
        <f>IF(D207=$S$3,1,"")</f>
        <v/>
      </c>
      <c r="T207" s="9" t="str">
        <f>IF(D207=$T$3,1,"")</f>
        <v/>
      </c>
      <c r="U207" s="9" t="str">
        <f>IF(D207=$U$3,1,"")</f>
        <v/>
      </c>
      <c r="V207" s="9" t="str">
        <f>IF(D207=$V$3,1,"")</f>
        <v/>
      </c>
      <c r="W207" s="9" t="str">
        <f>IF(D207=$W$3,1,"")</f>
        <v/>
      </c>
      <c r="X207" s="9" t="str">
        <f>IF(D207=$X$3,1,"")</f>
        <v/>
      </c>
      <c r="Y207" s="9" t="e">
        <f>IF(#REF!=$X$3,1,"")</f>
        <v>#REF!</v>
      </c>
      <c r="Z207" s="9" t="str">
        <f t="shared" si="28"/>
        <v/>
      </c>
      <c r="AA207" s="9" t="str">
        <f t="shared" si="29"/>
        <v/>
      </c>
      <c r="AB207" s="9" t="str">
        <f t="shared" si="30"/>
        <v/>
      </c>
      <c r="AC207" s="9" t="str">
        <f t="shared" si="31"/>
        <v/>
      </c>
      <c r="AD207" s="9" t="str">
        <f t="shared" si="32"/>
        <v/>
      </c>
    </row>
    <row r="208" spans="1:30" ht="21" customHeight="1" x14ac:dyDescent="0.2">
      <c r="A208" s="12">
        <f t="shared" si="34"/>
        <v>202</v>
      </c>
      <c r="B208" s="28" t="s">
        <v>458</v>
      </c>
      <c r="C208" s="13" t="str">
        <f t="shared" si="33"/>
        <v>vs</v>
      </c>
      <c r="D208" s="31" t="s">
        <v>16</v>
      </c>
      <c r="E208" s="13">
        <v>2020</v>
      </c>
      <c r="F208" s="119" t="s">
        <v>23</v>
      </c>
      <c r="G208" s="9"/>
      <c r="H208" s="125" t="s">
        <v>459</v>
      </c>
      <c r="M208" s="9" t="str">
        <f>IF(D208=$M$3,1,"")</f>
        <v/>
      </c>
      <c r="N208" s="9" t="str">
        <f>IF(D208=$N$3,1,"")</f>
        <v/>
      </c>
      <c r="O208" s="9" t="str">
        <f>IF(D208=$O$3,1,"")</f>
        <v/>
      </c>
      <c r="P208" s="9" t="str">
        <f>IF(D208=$P$3,1,"")</f>
        <v/>
      </c>
      <c r="Q208" s="9" t="str">
        <f>IF(D208=$Q$3,1,"")</f>
        <v/>
      </c>
      <c r="R208" s="9" t="str">
        <f>IF(D208=$R$3,1,"")</f>
        <v/>
      </c>
      <c r="S208" s="9" t="str">
        <f>IF(D208=$S$3,1,"")</f>
        <v/>
      </c>
      <c r="T208" s="9" t="str">
        <f>IF(D208=$T$3,1,"")</f>
        <v/>
      </c>
      <c r="U208" s="9">
        <f>IF(D208=$U$3,1,"")</f>
        <v>1</v>
      </c>
      <c r="V208" s="9" t="str">
        <f>IF(D208=$V$3,1,"")</f>
        <v/>
      </c>
      <c r="W208" s="9" t="str">
        <f>IF(D208=$W$3,1,"")</f>
        <v/>
      </c>
      <c r="X208" s="9" t="str">
        <f>IF(D208=$X$3,1,"")</f>
        <v/>
      </c>
      <c r="Y208" s="9" t="e">
        <f>IF(#REF!=$X$3,1,"")</f>
        <v>#REF!</v>
      </c>
      <c r="Z208" s="9" t="str">
        <f t="shared" si="28"/>
        <v/>
      </c>
      <c r="AA208" s="9" t="str">
        <f t="shared" si="29"/>
        <v/>
      </c>
      <c r="AB208" s="9" t="str">
        <f t="shared" si="30"/>
        <v/>
      </c>
      <c r="AC208" s="9" t="str">
        <f t="shared" si="31"/>
        <v/>
      </c>
      <c r="AD208" s="9" t="str">
        <f t="shared" si="32"/>
        <v/>
      </c>
    </row>
    <row r="209" spans="1:30" ht="21" customHeight="1" x14ac:dyDescent="0.3">
      <c r="A209" s="15">
        <f t="shared" si="34"/>
        <v>203</v>
      </c>
      <c r="B209" s="80" t="s">
        <v>460</v>
      </c>
      <c r="C209" s="16" t="str">
        <f t="shared" si="33"/>
        <v>vs</v>
      </c>
      <c r="D209" s="17" t="s">
        <v>18</v>
      </c>
      <c r="E209" s="16">
        <v>2020</v>
      </c>
      <c r="F209" s="18" t="s">
        <v>23</v>
      </c>
      <c r="G209" s="9"/>
      <c r="H209" s="125" t="s">
        <v>461</v>
      </c>
      <c r="M209" s="9" t="str">
        <f>IF(D209=$M$3,1,"")</f>
        <v/>
      </c>
      <c r="N209" s="9" t="str">
        <f>IF(D209=$N$3,1,"")</f>
        <v/>
      </c>
      <c r="O209" s="9" t="str">
        <f>IF(D209=$O$3,1,"")</f>
        <v/>
      </c>
      <c r="P209" s="9" t="str">
        <f>IF(D209=$P$3,1,"")</f>
        <v/>
      </c>
      <c r="Q209" s="9" t="str">
        <f>IF(D209=$Q$3,1,"")</f>
        <v/>
      </c>
      <c r="R209" s="9" t="str">
        <f>IF(D209=$R$3,1,"")</f>
        <v/>
      </c>
      <c r="S209" s="9" t="str">
        <f>IF(D209=$S$3,1,"")</f>
        <v/>
      </c>
      <c r="T209" s="9" t="str">
        <f>IF(D209=$T$3,1,"")</f>
        <v/>
      </c>
      <c r="U209" s="9" t="str">
        <f>IF(D209=$U$3,1,"")</f>
        <v/>
      </c>
      <c r="V209" s="9" t="str">
        <f>IF(D209=$V$3,1,"")</f>
        <v/>
      </c>
      <c r="W209" s="9">
        <f>IF(D209=$W$3,1,"")</f>
        <v>1</v>
      </c>
      <c r="X209" s="9" t="str">
        <f>IF(D209=$X$3,1,"")</f>
        <v/>
      </c>
      <c r="Y209" s="9" t="e">
        <f>IF(#REF!=$X$3,1,"")</f>
        <v>#REF!</v>
      </c>
      <c r="Z209" s="9" t="str">
        <f t="shared" si="28"/>
        <v/>
      </c>
      <c r="AA209" s="9" t="str">
        <f t="shared" si="29"/>
        <v/>
      </c>
      <c r="AB209" s="9" t="str">
        <f t="shared" si="30"/>
        <v/>
      </c>
      <c r="AC209" s="9" t="str">
        <f t="shared" si="31"/>
        <v/>
      </c>
      <c r="AD209" s="9" t="str">
        <f t="shared" si="32"/>
        <v/>
      </c>
    </row>
    <row r="210" spans="1:30" ht="21" customHeight="1" x14ac:dyDescent="0.3">
      <c r="A210" s="15">
        <f t="shared" si="34"/>
        <v>204</v>
      </c>
      <c r="B210" s="80" t="s">
        <v>462</v>
      </c>
      <c r="C210" s="16" t="str">
        <f t="shared" si="33"/>
        <v>vs</v>
      </c>
      <c r="D210" s="17" t="s">
        <v>11</v>
      </c>
      <c r="E210" s="16">
        <v>2020</v>
      </c>
      <c r="F210" s="18" t="s">
        <v>23</v>
      </c>
      <c r="G210" s="109">
        <v>44120</v>
      </c>
      <c r="H210" s="124" t="s">
        <v>463</v>
      </c>
      <c r="M210" s="9" t="str">
        <f>IF(D210=$M$3,1,"")</f>
        <v/>
      </c>
      <c r="N210" s="9" t="str">
        <f>IF(D210=$N$3,1,"")</f>
        <v/>
      </c>
      <c r="O210" s="9" t="str">
        <f>IF(D210=$O$3,1,"")</f>
        <v/>
      </c>
      <c r="P210" s="9">
        <f>IF(D210=$P$3,1,"")</f>
        <v>1</v>
      </c>
      <c r="Q210" s="9" t="str">
        <f>IF(D210=$Q$3,1,"")</f>
        <v/>
      </c>
      <c r="R210" s="9" t="str">
        <f>IF(D210=$R$3,1,"")</f>
        <v/>
      </c>
      <c r="S210" s="9" t="str">
        <f>IF(D210=$S$3,1,"")</f>
        <v/>
      </c>
      <c r="T210" s="9" t="str">
        <f>IF(D210=$T$3,1,"")</f>
        <v/>
      </c>
      <c r="U210" s="9" t="str">
        <f>IF(D210=$U$3,1,"")</f>
        <v/>
      </c>
      <c r="V210" s="9" t="str">
        <f>IF(D210=$V$3,1,"")</f>
        <v/>
      </c>
      <c r="W210" s="9" t="str">
        <f>IF(D210=$W$3,1,"")</f>
        <v/>
      </c>
      <c r="X210" s="9" t="str">
        <f>IF(D210=$X$3,1,"")</f>
        <v/>
      </c>
      <c r="Y210" s="9" t="e">
        <f>IF(#REF!=$X$3,1,"")</f>
        <v>#REF!</v>
      </c>
      <c r="Z210" s="9" t="str">
        <f t="shared" si="28"/>
        <v/>
      </c>
      <c r="AA210" s="9" t="str">
        <f t="shared" si="29"/>
        <v/>
      </c>
      <c r="AB210" s="9" t="str">
        <f t="shared" si="30"/>
        <v/>
      </c>
      <c r="AC210" s="9" t="str">
        <f t="shared" si="31"/>
        <v/>
      </c>
      <c r="AD210" s="9" t="str">
        <f t="shared" si="32"/>
        <v/>
      </c>
    </row>
    <row r="211" spans="1:30" ht="21" customHeight="1" thickBot="1" x14ac:dyDescent="0.25">
      <c r="A211" s="22">
        <f t="shared" si="34"/>
        <v>205</v>
      </c>
      <c r="B211" s="135" t="s">
        <v>464</v>
      </c>
      <c r="C211" s="23" t="str">
        <f t="shared" si="33"/>
        <v>vs</v>
      </c>
      <c r="D211" s="10" t="s">
        <v>11</v>
      </c>
      <c r="E211" s="23">
        <v>2020</v>
      </c>
      <c r="F211" s="11" t="s">
        <v>23</v>
      </c>
      <c r="G211" s="109">
        <v>44120</v>
      </c>
      <c r="H211" s="19" t="s">
        <v>465</v>
      </c>
      <c r="I211" s="7" t="s">
        <v>90</v>
      </c>
      <c r="M211" s="9" t="str">
        <f>IF(D211=$M$3,1,"")</f>
        <v/>
      </c>
      <c r="N211" s="9" t="str">
        <f>IF(D211=$N$3,1,"")</f>
        <v/>
      </c>
      <c r="O211" s="9" t="str">
        <f>IF(D211=$O$3,1,"")</f>
        <v/>
      </c>
      <c r="P211" s="9">
        <f>IF(D211=$P$3,1,"")</f>
        <v>1</v>
      </c>
      <c r="Q211" s="9" t="str">
        <f>IF(D211=$Q$3,1,"")</f>
        <v/>
      </c>
      <c r="R211" s="9" t="str">
        <f>IF(D211=$R$3,1,"")</f>
        <v/>
      </c>
      <c r="S211" s="9" t="str">
        <f>IF(D211=$S$3,1,"")</f>
        <v/>
      </c>
      <c r="T211" s="9" t="str">
        <f>IF(D211=$T$3,1,"")</f>
        <v/>
      </c>
      <c r="U211" s="9" t="str">
        <f>IF(D211=$U$3,1,"")</f>
        <v/>
      </c>
      <c r="V211" s="9" t="str">
        <f>IF(D211=$V$3,1,"")</f>
        <v/>
      </c>
      <c r="W211" s="9" t="str">
        <f>IF(D211=$W$3,1,"")</f>
        <v/>
      </c>
      <c r="X211" s="9" t="str">
        <f>IF(D211=$X$3,1,"")</f>
        <v/>
      </c>
      <c r="Y211" s="9" t="e">
        <f>IF(#REF!=$X$3,1,"")</f>
        <v>#REF!</v>
      </c>
      <c r="Z211" s="9" t="str">
        <f t="shared" si="28"/>
        <v/>
      </c>
      <c r="AA211" s="9" t="str">
        <f t="shared" si="29"/>
        <v/>
      </c>
      <c r="AB211" s="9" t="str">
        <f t="shared" si="30"/>
        <v/>
      </c>
      <c r="AC211" s="9" t="str">
        <f t="shared" si="31"/>
        <v/>
      </c>
      <c r="AD211" s="9" t="str">
        <f t="shared" si="32"/>
        <v/>
      </c>
    </row>
    <row r="212" spans="1:30" ht="37.5" customHeight="1" thickBot="1" x14ac:dyDescent="0.25">
      <c r="A212" s="132">
        <f t="shared" si="34"/>
        <v>206</v>
      </c>
      <c r="B212" s="91" t="s">
        <v>466</v>
      </c>
      <c r="C212" s="27" t="str">
        <f t="shared" si="33"/>
        <v>vs</v>
      </c>
      <c r="D212" s="115" t="s">
        <v>18</v>
      </c>
      <c r="E212" s="27">
        <v>2020</v>
      </c>
      <c r="F212" s="134" t="s">
        <v>47</v>
      </c>
      <c r="G212" s="9"/>
      <c r="H212" s="19" t="s">
        <v>467</v>
      </c>
      <c r="M212" s="9" t="str">
        <f>IF(D212=$M$3,1,"")</f>
        <v/>
      </c>
      <c r="N212" s="9" t="str">
        <f>IF(D212=$N$3,1,"")</f>
        <v/>
      </c>
      <c r="O212" s="9" t="str">
        <f>IF(D212=$O$3,1,"")</f>
        <v/>
      </c>
      <c r="P212" s="9" t="str">
        <f>IF(D212=$P$3,1,"")</f>
        <v/>
      </c>
      <c r="Q212" s="9" t="str">
        <f>IF(D212=$Q$3,1,"")</f>
        <v/>
      </c>
      <c r="R212" s="9" t="str">
        <f>IF(D212=$R$3,1,"")</f>
        <v/>
      </c>
      <c r="S212" s="9" t="str">
        <f>IF(D212=$S$3,1,"")</f>
        <v/>
      </c>
      <c r="T212" s="9" t="str">
        <f>IF(D212=$T$3,1,"")</f>
        <v/>
      </c>
      <c r="U212" s="9" t="str">
        <f>IF(D212=$U$3,1,"")</f>
        <v/>
      </c>
      <c r="V212" s="9" t="str">
        <f>IF(D212=$V$3,1,"")</f>
        <v/>
      </c>
      <c r="W212" s="9">
        <f>IF(D212=$W$3,1,"")</f>
        <v>1</v>
      </c>
      <c r="X212" s="9" t="str">
        <f>IF(D212=$X$3,1,"")</f>
        <v/>
      </c>
      <c r="Y212" s="9" t="e">
        <f>IF(#REF!=$X$3,1,"")</f>
        <v>#REF!</v>
      </c>
      <c r="Z212" s="9" t="str">
        <f t="shared" ref="Z212:Z277" si="35">IF(F212=$Z$3,1,"")</f>
        <v/>
      </c>
      <c r="AA212" s="9" t="str">
        <f t="shared" ref="AA212:AA277" si="36">IF(F212=$AA$3,1,"")</f>
        <v/>
      </c>
      <c r="AB212" s="9" t="str">
        <f t="shared" ref="AB212:AB277" si="37">IF(F212=$AB$3,1,"")</f>
        <v/>
      </c>
      <c r="AC212" s="9" t="str">
        <f t="shared" ref="AC212:AC277" si="38">IF(F212=$AC$3,1,"")</f>
        <v/>
      </c>
      <c r="AD212" s="9" t="str">
        <f t="shared" ref="AD212:AD277" si="39">IF(F212=$AE$3,1,"")</f>
        <v/>
      </c>
    </row>
    <row r="213" spans="1:30" ht="21" customHeight="1" x14ac:dyDescent="0.2">
      <c r="A213" s="12">
        <f t="shared" si="34"/>
        <v>207</v>
      </c>
      <c r="B213" s="110" t="s">
        <v>468</v>
      </c>
      <c r="C213" s="13" t="str">
        <f t="shared" si="33"/>
        <v>vs</v>
      </c>
      <c r="D213" s="31" t="s">
        <v>61</v>
      </c>
      <c r="E213" s="13">
        <v>2020</v>
      </c>
      <c r="F213" s="119" t="s">
        <v>23</v>
      </c>
      <c r="G213" s="9"/>
      <c r="H213" s="19" t="s">
        <v>469</v>
      </c>
      <c r="M213" s="9" t="str">
        <f>IF(D213=$M$3,1,"")</f>
        <v/>
      </c>
      <c r="N213" s="9" t="str">
        <f>IF(D213=$N$3,1,"")</f>
        <v/>
      </c>
      <c r="O213" s="9" t="str">
        <f>IF(D213=$O$3,1,"")</f>
        <v/>
      </c>
      <c r="P213" s="9" t="str">
        <f>IF(D213=$P$3,1,"")</f>
        <v/>
      </c>
      <c r="Q213" s="9" t="str">
        <f>IF(D213=$Q$3,1,"")</f>
        <v/>
      </c>
      <c r="R213" s="9" t="str">
        <f>IF(D213=$R$3,1,"")</f>
        <v/>
      </c>
      <c r="S213" s="9" t="str">
        <f>IF(D213=$S$3,1,"")</f>
        <v/>
      </c>
      <c r="T213" s="9" t="str">
        <f>IF(D213=$T$3,1,"")</f>
        <v/>
      </c>
      <c r="U213" s="9" t="str">
        <f>IF(D213=$U$3,1,"")</f>
        <v/>
      </c>
      <c r="V213" s="9" t="str">
        <f>IF(D213=$V$3,1,"")</f>
        <v/>
      </c>
      <c r="W213" s="9" t="str">
        <f>IF(D213=$W$3,1,"")</f>
        <v/>
      </c>
      <c r="X213" s="9" t="str">
        <f>IF(D213=$X$3,1,"")</f>
        <v/>
      </c>
      <c r="Y213" s="9" t="e">
        <f>IF(#REF!=$X$3,1,"")</f>
        <v>#REF!</v>
      </c>
      <c r="Z213" s="9" t="str">
        <f t="shared" si="35"/>
        <v/>
      </c>
      <c r="AA213" s="9" t="str">
        <f t="shared" si="36"/>
        <v/>
      </c>
      <c r="AB213" s="9" t="str">
        <f t="shared" si="37"/>
        <v/>
      </c>
      <c r="AC213" s="9" t="str">
        <f t="shared" si="38"/>
        <v/>
      </c>
      <c r="AD213" s="9" t="str">
        <f t="shared" si="39"/>
        <v/>
      </c>
    </row>
    <row r="214" spans="1:30" ht="21" customHeight="1" thickBot="1" x14ac:dyDescent="0.25">
      <c r="A214" s="22">
        <f t="shared" si="34"/>
        <v>208</v>
      </c>
      <c r="B214" s="81" t="s">
        <v>470</v>
      </c>
      <c r="C214" s="23" t="str">
        <f>IF(B214="","","vs")</f>
        <v>vs</v>
      </c>
      <c r="D214" s="10" t="s">
        <v>61</v>
      </c>
      <c r="E214" s="23">
        <v>2020</v>
      </c>
      <c r="F214" s="11" t="s">
        <v>47</v>
      </c>
      <c r="G214" s="9"/>
      <c r="H214" s="19" t="s">
        <v>469</v>
      </c>
      <c r="M214" s="9" t="str">
        <f>IF(D214=$M$3,1,"")</f>
        <v/>
      </c>
      <c r="N214" s="9" t="str">
        <f>IF(D214=$N$3,1,"")</f>
        <v/>
      </c>
      <c r="O214" s="9" t="str">
        <f>IF(D214=$O$3,1,"")</f>
        <v/>
      </c>
      <c r="P214" s="9" t="str">
        <f>IF(D214=$P$3,1,"")</f>
        <v/>
      </c>
      <c r="Q214" s="9" t="str">
        <f>IF(D214=$Q$3,1,"")</f>
        <v/>
      </c>
      <c r="R214" s="9" t="str">
        <f>IF(D214=$R$3,1,"")</f>
        <v/>
      </c>
      <c r="S214" s="9" t="str">
        <f>IF(D214=$S$3,1,"")</f>
        <v/>
      </c>
      <c r="T214" s="9" t="str">
        <f>IF(D214=$T$3,1,"")</f>
        <v/>
      </c>
      <c r="U214" s="9" t="str">
        <f>IF(D214=$U$3,1,"")</f>
        <v/>
      </c>
      <c r="V214" s="9" t="str">
        <f>IF(D214=$V$3,1,"")</f>
        <v/>
      </c>
      <c r="W214" s="9" t="str">
        <f>IF(D214=$W$3,1,"")</f>
        <v/>
      </c>
      <c r="X214" s="9" t="str">
        <f>IF(D214=$X$3,1,"")</f>
        <v/>
      </c>
      <c r="Y214" s="9" t="e">
        <f>IF(#REF!=$X$3,1,"")</f>
        <v>#REF!</v>
      </c>
      <c r="Z214" s="9" t="str">
        <f t="shared" si="35"/>
        <v/>
      </c>
      <c r="AA214" s="9" t="str">
        <f t="shared" si="36"/>
        <v/>
      </c>
      <c r="AB214" s="9" t="str">
        <f t="shared" si="37"/>
        <v/>
      </c>
      <c r="AC214" s="9" t="str">
        <f t="shared" si="38"/>
        <v/>
      </c>
      <c r="AD214" s="9" t="str">
        <f t="shared" si="39"/>
        <v/>
      </c>
    </row>
    <row r="215" spans="1:30" ht="37.5" customHeight="1" thickBot="1" x14ac:dyDescent="0.25">
      <c r="A215" s="132">
        <f t="shared" si="34"/>
        <v>209</v>
      </c>
      <c r="B215" s="133" t="s">
        <v>471</v>
      </c>
      <c r="C215" s="27" t="str">
        <f t="shared" si="33"/>
        <v>vs</v>
      </c>
      <c r="D215" s="115" t="s">
        <v>13</v>
      </c>
      <c r="E215" s="27">
        <v>2021</v>
      </c>
      <c r="F215" s="134" t="s">
        <v>23</v>
      </c>
      <c r="G215" s="9"/>
      <c r="H215" s="19" t="s">
        <v>472</v>
      </c>
      <c r="M215" s="9" t="str">
        <f>IF(D215=$M$3,1,"")</f>
        <v/>
      </c>
      <c r="N215" s="9" t="str">
        <f>IF(D215=$N$3,1,"")</f>
        <v/>
      </c>
      <c r="O215" s="9" t="str">
        <f>IF(D215=$O$3,1,"")</f>
        <v/>
      </c>
      <c r="P215" s="9" t="str">
        <f>IF(D215=$P$3,1,"")</f>
        <v/>
      </c>
      <c r="Q215" s="9" t="str">
        <f>IF(D215=$Q$3,1,"")</f>
        <v/>
      </c>
      <c r="R215" s="9">
        <f>IF(D215=$R$3,1,"")</f>
        <v>1</v>
      </c>
      <c r="S215" s="9" t="str">
        <f>IF(D215=$S$3,1,"")</f>
        <v/>
      </c>
      <c r="T215" s="9" t="str">
        <f>IF(D215=$T$3,1,"")</f>
        <v/>
      </c>
      <c r="U215" s="9" t="str">
        <f>IF(D215=$U$3,1,"")</f>
        <v/>
      </c>
      <c r="V215" s="9" t="str">
        <f>IF(D215=$V$3,1,"")</f>
        <v/>
      </c>
      <c r="W215" s="9" t="str">
        <f>IF(D215=$W$3,1,"")</f>
        <v/>
      </c>
      <c r="X215" s="9" t="str">
        <f>IF(D215=$X$3,1,"")</f>
        <v/>
      </c>
      <c r="Y215" s="9" t="e">
        <f>IF(#REF!=$X$3,1,"")</f>
        <v>#REF!</v>
      </c>
      <c r="Z215" s="9" t="str">
        <f t="shared" si="35"/>
        <v/>
      </c>
      <c r="AA215" s="9" t="str">
        <f t="shared" si="36"/>
        <v/>
      </c>
      <c r="AB215" s="9" t="str">
        <f t="shared" si="37"/>
        <v/>
      </c>
      <c r="AC215" s="9" t="str">
        <f t="shared" si="38"/>
        <v/>
      </c>
      <c r="AD215" s="9" t="str">
        <f t="shared" si="39"/>
        <v/>
      </c>
    </row>
    <row r="216" spans="1:30" ht="21" customHeight="1" x14ac:dyDescent="0.2">
      <c r="A216" s="12">
        <f t="shared" si="34"/>
        <v>210</v>
      </c>
      <c r="B216" s="24" t="s">
        <v>473</v>
      </c>
      <c r="C216" s="13" t="str">
        <f t="shared" si="33"/>
        <v>vs</v>
      </c>
      <c r="D216" s="31" t="s">
        <v>9</v>
      </c>
      <c r="E216" s="13">
        <v>2021</v>
      </c>
      <c r="F216" s="119" t="s">
        <v>23</v>
      </c>
      <c r="G216" s="9" t="s">
        <v>474</v>
      </c>
      <c r="H216" s="19" t="s">
        <v>475</v>
      </c>
      <c r="M216" s="9" t="str">
        <f>IF(D216=$M$3,1,"")</f>
        <v/>
      </c>
      <c r="N216" s="9">
        <f>IF(D216=$N$3,1,"")</f>
        <v>1</v>
      </c>
      <c r="O216" s="9" t="str">
        <f>IF(D216=$O$3,1,"")</f>
        <v/>
      </c>
      <c r="P216" s="9" t="str">
        <f>IF(D216=$P$3,1,"")</f>
        <v/>
      </c>
      <c r="Q216" s="9" t="str">
        <f>IF(D216=$Q$3,1,"")</f>
        <v/>
      </c>
      <c r="R216" s="9" t="str">
        <f>IF(D216=$R$3,1,"")</f>
        <v/>
      </c>
      <c r="S216" s="9" t="str">
        <f>IF(D216=$S$3,1,"")</f>
        <v/>
      </c>
      <c r="T216" s="9" t="str">
        <f>IF(D216=$T$3,1,"")</f>
        <v/>
      </c>
      <c r="U216" s="9" t="str">
        <f>IF(D216=$U$3,1,"")</f>
        <v/>
      </c>
      <c r="V216" s="9" t="str">
        <f>IF(D216=$V$3,1,"")</f>
        <v/>
      </c>
      <c r="W216" s="9" t="str">
        <f>IF(D216=$W$3,1,"")</f>
        <v/>
      </c>
      <c r="X216" s="9" t="str">
        <f>IF(D216=$X$3,1,"")</f>
        <v/>
      </c>
      <c r="Y216" s="9" t="e">
        <f>IF(#REF!=$X$3,1,"")</f>
        <v>#REF!</v>
      </c>
      <c r="Z216" s="9" t="str">
        <f t="shared" si="35"/>
        <v/>
      </c>
      <c r="AA216" s="9" t="str">
        <f t="shared" si="36"/>
        <v/>
      </c>
      <c r="AB216" s="9" t="str">
        <f t="shared" si="37"/>
        <v/>
      </c>
      <c r="AC216" s="9" t="str">
        <f t="shared" si="38"/>
        <v/>
      </c>
      <c r="AD216" s="9" t="str">
        <f t="shared" si="39"/>
        <v/>
      </c>
    </row>
    <row r="217" spans="1:30" ht="21" customHeight="1" x14ac:dyDescent="0.2">
      <c r="A217" s="15">
        <f t="shared" si="34"/>
        <v>211</v>
      </c>
      <c r="B217" s="112" t="s">
        <v>476</v>
      </c>
      <c r="C217" s="16" t="str">
        <f t="shared" si="33"/>
        <v>vs</v>
      </c>
      <c r="D217" s="17" t="s">
        <v>15</v>
      </c>
      <c r="E217" s="16">
        <v>2021</v>
      </c>
      <c r="F217" s="18" t="s">
        <v>23</v>
      </c>
      <c r="G217" s="9"/>
      <c r="H217" s="19" t="s">
        <v>477</v>
      </c>
      <c r="M217" s="9" t="str">
        <f>IF(D217=$M$3,1,"")</f>
        <v/>
      </c>
      <c r="N217" s="9" t="str">
        <f>IF(D217=$N$3,1,"")</f>
        <v/>
      </c>
      <c r="O217" s="9" t="str">
        <f>IF(D217=$O$3,1,"")</f>
        <v/>
      </c>
      <c r="P217" s="9" t="str">
        <f>IF(D217=$P$3,1,"")</f>
        <v/>
      </c>
      <c r="Q217" s="9" t="str">
        <f>IF(D217=$Q$3,1,"")</f>
        <v/>
      </c>
      <c r="R217" s="9" t="str">
        <f>IF(D217=$R$3,1,"")</f>
        <v/>
      </c>
      <c r="S217" s="9" t="str">
        <f>IF(D217=$S$3,1,"")</f>
        <v/>
      </c>
      <c r="T217" s="9">
        <f>IF(D217=$T$3,1,"")</f>
        <v>1</v>
      </c>
      <c r="U217" s="9" t="str">
        <f>IF(D217=$U$3,1,"")</f>
        <v/>
      </c>
      <c r="V217" s="9" t="str">
        <f>IF(D217=$V$3,1,"")</f>
        <v/>
      </c>
      <c r="W217" s="9" t="str">
        <f>IF(D217=$W$3,1,"")</f>
        <v/>
      </c>
      <c r="X217" s="9" t="str">
        <f>IF(D217=$X$3,1,"")</f>
        <v/>
      </c>
      <c r="Y217" s="9" t="e">
        <f>IF(#REF!=$X$3,1,"")</f>
        <v>#REF!</v>
      </c>
      <c r="Z217" s="9" t="str">
        <f t="shared" si="35"/>
        <v/>
      </c>
      <c r="AA217" s="9" t="str">
        <f t="shared" si="36"/>
        <v/>
      </c>
      <c r="AB217" s="9" t="str">
        <f t="shared" si="37"/>
        <v/>
      </c>
      <c r="AC217" s="9" t="str">
        <f t="shared" si="38"/>
        <v/>
      </c>
      <c r="AD217" s="9" t="str">
        <f t="shared" si="39"/>
        <v/>
      </c>
    </row>
    <row r="218" spans="1:30" ht="21" customHeight="1" x14ac:dyDescent="0.2">
      <c r="A218" s="15">
        <f t="shared" si="34"/>
        <v>212</v>
      </c>
      <c r="B218" s="112" t="s">
        <v>478</v>
      </c>
      <c r="C218" s="16" t="str">
        <f t="shared" si="33"/>
        <v>vs</v>
      </c>
      <c r="D218" s="17" t="s">
        <v>15</v>
      </c>
      <c r="E218" s="16">
        <v>2021</v>
      </c>
      <c r="F218" s="18" t="s">
        <v>23</v>
      </c>
      <c r="G218" s="9"/>
      <c r="H218" s="19" t="s">
        <v>479</v>
      </c>
      <c r="M218" s="9" t="str">
        <f>IF(D218=$M$3,1,"")</f>
        <v/>
      </c>
      <c r="N218" s="9" t="str">
        <f>IF(D218=$N$3,1,"")</f>
        <v/>
      </c>
      <c r="O218" s="9" t="str">
        <f>IF(D218=$O$3,1,"")</f>
        <v/>
      </c>
      <c r="P218" s="9" t="str">
        <f>IF(D218=$P$3,1,"")</f>
        <v/>
      </c>
      <c r="Q218" s="9" t="str">
        <f>IF(D218=$Q$3,1,"")</f>
        <v/>
      </c>
      <c r="R218" s="9" t="str">
        <f>IF(D218=$R$3,1,"")</f>
        <v/>
      </c>
      <c r="S218" s="9" t="str">
        <f>IF(D218=$S$3,1,"")</f>
        <v/>
      </c>
      <c r="T218" s="9">
        <f>IF(D218=$T$3,1,"")</f>
        <v>1</v>
      </c>
      <c r="U218" s="9" t="str">
        <f>IF(D218=$U$3,1,"")</f>
        <v/>
      </c>
      <c r="V218" s="9" t="str">
        <f>IF(D218=$V$3,1,"")</f>
        <v/>
      </c>
      <c r="W218" s="9" t="str">
        <f>IF(D218=$W$3,1,"")</f>
        <v/>
      </c>
      <c r="X218" s="9" t="str">
        <f>IF(D218=$X$3,1,"")</f>
        <v/>
      </c>
      <c r="Y218" s="9" t="e">
        <f>IF(#REF!=$X$3,1,"")</f>
        <v>#REF!</v>
      </c>
      <c r="Z218" s="9" t="str">
        <f t="shared" si="35"/>
        <v/>
      </c>
      <c r="AA218" s="9" t="str">
        <f t="shared" si="36"/>
        <v/>
      </c>
      <c r="AB218" s="9" t="str">
        <f t="shared" si="37"/>
        <v/>
      </c>
      <c r="AC218" s="9" t="str">
        <f t="shared" si="38"/>
        <v/>
      </c>
      <c r="AD218" s="9" t="str">
        <f t="shared" si="39"/>
        <v/>
      </c>
    </row>
    <row r="219" spans="1:30" ht="21" customHeight="1" thickBot="1" x14ac:dyDescent="0.25">
      <c r="A219" s="22">
        <f t="shared" si="34"/>
        <v>213</v>
      </c>
      <c r="B219" s="81" t="s">
        <v>480</v>
      </c>
      <c r="C219" s="23" t="str">
        <f t="shared" si="33"/>
        <v>vs</v>
      </c>
      <c r="D219" s="10" t="s">
        <v>9</v>
      </c>
      <c r="E219" s="23">
        <v>2021</v>
      </c>
      <c r="F219" s="11" t="s">
        <v>33</v>
      </c>
      <c r="G219" s="9" t="s">
        <v>453</v>
      </c>
      <c r="H219" s="19" t="s">
        <v>481</v>
      </c>
      <c r="M219" s="9" t="str">
        <f>IF(D219=$M$3,1,"")</f>
        <v/>
      </c>
      <c r="N219" s="9">
        <f>IF(D219=$N$3,1,"")</f>
        <v>1</v>
      </c>
      <c r="O219" s="9" t="str">
        <f>IF(D219=$O$3,1,"")</f>
        <v/>
      </c>
      <c r="P219" s="9" t="str">
        <f>IF(D219=$P$3,1,"")</f>
        <v/>
      </c>
      <c r="Q219" s="9" t="str">
        <f>IF(D219=$Q$3,1,"")</f>
        <v/>
      </c>
      <c r="R219" s="9" t="str">
        <f>IF(D219=$R$3,1,"")</f>
        <v/>
      </c>
      <c r="S219" s="9" t="str">
        <f>IF(D219=$S$3,1,"")</f>
        <v/>
      </c>
      <c r="T219" s="9" t="str">
        <f>IF(D219=$T$3,1,"")</f>
        <v/>
      </c>
      <c r="U219" s="9" t="str">
        <f>IF(D219=$U$3,1,"")</f>
        <v/>
      </c>
      <c r="V219" s="9" t="str">
        <f>IF(D219=$V$3,1,"")</f>
        <v/>
      </c>
      <c r="W219" s="9" t="str">
        <f>IF(D219=$W$3,1,"")</f>
        <v/>
      </c>
      <c r="X219" s="9" t="str">
        <f>IF(D219=$X$3,1,"")</f>
        <v/>
      </c>
      <c r="Y219" s="9" t="e">
        <f>IF(#REF!=$X$3,1,"")</f>
        <v>#REF!</v>
      </c>
      <c r="Z219" s="9" t="str">
        <f t="shared" si="35"/>
        <v/>
      </c>
      <c r="AA219" s="9" t="str">
        <f t="shared" si="36"/>
        <v/>
      </c>
      <c r="AB219" s="9" t="str">
        <f t="shared" si="37"/>
        <v/>
      </c>
      <c r="AC219" s="9" t="str">
        <f t="shared" si="38"/>
        <v/>
      </c>
      <c r="AD219" s="9" t="str">
        <f t="shared" si="39"/>
        <v/>
      </c>
    </row>
    <row r="220" spans="1:30" ht="21" customHeight="1" x14ac:dyDescent="0.2">
      <c r="A220" s="56">
        <f t="shared" si="34"/>
        <v>214</v>
      </c>
      <c r="B220" s="131" t="s">
        <v>482</v>
      </c>
      <c r="C220" s="58" t="str">
        <f t="shared" si="33"/>
        <v>vs</v>
      </c>
      <c r="D220" s="116" t="s">
        <v>18</v>
      </c>
      <c r="E220" s="58">
        <v>2021</v>
      </c>
      <c r="F220" s="103" t="s">
        <v>23</v>
      </c>
      <c r="G220" s="9"/>
      <c r="H220" s="19" t="s">
        <v>483</v>
      </c>
      <c r="M220" s="9" t="str">
        <f>IF(D220=$M$3,1,"")</f>
        <v/>
      </c>
      <c r="N220" s="9" t="str">
        <f>IF(D220=$N$3,1,"")</f>
        <v/>
      </c>
      <c r="O220" s="9" t="str">
        <f>IF(D220=$O$3,1,"")</f>
        <v/>
      </c>
      <c r="P220" s="9" t="str">
        <f>IF(D220=$P$3,1,"")</f>
        <v/>
      </c>
      <c r="Q220" s="9" t="str">
        <f>IF(D220=$Q$3,1,"")</f>
        <v/>
      </c>
      <c r="R220" s="9" t="str">
        <f>IF(D220=$R$3,1,"")</f>
        <v/>
      </c>
      <c r="S220" s="9" t="str">
        <f>IF(D220=$S$3,1,"")</f>
        <v/>
      </c>
      <c r="T220" s="9" t="str">
        <f>IF(D220=$T$3,1,"")</f>
        <v/>
      </c>
      <c r="U220" s="9" t="str">
        <f>IF(D220=$U$3,1,"")</f>
        <v/>
      </c>
      <c r="V220" s="9" t="str">
        <f>IF(D220=$V$3,1,"")</f>
        <v/>
      </c>
      <c r="W220" s="9">
        <f>IF(D220=$W$3,1,"")</f>
        <v>1</v>
      </c>
      <c r="X220" s="9" t="str">
        <f>IF(D220=$X$3,1,"")</f>
        <v/>
      </c>
      <c r="Y220" s="9" t="e">
        <f>IF(#REF!=$X$3,1,"")</f>
        <v>#REF!</v>
      </c>
      <c r="Z220" s="9" t="str">
        <f t="shared" si="35"/>
        <v/>
      </c>
      <c r="AA220" s="9" t="str">
        <f t="shared" si="36"/>
        <v/>
      </c>
      <c r="AB220" s="9" t="str">
        <f t="shared" si="37"/>
        <v/>
      </c>
      <c r="AC220" s="9" t="str">
        <f t="shared" si="38"/>
        <v/>
      </c>
      <c r="AD220" s="9" t="str">
        <f t="shared" si="39"/>
        <v/>
      </c>
    </row>
    <row r="221" spans="1:30" ht="21" customHeight="1" thickBot="1" x14ac:dyDescent="0.25">
      <c r="A221" s="22">
        <f t="shared" si="34"/>
        <v>215</v>
      </c>
      <c r="B221" s="81" t="s">
        <v>452</v>
      </c>
      <c r="C221" s="23" t="str">
        <f t="shared" si="33"/>
        <v>vs</v>
      </c>
      <c r="D221" s="10" t="s">
        <v>11</v>
      </c>
      <c r="E221" s="23">
        <v>2021</v>
      </c>
      <c r="F221" s="11" t="s">
        <v>23</v>
      </c>
      <c r="H221" s="19" t="s">
        <v>454</v>
      </c>
      <c r="M221" s="9" t="str">
        <f>IF(D221=$M$3,1,"")</f>
        <v/>
      </c>
      <c r="N221" s="9" t="str">
        <f>IF(D221=$N$3,1,"")</f>
        <v/>
      </c>
      <c r="O221" s="9" t="str">
        <f>IF(D221=$O$3,1,"")</f>
        <v/>
      </c>
      <c r="P221" s="9">
        <f>IF(D221=$P$3,1,"")</f>
        <v>1</v>
      </c>
      <c r="Q221" s="9" t="str">
        <f>IF(D221=$Q$3,1,"")</f>
        <v/>
      </c>
      <c r="R221" s="9" t="str">
        <f>IF(D221=$R$3,1,"")</f>
        <v/>
      </c>
      <c r="S221" s="9" t="str">
        <f>IF(D221=$S$3,1,"")</f>
        <v/>
      </c>
      <c r="T221" s="9" t="str">
        <f>IF(D221=$T$3,1,"")</f>
        <v/>
      </c>
      <c r="U221" s="9" t="str">
        <f>IF(D221=$U$3,1,"")</f>
        <v/>
      </c>
      <c r="V221" s="9" t="str">
        <f>IF(D221=$V$3,1,"")</f>
        <v/>
      </c>
      <c r="W221" s="9" t="str">
        <f>IF(D221=$W$3,1,"")</f>
        <v/>
      </c>
      <c r="X221" s="9" t="str">
        <f>IF(D221=$X$3,1,"")</f>
        <v/>
      </c>
      <c r="Y221" s="9" t="e">
        <f>IF(#REF!=$X$3,1,"")</f>
        <v>#REF!</v>
      </c>
      <c r="Z221" s="9" t="str">
        <f t="shared" si="35"/>
        <v/>
      </c>
      <c r="AA221" s="9" t="str">
        <f t="shared" si="36"/>
        <v/>
      </c>
      <c r="AB221" s="9" t="str">
        <f t="shared" si="37"/>
        <v/>
      </c>
      <c r="AC221" s="9" t="str">
        <f t="shared" si="38"/>
        <v/>
      </c>
      <c r="AD221" s="9" t="str">
        <f t="shared" si="39"/>
        <v/>
      </c>
    </row>
    <row r="222" spans="1:30" ht="21" customHeight="1" x14ac:dyDescent="0.2">
      <c r="A222" s="56">
        <f t="shared" si="34"/>
        <v>216</v>
      </c>
      <c r="B222" s="131" t="s">
        <v>484</v>
      </c>
      <c r="C222" s="58" t="str">
        <f t="shared" si="33"/>
        <v>vs</v>
      </c>
      <c r="D222" s="116" t="s">
        <v>11</v>
      </c>
      <c r="E222" s="58">
        <v>2021</v>
      </c>
      <c r="F222" s="103" t="s">
        <v>23</v>
      </c>
      <c r="G222" s="9"/>
      <c r="H222" s="19" t="s">
        <v>485</v>
      </c>
      <c r="M222" s="9" t="str">
        <f>IF(D222=$M$3,1,"")</f>
        <v/>
      </c>
      <c r="N222" s="9" t="str">
        <f>IF(D222=$N$3,1,"")</f>
        <v/>
      </c>
      <c r="O222" s="9" t="str">
        <f>IF(D222=$O$3,1,"")</f>
        <v/>
      </c>
      <c r="P222" s="9">
        <f>IF(D222=$P$3,1,"")</f>
        <v>1</v>
      </c>
      <c r="Q222" s="9" t="str">
        <f>IF(D222=$Q$3,1,"")</f>
        <v/>
      </c>
      <c r="R222" s="9" t="str">
        <f>IF(D222=$R$3,1,"")</f>
        <v/>
      </c>
      <c r="S222" s="9" t="str">
        <f>IF(D222=$S$3,1,"")</f>
        <v/>
      </c>
      <c r="T222" s="9" t="str">
        <f>IF(D222=$T$3,1,"")</f>
        <v/>
      </c>
      <c r="U222" s="9" t="str">
        <f>IF(D222=$U$3,1,"")</f>
        <v/>
      </c>
      <c r="V222" s="9" t="str">
        <f>IF(D222=$V$3,1,"")</f>
        <v/>
      </c>
      <c r="W222" s="9" t="str">
        <f>IF(D222=$W$3,1,"")</f>
        <v/>
      </c>
      <c r="X222" s="9" t="str">
        <f>IF(D222=$X$3,1,"")</f>
        <v/>
      </c>
      <c r="Y222" s="9" t="e">
        <f>IF(#REF!=$X$3,1,"")</f>
        <v>#REF!</v>
      </c>
      <c r="Z222" s="9" t="str">
        <f t="shared" si="35"/>
        <v/>
      </c>
      <c r="AA222" s="9" t="str">
        <f t="shared" si="36"/>
        <v/>
      </c>
      <c r="AB222" s="9" t="str">
        <f t="shared" si="37"/>
        <v/>
      </c>
      <c r="AC222" s="9" t="str">
        <f t="shared" si="38"/>
        <v/>
      </c>
      <c r="AD222" s="9" t="str">
        <f t="shared" si="39"/>
        <v/>
      </c>
    </row>
    <row r="223" spans="1:30" ht="21" customHeight="1" thickBot="1" x14ac:dyDescent="0.25">
      <c r="A223" s="22">
        <f t="shared" si="34"/>
        <v>217</v>
      </c>
      <c r="B223" s="81" t="s">
        <v>486</v>
      </c>
      <c r="C223" s="23" t="str">
        <f t="shared" si="33"/>
        <v>vs</v>
      </c>
      <c r="D223" s="10" t="s">
        <v>11</v>
      </c>
      <c r="E223" s="23">
        <v>2021</v>
      </c>
      <c r="F223" s="11" t="s">
        <v>23</v>
      </c>
      <c r="G223" s="9"/>
      <c r="H223" s="19" t="s">
        <v>487</v>
      </c>
      <c r="M223" s="9" t="str">
        <f>IF(D223=$M$3,1,"")</f>
        <v/>
      </c>
      <c r="N223" s="9" t="str">
        <f>IF(D223=$N$3,1,"")</f>
        <v/>
      </c>
      <c r="O223" s="9" t="str">
        <f>IF(D223=$O$3,1,"")</f>
        <v/>
      </c>
      <c r="P223" s="9">
        <f>IF(D223=$P$3,1,"")</f>
        <v>1</v>
      </c>
      <c r="Q223" s="9" t="str">
        <f>IF(D223=$Q$3,1,"")</f>
        <v/>
      </c>
      <c r="R223" s="9" t="str">
        <f>IF(D223=$R$3,1,"")</f>
        <v/>
      </c>
      <c r="S223" s="9" t="str">
        <f>IF(D223=$S$3,1,"")</f>
        <v/>
      </c>
      <c r="T223" s="9" t="str">
        <f>IF(D223=$T$3,1,"")</f>
        <v/>
      </c>
      <c r="U223" s="9" t="str">
        <f>IF(D223=$U$3,1,"")</f>
        <v/>
      </c>
      <c r="V223" s="9" t="str">
        <f>IF(D223=$V$3,1,"")</f>
        <v/>
      </c>
      <c r="W223" s="9" t="str">
        <f>IF(D223=$W$3,1,"")</f>
        <v/>
      </c>
      <c r="X223" s="9" t="str">
        <f>IF(D223=$X$3,1,"")</f>
        <v/>
      </c>
      <c r="Y223" s="9" t="e">
        <f>IF(#REF!=$X$3,1,"")</f>
        <v>#REF!</v>
      </c>
      <c r="Z223" s="9" t="str">
        <f t="shared" si="35"/>
        <v/>
      </c>
      <c r="AA223" s="9" t="str">
        <f t="shared" si="36"/>
        <v/>
      </c>
      <c r="AB223" s="9" t="str">
        <f t="shared" si="37"/>
        <v/>
      </c>
      <c r="AC223" s="9" t="str">
        <f t="shared" si="38"/>
        <v/>
      </c>
      <c r="AD223" s="9" t="str">
        <f t="shared" si="39"/>
        <v/>
      </c>
    </row>
    <row r="224" spans="1:30" ht="33.75" customHeight="1" x14ac:dyDescent="0.2">
      <c r="A224" s="58">
        <f t="shared" si="34"/>
        <v>218</v>
      </c>
      <c r="B224" s="131" t="s">
        <v>476</v>
      </c>
      <c r="C224" s="58" t="str">
        <f>IF(B224="","","vs")</f>
        <v>vs</v>
      </c>
      <c r="D224" s="116" t="s">
        <v>15</v>
      </c>
      <c r="E224" s="58">
        <v>2021</v>
      </c>
      <c r="F224" s="116" t="s">
        <v>23</v>
      </c>
      <c r="G224" s="9"/>
      <c r="H224" s="19" t="s">
        <v>488</v>
      </c>
      <c r="M224" s="9" t="str">
        <f>IF(D224=$M$3,1,"")</f>
        <v/>
      </c>
      <c r="N224" s="9" t="str">
        <f>IF(D224=$N$3,1,"")</f>
        <v/>
      </c>
      <c r="O224" s="9" t="str">
        <f>IF(D224=$O$3,1,"")</f>
        <v/>
      </c>
      <c r="P224" s="9" t="str">
        <f>IF(D224=$P$3,1,"")</f>
        <v/>
      </c>
      <c r="Q224" s="9" t="str">
        <f>IF(D224=$Q$3,1,"")</f>
        <v/>
      </c>
      <c r="R224" s="9" t="str">
        <f>IF(D224=$R$3,1,"")</f>
        <v/>
      </c>
      <c r="S224" s="9" t="str">
        <f>IF(D224=$S$3,1,"")</f>
        <v/>
      </c>
      <c r="T224" s="9">
        <f>IF(D224=$T$3,1,"")</f>
        <v>1</v>
      </c>
      <c r="U224" s="9" t="str">
        <f>IF(D224=$U$3,1,"")</f>
        <v/>
      </c>
      <c r="V224" s="9" t="str">
        <f>IF(D224=$V$3,1,"")</f>
        <v/>
      </c>
      <c r="W224" s="9" t="str">
        <f>IF(D224=$W$3,1,"")</f>
        <v/>
      </c>
      <c r="X224" s="9" t="str">
        <f>IF(D224=$X$3,1,"")</f>
        <v/>
      </c>
      <c r="Y224" s="9" t="e">
        <f>IF(#REF!=$X$3,1,"")</f>
        <v>#REF!</v>
      </c>
      <c r="Z224" s="9" t="str">
        <f t="shared" si="35"/>
        <v/>
      </c>
      <c r="AA224" s="9" t="str">
        <f t="shared" si="36"/>
        <v/>
      </c>
      <c r="AB224" s="9" t="str">
        <f t="shared" si="37"/>
        <v/>
      </c>
      <c r="AC224" s="9" t="str">
        <f t="shared" si="38"/>
        <v/>
      </c>
      <c r="AD224" s="9" t="str">
        <f t="shared" si="39"/>
        <v/>
      </c>
    </row>
    <row r="225" spans="1:30" ht="21" customHeight="1" x14ac:dyDescent="0.2">
      <c r="A225" s="56">
        <f t="shared" si="34"/>
        <v>219</v>
      </c>
      <c r="B225" s="131" t="s">
        <v>466</v>
      </c>
      <c r="C225" s="58" t="str">
        <f t="shared" si="33"/>
        <v>vs</v>
      </c>
      <c r="D225" s="116" t="s">
        <v>18</v>
      </c>
      <c r="E225" s="58">
        <v>2022</v>
      </c>
      <c r="F225" s="103" t="s">
        <v>23</v>
      </c>
      <c r="G225" s="9"/>
      <c r="H225" s="19" t="s">
        <v>489</v>
      </c>
      <c r="M225" s="9" t="str">
        <f>IF(D225=$M$3,1,"")</f>
        <v/>
      </c>
      <c r="N225" s="9" t="str">
        <f>IF(D225=$N$3,1,"")</f>
        <v/>
      </c>
      <c r="O225" s="9" t="str">
        <f>IF(D225=$O$3,1,"")</f>
        <v/>
      </c>
      <c r="P225" s="9" t="str">
        <f>IF(D225=$P$3,1,"")</f>
        <v/>
      </c>
      <c r="Q225" s="9" t="str">
        <f>IF(D225=$Q$3,1,"")</f>
        <v/>
      </c>
      <c r="R225" s="9" t="str">
        <f>IF(D225=$R$3,1,"")</f>
        <v/>
      </c>
      <c r="S225" s="9" t="str">
        <f>IF(D225=$S$3,1,"")</f>
        <v/>
      </c>
      <c r="T225" s="9" t="str">
        <f>IF(D225=$T$3,1,"")</f>
        <v/>
      </c>
      <c r="U225" s="9" t="str">
        <f>IF(D225=$U$3,1,"")</f>
        <v/>
      </c>
      <c r="V225" s="9" t="str">
        <f>IF(D225=$V$3,1,"")</f>
        <v/>
      </c>
      <c r="W225" s="9">
        <f>IF(D225=$W$3,1,"")</f>
        <v>1</v>
      </c>
      <c r="X225" s="9" t="str">
        <f>IF(D225=$X$3,1,"")</f>
        <v/>
      </c>
      <c r="Y225" s="9" t="e">
        <f>IF(#REF!=$X$3,1,"")</f>
        <v>#REF!</v>
      </c>
      <c r="Z225" s="9" t="str">
        <f t="shared" si="35"/>
        <v/>
      </c>
      <c r="AA225" s="9" t="str">
        <f t="shared" si="36"/>
        <v/>
      </c>
      <c r="AB225" s="9" t="str">
        <f t="shared" si="37"/>
        <v/>
      </c>
      <c r="AC225" s="9" t="str">
        <f t="shared" si="38"/>
        <v/>
      </c>
      <c r="AD225" s="9" t="str">
        <f t="shared" si="39"/>
        <v/>
      </c>
    </row>
    <row r="226" spans="1:30" ht="21" customHeight="1" x14ac:dyDescent="0.2">
      <c r="A226" s="15">
        <f t="shared" si="34"/>
        <v>220</v>
      </c>
      <c r="B226" s="112" t="s">
        <v>490</v>
      </c>
      <c r="C226" s="16" t="str">
        <f t="shared" si="33"/>
        <v>vs</v>
      </c>
      <c r="D226" s="17" t="s">
        <v>15</v>
      </c>
      <c r="E226" s="16">
        <v>2022</v>
      </c>
      <c r="F226" s="18" t="s">
        <v>47</v>
      </c>
      <c r="G226" s="9" t="s">
        <v>491</v>
      </c>
      <c r="H226" s="19" t="s">
        <v>492</v>
      </c>
      <c r="M226" s="9" t="str">
        <f>IF(D226=$M$3,1,"")</f>
        <v/>
      </c>
      <c r="N226" s="9" t="str">
        <f>IF(D226=$N$3,1,"")</f>
        <v/>
      </c>
      <c r="O226" s="9" t="str">
        <f>IF(D226=$O$3,1,"")</f>
        <v/>
      </c>
      <c r="P226" s="9" t="str">
        <f>IF(D226=$P$3,1,"")</f>
        <v/>
      </c>
      <c r="Q226" s="9" t="str">
        <f>IF(D226=$Q$3,1,"")</f>
        <v/>
      </c>
      <c r="R226" s="9" t="str">
        <f>IF(D226=$R$3,1,"")</f>
        <v/>
      </c>
      <c r="S226" s="9" t="str">
        <f>IF(D226=$S$3,1,"")</f>
        <v/>
      </c>
      <c r="T226" s="9">
        <f>IF(D226=$T$3,1,"")</f>
        <v>1</v>
      </c>
      <c r="U226" s="9" t="str">
        <f>IF(D226=$U$3,1,"")</f>
        <v/>
      </c>
      <c r="V226" s="9" t="str">
        <f>IF(D226=$V$3,1,"")</f>
        <v/>
      </c>
      <c r="W226" s="9" t="str">
        <f>IF(D226=$W$3,1,"")</f>
        <v/>
      </c>
      <c r="X226" s="9" t="str">
        <f>IF(D226=$X$3,1,"")</f>
        <v/>
      </c>
      <c r="Y226" s="9" t="e">
        <f>IF(#REF!=$X$3,1,"")</f>
        <v>#REF!</v>
      </c>
      <c r="Z226" s="9" t="str">
        <f t="shared" si="35"/>
        <v/>
      </c>
      <c r="AA226" s="9" t="str">
        <f t="shared" si="36"/>
        <v/>
      </c>
      <c r="AB226" s="9" t="str">
        <f t="shared" si="37"/>
        <v/>
      </c>
      <c r="AC226" s="9" t="str">
        <f t="shared" si="38"/>
        <v/>
      </c>
      <c r="AD226" s="9" t="str">
        <f t="shared" si="39"/>
        <v/>
      </c>
    </row>
    <row r="227" spans="1:30" ht="21" customHeight="1" x14ac:dyDescent="0.2">
      <c r="A227" s="15">
        <f t="shared" si="34"/>
        <v>221</v>
      </c>
      <c r="B227" s="112" t="s">
        <v>493</v>
      </c>
      <c r="C227" s="16" t="str">
        <f t="shared" si="33"/>
        <v>vs</v>
      </c>
      <c r="D227" s="17" t="s">
        <v>18</v>
      </c>
      <c r="E227" s="16">
        <v>2022</v>
      </c>
      <c r="F227" s="18" t="s">
        <v>47</v>
      </c>
      <c r="G227" s="9" t="s">
        <v>453</v>
      </c>
      <c r="H227" s="19" t="s">
        <v>494</v>
      </c>
      <c r="M227" s="9" t="str">
        <f>IF(D227=$M$3,1,"")</f>
        <v/>
      </c>
      <c r="N227" s="9" t="str">
        <f>IF(D227=$N$3,1,"")</f>
        <v/>
      </c>
      <c r="O227" s="9" t="str">
        <f>IF(D227=$O$3,1,"")</f>
        <v/>
      </c>
      <c r="P227" s="9" t="str">
        <f>IF(D227=$P$3,1,"")</f>
        <v/>
      </c>
      <c r="Q227" s="9" t="str">
        <f>IF(D227=$Q$3,1,"")</f>
        <v/>
      </c>
      <c r="R227" s="9" t="str">
        <f>IF(D227=$R$3,1,"")</f>
        <v/>
      </c>
      <c r="S227" s="9" t="str">
        <f>IF(D227=$S$3,1,"")</f>
        <v/>
      </c>
      <c r="T227" s="9" t="str">
        <f>IF(D227=$T$3,1,"")</f>
        <v/>
      </c>
      <c r="U227" s="9" t="str">
        <f>IF(D227=$U$3,1,"")</f>
        <v/>
      </c>
      <c r="V227" s="9" t="str">
        <f>IF(D227=$V$3,1,"")</f>
        <v/>
      </c>
      <c r="W227" s="9">
        <f>IF(D227=$W$3,1,"")</f>
        <v>1</v>
      </c>
      <c r="X227" s="9" t="str">
        <f>IF(D227=$X$3,1,"")</f>
        <v/>
      </c>
      <c r="Y227" s="9" t="e">
        <f>IF(#REF!=$X$3,1,"")</f>
        <v>#REF!</v>
      </c>
      <c r="Z227" s="9" t="str">
        <f t="shared" si="35"/>
        <v/>
      </c>
      <c r="AA227" s="9" t="str">
        <f t="shared" si="36"/>
        <v/>
      </c>
      <c r="AB227" s="9" t="str">
        <f t="shared" si="37"/>
        <v/>
      </c>
      <c r="AC227" s="9" t="str">
        <f t="shared" si="38"/>
        <v/>
      </c>
      <c r="AD227" s="9" t="str">
        <f t="shared" si="39"/>
        <v/>
      </c>
    </row>
    <row r="228" spans="1:30" ht="21" customHeight="1" x14ac:dyDescent="0.2">
      <c r="A228" s="15">
        <f t="shared" si="34"/>
        <v>222</v>
      </c>
      <c r="B228" s="112" t="s">
        <v>495</v>
      </c>
      <c r="C228" s="16" t="str">
        <f t="shared" si="33"/>
        <v>vs</v>
      </c>
      <c r="D228" s="17" t="s">
        <v>14</v>
      </c>
      <c r="E228" s="16">
        <v>2022</v>
      </c>
      <c r="F228" s="18" t="s">
        <v>23</v>
      </c>
      <c r="G228" s="9"/>
      <c r="H228" s="19" t="s">
        <v>496</v>
      </c>
      <c r="M228" s="9" t="str">
        <f>IF(D228=$M$3,1,"")</f>
        <v/>
      </c>
      <c r="N228" s="9" t="str">
        <f>IF(D228=$N$3,1,"")</f>
        <v/>
      </c>
      <c r="O228" s="9" t="str">
        <f>IF(D228=$O$3,1,"")</f>
        <v/>
      </c>
      <c r="P228" s="9" t="str">
        <f>IF(D228=$P$3,1,"")</f>
        <v/>
      </c>
      <c r="Q228" s="9" t="str">
        <f>IF(D228=$Q$3,1,"")</f>
        <v/>
      </c>
      <c r="R228" s="9" t="str">
        <f>IF(D228=$R$3,1,"")</f>
        <v/>
      </c>
      <c r="S228" s="9">
        <f>IF(D228=$S$3,1,"")</f>
        <v>1</v>
      </c>
      <c r="T228" s="9" t="str">
        <f>IF(D228=$T$3,1,"")</f>
        <v/>
      </c>
      <c r="U228" s="9" t="str">
        <f>IF(D228=$U$3,1,"")</f>
        <v/>
      </c>
      <c r="V228" s="9" t="str">
        <f>IF(D228=$V$3,1,"")</f>
        <v/>
      </c>
      <c r="W228" s="9" t="str">
        <f>IF(D228=$W$3,1,"")</f>
        <v/>
      </c>
      <c r="X228" s="9" t="str">
        <f>IF(D228=$X$3,1,"")</f>
        <v/>
      </c>
      <c r="Y228" s="9" t="e">
        <f>IF(#REF!=$X$3,1,"")</f>
        <v>#REF!</v>
      </c>
      <c r="Z228" s="9" t="str">
        <f t="shared" si="35"/>
        <v/>
      </c>
      <c r="AA228" s="9" t="str">
        <f t="shared" si="36"/>
        <v/>
      </c>
      <c r="AB228" s="9" t="str">
        <f t="shared" si="37"/>
        <v/>
      </c>
      <c r="AC228" s="9" t="str">
        <f t="shared" si="38"/>
        <v/>
      </c>
      <c r="AD228" s="9" t="str">
        <f t="shared" si="39"/>
        <v/>
      </c>
    </row>
    <row r="229" spans="1:30" ht="21" customHeight="1" x14ac:dyDescent="0.2">
      <c r="A229" s="15">
        <f t="shared" si="34"/>
        <v>223</v>
      </c>
      <c r="B229" s="112" t="s">
        <v>497</v>
      </c>
      <c r="C229" s="16" t="str">
        <f t="shared" si="33"/>
        <v>vs</v>
      </c>
      <c r="D229" s="17" t="s">
        <v>11</v>
      </c>
      <c r="E229" s="16">
        <v>2022</v>
      </c>
      <c r="F229" s="18" t="s">
        <v>23</v>
      </c>
      <c r="G229" s="9" t="s">
        <v>498</v>
      </c>
      <c r="H229" s="19" t="s">
        <v>499</v>
      </c>
      <c r="M229" s="9" t="str">
        <f>IF(D229=$M$3,1,"")</f>
        <v/>
      </c>
      <c r="N229" s="9" t="str">
        <f>IF(D229=$N$3,1,"")</f>
        <v/>
      </c>
      <c r="O229" s="9" t="str">
        <f>IF(D229=$O$3,1,"")</f>
        <v/>
      </c>
      <c r="P229" s="9">
        <f>IF(D229=$P$3,1,"")</f>
        <v>1</v>
      </c>
      <c r="Q229" s="9" t="str">
        <f>IF(D229=$Q$3,1,"")</f>
        <v/>
      </c>
      <c r="R229" s="9" t="str">
        <f>IF(D229=$R$3,1,"")</f>
        <v/>
      </c>
      <c r="S229" s="9" t="str">
        <f>IF(D229=$S$3,1,"")</f>
        <v/>
      </c>
      <c r="T229" s="9" t="str">
        <f>IF(D229=$T$3,1,"")</f>
        <v/>
      </c>
      <c r="U229" s="9" t="str">
        <f>IF(D229=$U$3,1,"")</f>
        <v/>
      </c>
      <c r="V229" s="9" t="str">
        <f>IF(D229=$V$3,1,"")</f>
        <v/>
      </c>
      <c r="W229" s="9" t="str">
        <f>IF(D229=$W$3,1,"")</f>
        <v/>
      </c>
      <c r="X229" s="9" t="str">
        <f>IF(D229=$X$3,1,"")</f>
        <v/>
      </c>
      <c r="Y229" s="9" t="e">
        <f>IF(#REF!=$X$3,1,"")</f>
        <v>#REF!</v>
      </c>
      <c r="Z229" s="9" t="str">
        <f t="shared" si="35"/>
        <v/>
      </c>
      <c r="AA229" s="9" t="str">
        <f t="shared" si="36"/>
        <v/>
      </c>
      <c r="AB229" s="9" t="str">
        <f t="shared" si="37"/>
        <v/>
      </c>
      <c r="AC229" s="9" t="str">
        <f t="shared" si="38"/>
        <v/>
      </c>
      <c r="AD229" s="9" t="str">
        <f t="shared" si="39"/>
        <v/>
      </c>
    </row>
    <row r="230" spans="1:30" ht="20.25" customHeight="1" thickBot="1" x14ac:dyDescent="0.25">
      <c r="A230" s="22">
        <f t="shared" si="34"/>
        <v>224</v>
      </c>
      <c r="B230" s="81" t="s">
        <v>500</v>
      </c>
      <c r="C230" s="23" t="str">
        <f t="shared" si="33"/>
        <v>vs</v>
      </c>
      <c r="D230" s="10" t="s">
        <v>8</v>
      </c>
      <c r="E230" s="23">
        <v>2022</v>
      </c>
      <c r="F230" s="11" t="s">
        <v>47</v>
      </c>
      <c r="G230" s="114" t="s">
        <v>501</v>
      </c>
      <c r="H230" s="19" t="s">
        <v>502</v>
      </c>
      <c r="M230" s="9">
        <f>IF(D230=$M$3,1,"")</f>
        <v>1</v>
      </c>
      <c r="N230" s="9" t="str">
        <f>IF(D230=$N$3,1,"")</f>
        <v/>
      </c>
      <c r="O230" s="9" t="str">
        <f>IF(D230=$O$3,1,"")</f>
        <v/>
      </c>
      <c r="P230" s="9" t="str">
        <f>IF(D230=$P$3,1,"")</f>
        <v/>
      </c>
      <c r="Q230" s="9" t="str">
        <f>IF(D230=$Q$3,1,"")</f>
        <v/>
      </c>
      <c r="R230" s="9" t="str">
        <f>IF(D230=$R$3,1,"")</f>
        <v/>
      </c>
      <c r="S230" s="9" t="str">
        <f>IF(D230=$S$3,1,"")</f>
        <v/>
      </c>
      <c r="T230" s="9" t="str">
        <f>IF(D230=$T$3,1,"")</f>
        <v/>
      </c>
      <c r="U230" s="9" t="str">
        <f>IF(D230=$U$3,1,"")</f>
        <v/>
      </c>
      <c r="V230" s="9" t="str">
        <f>IF(D230=$V$3,1,"")</f>
        <v/>
      </c>
      <c r="W230" s="9" t="str">
        <f>IF(D230=$W$3,1,"")</f>
        <v/>
      </c>
      <c r="X230" s="9" t="str">
        <f>IF(D230=$X$3,1,"")</f>
        <v/>
      </c>
      <c r="Y230" s="9" t="e">
        <f>IF(#REF!=$X$3,1,"")</f>
        <v>#REF!</v>
      </c>
      <c r="Z230" s="9" t="str">
        <f t="shared" si="35"/>
        <v/>
      </c>
      <c r="AA230" s="9" t="str">
        <f t="shared" si="36"/>
        <v/>
      </c>
      <c r="AB230" s="9" t="str">
        <f t="shared" si="37"/>
        <v/>
      </c>
      <c r="AC230" s="9" t="str">
        <f t="shared" si="38"/>
        <v/>
      </c>
      <c r="AD230" s="9" t="str">
        <f t="shared" si="39"/>
        <v/>
      </c>
    </row>
    <row r="231" spans="1:30" ht="21" customHeight="1" x14ac:dyDescent="0.2">
      <c r="A231" s="56">
        <f t="shared" si="34"/>
        <v>225</v>
      </c>
      <c r="B231" s="131" t="s">
        <v>503</v>
      </c>
      <c r="C231" s="58" t="str">
        <f t="shared" si="33"/>
        <v>vs</v>
      </c>
      <c r="D231" s="116" t="s">
        <v>12</v>
      </c>
      <c r="E231" s="58">
        <v>2022</v>
      </c>
      <c r="F231" s="103" t="s">
        <v>23</v>
      </c>
      <c r="G231" s="9"/>
      <c r="H231" s="19" t="s">
        <v>504</v>
      </c>
      <c r="M231" s="9" t="str">
        <f>IF(D231=$M$3,1,"")</f>
        <v/>
      </c>
      <c r="N231" s="9" t="str">
        <f>IF(D231=$N$3,1,"")</f>
        <v/>
      </c>
      <c r="O231" s="9" t="str">
        <f>IF(D231=$O$3,1,"")</f>
        <v/>
      </c>
      <c r="P231" s="9" t="str">
        <f>IF(D231=$P$3,1,"")</f>
        <v/>
      </c>
      <c r="Q231" s="9">
        <f>IF(D231=$Q$3,1,"")</f>
        <v>1</v>
      </c>
      <c r="R231" s="9" t="str">
        <f>IF(D231=$R$3,1,"")</f>
        <v/>
      </c>
      <c r="S231" s="9" t="str">
        <f>IF(D231=$S$3,1,"")</f>
        <v/>
      </c>
      <c r="T231" s="9" t="str">
        <f>IF(D231=$T$3,1,"")</f>
        <v/>
      </c>
      <c r="U231" s="9" t="str">
        <f>IF(D231=$U$3,1,"")</f>
        <v/>
      </c>
      <c r="V231" s="9" t="str">
        <f>IF(D231=$V$3,1,"")</f>
        <v/>
      </c>
      <c r="W231" s="9" t="str">
        <f>IF(D231=$W$3,1,"")</f>
        <v/>
      </c>
      <c r="X231" s="9" t="str">
        <f>IF(D231=$X$3,1,"")</f>
        <v/>
      </c>
      <c r="Y231" s="9" t="e">
        <f>IF(#REF!=$X$3,1,"")</f>
        <v>#REF!</v>
      </c>
      <c r="Z231" s="9" t="str">
        <f t="shared" si="35"/>
        <v/>
      </c>
      <c r="AA231" s="9" t="str">
        <f t="shared" si="36"/>
        <v/>
      </c>
      <c r="AB231" s="9" t="str">
        <f t="shared" si="37"/>
        <v/>
      </c>
      <c r="AC231" s="9" t="str">
        <f t="shared" si="38"/>
        <v/>
      </c>
      <c r="AD231" s="9" t="str">
        <f t="shared" si="39"/>
        <v/>
      </c>
    </row>
    <row r="232" spans="1:30" ht="21" customHeight="1" x14ac:dyDescent="0.2">
      <c r="A232" s="15">
        <f t="shared" si="34"/>
        <v>226</v>
      </c>
      <c r="B232" s="112" t="s">
        <v>505</v>
      </c>
      <c r="C232" s="16" t="str">
        <f t="shared" si="33"/>
        <v>vs</v>
      </c>
      <c r="D232" s="17" t="s">
        <v>9</v>
      </c>
      <c r="E232" s="16">
        <v>2022</v>
      </c>
      <c r="F232" s="18" t="s">
        <v>23</v>
      </c>
      <c r="G232" s="9"/>
      <c r="H232" s="19" t="s">
        <v>506</v>
      </c>
      <c r="M232" s="9" t="str">
        <f>IF(D232=$M$3,1,"")</f>
        <v/>
      </c>
      <c r="N232" s="9">
        <f>IF(D232=$N$3,1,"")</f>
        <v>1</v>
      </c>
      <c r="O232" s="9" t="str">
        <f>IF(D232=$O$3,1,"")</f>
        <v/>
      </c>
      <c r="P232" s="9" t="str">
        <f>IF(D232=$P$3,1,"")</f>
        <v/>
      </c>
      <c r="Q232" s="9" t="str">
        <f>IF(D232=$Q$3,1,"")</f>
        <v/>
      </c>
      <c r="R232" s="9" t="str">
        <f>IF(D232=$R$3,1,"")</f>
        <v/>
      </c>
      <c r="S232" s="9" t="str">
        <f>IF(D232=$S$3,1,"")</f>
        <v/>
      </c>
      <c r="T232" s="9" t="str">
        <f>IF(D232=$T$3,1,"")</f>
        <v/>
      </c>
      <c r="U232" s="9" t="str">
        <f>IF(D232=$U$3,1,"")</f>
        <v/>
      </c>
      <c r="V232" s="9" t="str">
        <f>IF(D232=$V$3,1,"")</f>
        <v/>
      </c>
      <c r="W232" s="9" t="str">
        <f>IF(D232=$W$3,1,"")</f>
        <v/>
      </c>
      <c r="X232" s="9" t="str">
        <f>IF(D232=$X$3,1,"")</f>
        <v/>
      </c>
      <c r="Y232" s="9" t="e">
        <f>IF(#REF!=$X$3,1,"")</f>
        <v>#REF!</v>
      </c>
      <c r="Z232" s="9" t="str">
        <f t="shared" si="35"/>
        <v/>
      </c>
      <c r="AA232" s="9" t="str">
        <f t="shared" si="36"/>
        <v/>
      </c>
      <c r="AB232" s="9" t="str">
        <f t="shared" si="37"/>
        <v/>
      </c>
      <c r="AC232" s="9" t="str">
        <f t="shared" si="38"/>
        <v/>
      </c>
      <c r="AD232" s="9" t="str">
        <f t="shared" si="39"/>
        <v/>
      </c>
    </row>
    <row r="233" spans="1:30" ht="21" customHeight="1" x14ac:dyDescent="0.2">
      <c r="A233" s="15">
        <f t="shared" si="34"/>
        <v>227</v>
      </c>
      <c r="B233" s="112" t="s">
        <v>507</v>
      </c>
      <c r="C233" s="16" t="str">
        <f t="shared" si="33"/>
        <v>vs</v>
      </c>
      <c r="D233" s="17" t="s">
        <v>11</v>
      </c>
      <c r="E233" s="16">
        <v>2022</v>
      </c>
      <c r="F233" s="18" t="s">
        <v>23</v>
      </c>
      <c r="G233" s="9"/>
      <c r="H233" s="19" t="s">
        <v>508</v>
      </c>
      <c r="M233" s="9" t="str">
        <f>IF(D233=$M$3,1,"")</f>
        <v/>
      </c>
      <c r="N233" s="9" t="str">
        <f>IF(D233=$N$3,1,"")</f>
        <v/>
      </c>
      <c r="O233" s="9" t="str">
        <f>IF(D233=$O$3,1,"")</f>
        <v/>
      </c>
      <c r="P233" s="9">
        <f>IF(D233=$P$3,1,"")</f>
        <v>1</v>
      </c>
      <c r="Q233" s="9" t="str">
        <f>IF(D233=$Q$3,1,"")</f>
        <v/>
      </c>
      <c r="R233" s="9" t="str">
        <f>IF(D233=$R$3,1,"")</f>
        <v/>
      </c>
      <c r="S233" s="9" t="str">
        <f>IF(D233=$S$3,1,"")</f>
        <v/>
      </c>
      <c r="T233" s="9" t="str">
        <f>IF(D233=$T$3,1,"")</f>
        <v/>
      </c>
      <c r="U233" s="9" t="str">
        <f>IF(D233=$U$3,1,"")</f>
        <v/>
      </c>
      <c r="V233" s="9" t="str">
        <f>IF(D233=$V$3,1,"")</f>
        <v/>
      </c>
      <c r="W233" s="9" t="str">
        <f>IF(D233=$W$3,1,"")</f>
        <v/>
      </c>
      <c r="X233" s="9" t="str">
        <f>IF(D233=$X$3,1,"")</f>
        <v/>
      </c>
      <c r="Y233" s="9" t="e">
        <f>IF(#REF!=$X$3,1,"")</f>
        <v>#REF!</v>
      </c>
      <c r="Z233" s="9" t="str">
        <f t="shared" si="35"/>
        <v/>
      </c>
      <c r="AA233" s="9" t="str">
        <f t="shared" si="36"/>
        <v/>
      </c>
      <c r="AB233" s="9" t="str">
        <f t="shared" si="37"/>
        <v/>
      </c>
      <c r="AC233" s="9" t="str">
        <f t="shared" si="38"/>
        <v/>
      </c>
      <c r="AD233" s="9" t="str">
        <f t="shared" si="39"/>
        <v/>
      </c>
    </row>
    <row r="234" spans="1:30" ht="21" customHeight="1" x14ac:dyDescent="0.2">
      <c r="A234" s="15">
        <f t="shared" si="34"/>
        <v>228</v>
      </c>
      <c r="B234" s="112" t="s">
        <v>478</v>
      </c>
      <c r="C234" s="16" t="str">
        <f t="shared" si="33"/>
        <v>vs</v>
      </c>
      <c r="D234" s="17" t="s">
        <v>15</v>
      </c>
      <c r="E234" s="16">
        <v>2022</v>
      </c>
      <c r="F234" s="18" t="s">
        <v>23</v>
      </c>
      <c r="G234" s="9" t="s">
        <v>509</v>
      </c>
      <c r="H234" s="19" t="s">
        <v>510</v>
      </c>
      <c r="M234" s="9" t="str">
        <f>IF(D234=$M$3,1,"")</f>
        <v/>
      </c>
      <c r="N234" s="9" t="str">
        <f>IF(D234=$N$3,1,"")</f>
        <v/>
      </c>
      <c r="O234" s="9" t="str">
        <f>IF(D234=$O$3,1,"")</f>
        <v/>
      </c>
      <c r="P234" s="9" t="str">
        <f>IF(D234=$P$3,1,"")</f>
        <v/>
      </c>
      <c r="Q234" s="9" t="str">
        <f>IF(D234=$Q$3,1,"")</f>
        <v/>
      </c>
      <c r="R234" s="9" t="str">
        <f>IF(D234=$R$3,1,"")</f>
        <v/>
      </c>
      <c r="S234" s="9" t="str">
        <f>IF(D234=$S$3,1,"")</f>
        <v/>
      </c>
      <c r="T234" s="9">
        <f>IF(D234=$T$3,1,"")</f>
        <v>1</v>
      </c>
      <c r="U234" s="9" t="str">
        <f>IF(D234=$U$3,1,"")</f>
        <v/>
      </c>
      <c r="V234" s="9" t="str">
        <f>IF(D234=$V$3,1,"")</f>
        <v/>
      </c>
      <c r="W234" s="9" t="str">
        <f>IF(D234=$W$3,1,"")</f>
        <v/>
      </c>
      <c r="X234" s="9" t="str">
        <f>IF(D234=$X$3,1,"")</f>
        <v/>
      </c>
      <c r="Y234" s="9" t="e">
        <f>IF(#REF!=$X$3,1,"")</f>
        <v>#REF!</v>
      </c>
      <c r="Z234" s="9" t="str">
        <f t="shared" si="35"/>
        <v/>
      </c>
      <c r="AA234" s="9" t="str">
        <f t="shared" si="36"/>
        <v/>
      </c>
      <c r="AB234" s="9" t="str">
        <f t="shared" si="37"/>
        <v/>
      </c>
      <c r="AC234" s="9" t="str">
        <f t="shared" si="38"/>
        <v/>
      </c>
      <c r="AD234" s="9" t="str">
        <f t="shared" si="39"/>
        <v/>
      </c>
    </row>
    <row r="235" spans="1:30" ht="21" customHeight="1" x14ac:dyDescent="0.2">
      <c r="A235" s="15">
        <f t="shared" si="34"/>
        <v>229</v>
      </c>
      <c r="B235" s="112" t="s">
        <v>511</v>
      </c>
      <c r="C235" s="16" t="str">
        <f t="shared" si="33"/>
        <v>vs</v>
      </c>
      <c r="D235" s="17" t="s">
        <v>13</v>
      </c>
      <c r="E235" s="16">
        <v>2022</v>
      </c>
      <c r="F235" s="18" t="s">
        <v>47</v>
      </c>
      <c r="G235" s="9"/>
      <c r="H235" s="19" t="s">
        <v>512</v>
      </c>
      <c r="M235" s="9" t="str">
        <f>IF(D235=$M$3,1,"")</f>
        <v/>
      </c>
      <c r="N235" s="9" t="str">
        <f>IF(D235=$N$3,1,"")</f>
        <v/>
      </c>
      <c r="O235" s="9" t="str">
        <f>IF(D235=$O$3,1,"")</f>
        <v/>
      </c>
      <c r="P235" s="9" t="str">
        <f>IF(D235=$P$3,1,"")</f>
        <v/>
      </c>
      <c r="Q235" s="9" t="str">
        <f>IF(D235=$Q$3,1,"")</f>
        <v/>
      </c>
      <c r="R235" s="9">
        <f>IF(D235=$R$3,1,"")</f>
        <v>1</v>
      </c>
      <c r="S235" s="9" t="str">
        <f>IF(D235=$S$3,1,"")</f>
        <v/>
      </c>
      <c r="T235" s="9" t="str">
        <f>IF(D235=$T$3,1,"")</f>
        <v/>
      </c>
      <c r="U235" s="9" t="str">
        <f>IF(D235=$U$3,1,"")</f>
        <v/>
      </c>
      <c r="V235" s="9" t="str">
        <f>IF(D235=$V$3,1,"")</f>
        <v/>
      </c>
      <c r="W235" s="9" t="str">
        <f>IF(D235=$W$3,1,"")</f>
        <v/>
      </c>
      <c r="X235" s="9" t="str">
        <f>IF(D235=$X$3,1,"")</f>
        <v/>
      </c>
      <c r="Y235" s="9" t="e">
        <f>IF(#REF!=$X$3,1,"")</f>
        <v>#REF!</v>
      </c>
      <c r="Z235" s="9" t="str">
        <f t="shared" si="35"/>
        <v/>
      </c>
      <c r="AA235" s="9" t="str">
        <f t="shared" si="36"/>
        <v/>
      </c>
      <c r="AB235" s="9" t="str">
        <f t="shared" si="37"/>
        <v/>
      </c>
      <c r="AC235" s="9" t="str">
        <f t="shared" si="38"/>
        <v/>
      </c>
      <c r="AD235" s="9" t="str">
        <f t="shared" si="39"/>
        <v/>
      </c>
    </row>
    <row r="236" spans="1:30" ht="21" customHeight="1" thickBot="1" x14ac:dyDescent="0.25">
      <c r="A236" s="22">
        <f t="shared" si="34"/>
        <v>230</v>
      </c>
      <c r="B236" s="81" t="s">
        <v>513</v>
      </c>
      <c r="C236" s="23" t="str">
        <f t="shared" si="33"/>
        <v>vs</v>
      </c>
      <c r="D236" s="10" t="s">
        <v>18</v>
      </c>
      <c r="E236" s="23">
        <v>2022</v>
      </c>
      <c r="F236" s="11" t="s">
        <v>23</v>
      </c>
      <c r="G236" s="9" t="s">
        <v>514</v>
      </c>
      <c r="H236" s="19" t="s">
        <v>515</v>
      </c>
      <c r="M236" s="9" t="str">
        <f>IF(D236=$M$3,1,"")</f>
        <v/>
      </c>
      <c r="N236" s="9" t="str">
        <f>IF(D236=$N$3,1,"")</f>
        <v/>
      </c>
      <c r="O236" s="9" t="str">
        <f>IF(D236=$O$3,1,"")</f>
        <v/>
      </c>
      <c r="P236" s="9" t="str">
        <f>IF(D236=$P$3,1,"")</f>
        <v/>
      </c>
      <c r="Q236" s="9" t="str">
        <f>IF(D236=$Q$3,1,"")</f>
        <v/>
      </c>
      <c r="R236" s="9" t="str">
        <f>IF(D236=$R$3,1,"")</f>
        <v/>
      </c>
      <c r="S236" s="9" t="str">
        <f>IF(D236=$S$3,1,"")</f>
        <v/>
      </c>
      <c r="T236" s="9" t="str">
        <f>IF(D236=$T$3,1,"")</f>
        <v/>
      </c>
      <c r="U236" s="9" t="str">
        <f>IF(D236=$U$3,1,"")</f>
        <v/>
      </c>
      <c r="V236" s="9" t="str">
        <f>IF(D236=$V$3,1,"")</f>
        <v/>
      </c>
      <c r="W236" s="9">
        <f>IF(D236=$W$3,1,"")</f>
        <v>1</v>
      </c>
      <c r="X236" s="9" t="str">
        <f>IF(D236=$X$3,1,"")</f>
        <v/>
      </c>
      <c r="Y236" s="9" t="e">
        <f>IF(#REF!=$X$3,1,"")</f>
        <v>#REF!</v>
      </c>
      <c r="Z236" s="9" t="str">
        <f t="shared" si="35"/>
        <v/>
      </c>
      <c r="AA236" s="9" t="str">
        <f t="shared" si="36"/>
        <v/>
      </c>
      <c r="AB236" s="9" t="str">
        <f t="shared" si="37"/>
        <v/>
      </c>
      <c r="AC236" s="9" t="str">
        <f t="shared" si="38"/>
        <v/>
      </c>
      <c r="AD236" s="9" t="str">
        <f t="shared" si="39"/>
        <v/>
      </c>
    </row>
    <row r="237" spans="1:30" ht="21" customHeight="1" x14ac:dyDescent="0.2">
      <c r="A237" s="56">
        <f t="shared" si="34"/>
        <v>231</v>
      </c>
      <c r="B237" s="131" t="s">
        <v>516</v>
      </c>
      <c r="C237" s="58" t="str">
        <f t="shared" si="33"/>
        <v>vs</v>
      </c>
      <c r="D237" s="116" t="s">
        <v>12</v>
      </c>
      <c r="E237" s="58">
        <v>2022</v>
      </c>
      <c r="F237" s="103" t="s">
        <v>23</v>
      </c>
      <c r="G237" s="9"/>
      <c r="H237" s="19" t="s">
        <v>517</v>
      </c>
      <c r="M237" s="9" t="str">
        <f>IF(D237=$M$3,1,"")</f>
        <v/>
      </c>
      <c r="N237" s="9" t="str">
        <f>IF(D237=$N$3,1,"")</f>
        <v/>
      </c>
      <c r="O237" s="9" t="str">
        <f>IF(D237=$O$3,1,"")</f>
        <v/>
      </c>
      <c r="P237" s="9" t="str">
        <f>IF(D237=$P$3,1,"")</f>
        <v/>
      </c>
      <c r="Q237" s="9">
        <f>IF(D237=$Q$3,1,"")</f>
        <v>1</v>
      </c>
      <c r="R237" s="9" t="str">
        <f>IF(D237=$R$3,1,"")</f>
        <v/>
      </c>
      <c r="S237" s="9" t="str">
        <f>IF(D237=$S$3,1,"")</f>
        <v/>
      </c>
      <c r="T237" s="9" t="str">
        <f>IF(D237=$T$3,1,"")</f>
        <v/>
      </c>
      <c r="U237" s="9" t="str">
        <f>IF(D237=$U$3,1,"")</f>
        <v/>
      </c>
      <c r="V237" s="9" t="str">
        <f>IF(D237=$V$3,1,"")</f>
        <v/>
      </c>
      <c r="W237" s="9" t="str">
        <f>IF(D237=$W$3,1,"")</f>
        <v/>
      </c>
      <c r="X237" s="9" t="str">
        <f>IF(D237=$X$3,1,"")</f>
        <v/>
      </c>
      <c r="Y237" s="9" t="e">
        <f>IF(#REF!=$X$3,1,"")</f>
        <v>#REF!</v>
      </c>
      <c r="Z237" s="9" t="str">
        <f t="shared" si="35"/>
        <v/>
      </c>
      <c r="AA237" s="9" t="str">
        <f t="shared" si="36"/>
        <v/>
      </c>
      <c r="AB237" s="9" t="str">
        <f t="shared" si="37"/>
        <v/>
      </c>
      <c r="AC237" s="9" t="str">
        <f t="shared" si="38"/>
        <v/>
      </c>
      <c r="AD237" s="9" t="str">
        <f t="shared" si="39"/>
        <v/>
      </c>
    </row>
    <row r="238" spans="1:30" ht="21" customHeight="1" x14ac:dyDescent="0.2">
      <c r="A238" s="15">
        <f t="shared" si="34"/>
        <v>232</v>
      </c>
      <c r="B238" s="112" t="s">
        <v>518</v>
      </c>
      <c r="C238" s="16" t="str">
        <f t="shared" si="33"/>
        <v>vs</v>
      </c>
      <c r="D238" s="17" t="s">
        <v>18</v>
      </c>
      <c r="E238" s="16">
        <v>2022</v>
      </c>
      <c r="F238" s="18" t="s">
        <v>23</v>
      </c>
      <c r="G238" s="126"/>
      <c r="H238" s="19" t="s">
        <v>519</v>
      </c>
      <c r="M238" s="9" t="str">
        <f>IF(D238=$M$3,1,"")</f>
        <v/>
      </c>
      <c r="N238" s="9" t="str">
        <f>IF(D238=$N$3,1,"")</f>
        <v/>
      </c>
      <c r="O238" s="9" t="str">
        <f>IF(D238=$O$3,1,"")</f>
        <v/>
      </c>
      <c r="P238" s="9" t="str">
        <f>IF(D238=$P$3,1,"")</f>
        <v/>
      </c>
      <c r="Q238" s="9" t="str">
        <f>IF(D238=$Q$3,1,"")</f>
        <v/>
      </c>
      <c r="R238" s="9" t="str">
        <f>IF(D238=$R$3,1,"")</f>
        <v/>
      </c>
      <c r="S238" s="9" t="str">
        <f>IF(D238=$S$3,1,"")</f>
        <v/>
      </c>
      <c r="T238" s="9" t="str">
        <f>IF(D238=$T$3,1,"")</f>
        <v/>
      </c>
      <c r="U238" s="9" t="str">
        <f>IF(D238=$U$3,1,"")</f>
        <v/>
      </c>
      <c r="V238" s="9" t="str">
        <f>IF(D238=$V$3,1,"")</f>
        <v/>
      </c>
      <c r="W238" s="9">
        <f>IF(D238=$W$3,1,"")</f>
        <v>1</v>
      </c>
      <c r="X238" s="9" t="str">
        <f>IF(D238=$X$3,1,"")</f>
        <v/>
      </c>
      <c r="Y238" s="9" t="e">
        <f>IF(#REF!=$X$3,1,"")</f>
        <v>#REF!</v>
      </c>
      <c r="Z238" s="9" t="str">
        <f t="shared" si="35"/>
        <v/>
      </c>
      <c r="AA238" s="9" t="str">
        <f t="shared" si="36"/>
        <v/>
      </c>
      <c r="AB238" s="9" t="str">
        <f t="shared" si="37"/>
        <v/>
      </c>
      <c r="AC238" s="9" t="str">
        <f t="shared" si="38"/>
        <v/>
      </c>
      <c r="AD238" s="9" t="str">
        <f t="shared" si="39"/>
        <v/>
      </c>
    </row>
    <row r="239" spans="1:30" ht="21" customHeight="1" x14ac:dyDescent="0.2">
      <c r="A239" s="15">
        <f t="shared" si="34"/>
        <v>233</v>
      </c>
      <c r="B239" s="112" t="s">
        <v>520</v>
      </c>
      <c r="C239" s="16" t="str">
        <f t="shared" si="33"/>
        <v>vs</v>
      </c>
      <c r="D239" s="17" t="s">
        <v>15</v>
      </c>
      <c r="E239" s="16">
        <v>2022</v>
      </c>
      <c r="F239" s="18" t="s">
        <v>23</v>
      </c>
      <c r="G239" s="9"/>
      <c r="H239" s="19" t="s">
        <v>521</v>
      </c>
      <c r="M239" s="9" t="str">
        <f>IF(D239=$M$3,1,"")</f>
        <v/>
      </c>
      <c r="N239" s="9" t="str">
        <f>IF(D239=$N$3,1,"")</f>
        <v/>
      </c>
      <c r="O239" s="9" t="str">
        <f>IF(D239=$O$3,1,"")</f>
        <v/>
      </c>
      <c r="P239" s="9" t="str">
        <f>IF(D239=$P$3,1,"")</f>
        <v/>
      </c>
      <c r="Q239" s="9" t="str">
        <f>IF(D239=$Q$3,1,"")</f>
        <v/>
      </c>
      <c r="R239" s="9" t="str">
        <f>IF(D239=$R$3,1,"")</f>
        <v/>
      </c>
      <c r="S239" s="9" t="str">
        <f>IF(D239=$S$3,1,"")</f>
        <v/>
      </c>
      <c r="T239" s="9">
        <f>IF(D239=$T$3,1,"")</f>
        <v>1</v>
      </c>
      <c r="U239" s="9" t="str">
        <f>IF(D239=$U$3,1,"")</f>
        <v/>
      </c>
      <c r="V239" s="9" t="str">
        <f>IF(D239=$V$3,1,"")</f>
        <v/>
      </c>
      <c r="W239" s="9" t="str">
        <f>IF(D239=$W$3,1,"")</f>
        <v/>
      </c>
      <c r="X239" s="9" t="str">
        <f>IF(D239=$X$3,1,"")</f>
        <v/>
      </c>
      <c r="Y239" s="9" t="e">
        <f>IF(#REF!=$X$3,1,"")</f>
        <v>#REF!</v>
      </c>
      <c r="Z239" s="9" t="str">
        <f t="shared" si="35"/>
        <v/>
      </c>
      <c r="AA239" s="9" t="str">
        <f t="shared" si="36"/>
        <v/>
      </c>
      <c r="AB239" s="9" t="str">
        <f t="shared" si="37"/>
        <v/>
      </c>
      <c r="AC239" s="9" t="str">
        <f t="shared" si="38"/>
        <v/>
      </c>
      <c r="AD239" s="9" t="str">
        <f t="shared" si="39"/>
        <v/>
      </c>
    </row>
    <row r="240" spans="1:30" ht="21" customHeight="1" thickBot="1" x14ac:dyDescent="0.25">
      <c r="A240" s="54"/>
      <c r="B240" s="81" t="s">
        <v>480</v>
      </c>
      <c r="C240" s="23" t="str">
        <f t="shared" ref="C240" si="40">IF(B240="","","vs")</f>
        <v>vs</v>
      </c>
      <c r="D240" s="10" t="s">
        <v>9</v>
      </c>
      <c r="E240" s="20"/>
      <c r="F240" s="55"/>
      <c r="G240" s="9"/>
      <c r="H240" s="19" t="s">
        <v>481</v>
      </c>
      <c r="Z240" s="9"/>
      <c r="AA240" s="9"/>
      <c r="AB240" s="9"/>
      <c r="AC240" s="9"/>
      <c r="AD240" s="9"/>
    </row>
    <row r="241" spans="1:30" ht="21" customHeight="1" thickBot="1" x14ac:dyDescent="0.25">
      <c r="A241" s="22">
        <f>IF(B241="","",A239+1)</f>
        <v>234</v>
      </c>
      <c r="B241" s="81" t="s">
        <v>522</v>
      </c>
      <c r="C241" s="23" t="str">
        <f t="shared" si="33"/>
        <v>vs</v>
      </c>
      <c r="D241" s="10" t="s">
        <v>8</v>
      </c>
      <c r="E241" s="23">
        <v>2022</v>
      </c>
      <c r="F241" s="11" t="s">
        <v>47</v>
      </c>
      <c r="G241" s="9"/>
      <c r="H241" s="19" t="s">
        <v>523</v>
      </c>
      <c r="M241" s="9">
        <f>IF(D241=$M$3,1,"")</f>
        <v>1</v>
      </c>
      <c r="N241" s="9" t="str">
        <f>IF(D241=$N$3,1,"")</f>
        <v/>
      </c>
      <c r="O241" s="9" t="str">
        <f>IF(D241=$O$3,1,"")</f>
        <v/>
      </c>
      <c r="P241" s="9" t="str">
        <f>IF(D241=$P$3,1,"")</f>
        <v/>
      </c>
      <c r="Q241" s="9" t="str">
        <f>IF(D241=$Q$3,1,"")</f>
        <v/>
      </c>
      <c r="R241" s="9" t="str">
        <f>IF(D241=$R$3,1,"")</f>
        <v/>
      </c>
      <c r="S241" s="9" t="str">
        <f>IF(D241=$S$3,1,"")</f>
        <v/>
      </c>
      <c r="T241" s="9" t="str">
        <f>IF(D241=$T$3,1,"")</f>
        <v/>
      </c>
      <c r="U241" s="9" t="str">
        <f>IF(D241=$U$3,1,"")</f>
        <v/>
      </c>
      <c r="V241" s="9" t="str">
        <f>IF(D241=$V$3,1,"")</f>
        <v/>
      </c>
      <c r="W241" s="9" t="str">
        <f>IF(D241=$W$3,1,"")</f>
        <v/>
      </c>
      <c r="X241" s="9" t="str">
        <f>IF(D241=$X$3,1,"")</f>
        <v/>
      </c>
      <c r="Y241" s="9" t="e">
        <f>IF(#REF!=$X$3,1,"")</f>
        <v>#REF!</v>
      </c>
      <c r="Z241" s="9" t="str">
        <f t="shared" si="35"/>
        <v/>
      </c>
      <c r="AA241" s="9" t="str">
        <f t="shared" si="36"/>
        <v/>
      </c>
      <c r="AB241" s="9" t="str">
        <f t="shared" si="37"/>
        <v/>
      </c>
      <c r="AC241" s="9" t="str">
        <f t="shared" si="38"/>
        <v/>
      </c>
      <c r="AD241" s="9" t="str">
        <f t="shared" si="39"/>
        <v/>
      </c>
    </row>
    <row r="242" spans="1:30" ht="21" customHeight="1" x14ac:dyDescent="0.2">
      <c r="A242" s="56">
        <f t="shared" si="34"/>
        <v>235</v>
      </c>
      <c r="B242" s="131" t="s">
        <v>524</v>
      </c>
      <c r="C242" s="58" t="str">
        <f t="shared" si="33"/>
        <v>vs</v>
      </c>
      <c r="D242" s="116" t="s">
        <v>15</v>
      </c>
      <c r="E242" s="58">
        <v>2022</v>
      </c>
      <c r="F242" s="103" t="s">
        <v>23</v>
      </c>
      <c r="G242" s="9"/>
      <c r="H242" s="19" t="s">
        <v>525</v>
      </c>
      <c r="M242" s="9" t="str">
        <f>IF(D242=$M$3,1,"")</f>
        <v/>
      </c>
      <c r="N242" s="9" t="str">
        <f>IF(D242=$N$3,1,"")</f>
        <v/>
      </c>
      <c r="O242" s="9" t="str">
        <f>IF(D242=$O$3,1,"")</f>
        <v/>
      </c>
      <c r="P242" s="9" t="str">
        <f>IF(D242=$P$3,1,"")</f>
        <v/>
      </c>
      <c r="Q242" s="9" t="str">
        <f>IF(D242=$Q$3,1,"")</f>
        <v/>
      </c>
      <c r="R242" s="9" t="str">
        <f>IF(D242=$R$3,1,"")</f>
        <v/>
      </c>
      <c r="S242" s="9" t="str">
        <f>IF(D242=$S$3,1,"")</f>
        <v/>
      </c>
      <c r="T242" s="9">
        <f>IF(D242=$T$3,1,"")</f>
        <v>1</v>
      </c>
      <c r="U242" s="9" t="str">
        <f>IF(D242=$U$3,1,"")</f>
        <v/>
      </c>
      <c r="V242" s="9" t="str">
        <f>IF(D242=$V$3,1,"")</f>
        <v/>
      </c>
      <c r="W242" s="9" t="str">
        <f>IF(D242=$W$3,1,"")</f>
        <v/>
      </c>
      <c r="X242" s="9" t="str">
        <f>IF(D242=$X$3,1,"")</f>
        <v/>
      </c>
      <c r="Y242" s="9" t="e">
        <f>IF(#REF!=$X$3,1,"")</f>
        <v>#REF!</v>
      </c>
      <c r="Z242" s="9" t="str">
        <f t="shared" si="35"/>
        <v/>
      </c>
      <c r="AA242" s="9" t="str">
        <f t="shared" si="36"/>
        <v/>
      </c>
      <c r="AB242" s="9" t="str">
        <f t="shared" si="37"/>
        <v/>
      </c>
      <c r="AC242" s="9" t="str">
        <f t="shared" si="38"/>
        <v/>
      </c>
      <c r="AD242" s="9" t="str">
        <f t="shared" si="39"/>
        <v/>
      </c>
    </row>
    <row r="243" spans="1:30" ht="35.25" customHeight="1" x14ac:dyDescent="0.2">
      <c r="A243" s="15">
        <f t="shared" si="34"/>
        <v>236</v>
      </c>
      <c r="B243" s="111" t="s">
        <v>526</v>
      </c>
      <c r="C243" s="16" t="str">
        <f t="shared" si="33"/>
        <v>vs</v>
      </c>
      <c r="D243" s="17" t="s">
        <v>14</v>
      </c>
      <c r="E243" s="16">
        <v>2022</v>
      </c>
      <c r="F243" s="18" t="s">
        <v>23</v>
      </c>
      <c r="G243" s="9"/>
      <c r="H243" s="19" t="s">
        <v>527</v>
      </c>
      <c r="M243" s="9" t="str">
        <f>IF(D243=$M$3,1,"")</f>
        <v/>
      </c>
      <c r="N243" s="9" t="str">
        <f>IF(D243=$N$3,1,"")</f>
        <v/>
      </c>
      <c r="O243" s="9" t="str">
        <f>IF(D243=$O$3,1,"")</f>
        <v/>
      </c>
      <c r="P243" s="9" t="str">
        <f>IF(D243=$P$3,1,"")</f>
        <v/>
      </c>
      <c r="Q243" s="9" t="str">
        <f>IF(D243=$Q$3,1,"")</f>
        <v/>
      </c>
      <c r="R243" s="9" t="str">
        <f>IF(D243=$R$3,1,"")</f>
        <v/>
      </c>
      <c r="S243" s="9">
        <f>IF(D243=$S$3,1,"")</f>
        <v>1</v>
      </c>
      <c r="T243" s="9" t="str">
        <f>IF(D243=$T$3,1,"")</f>
        <v/>
      </c>
      <c r="U243" s="9" t="str">
        <f>IF(D243=$U$3,1,"")</f>
        <v/>
      </c>
      <c r="V243" s="9" t="str">
        <f>IF(D243=$V$3,1,"")</f>
        <v/>
      </c>
      <c r="W243" s="9" t="str">
        <f>IF(D243=$W$3,1,"")</f>
        <v/>
      </c>
      <c r="X243" s="9" t="str">
        <f>IF(D243=$X$3,1,"")</f>
        <v/>
      </c>
      <c r="Y243" s="9" t="e">
        <f>IF(#REF!=$X$3,1,"")</f>
        <v>#REF!</v>
      </c>
      <c r="Z243" s="9" t="str">
        <f t="shared" si="35"/>
        <v/>
      </c>
      <c r="AA243" s="9" t="str">
        <f t="shared" si="36"/>
        <v/>
      </c>
      <c r="AB243" s="9" t="str">
        <f t="shared" si="37"/>
        <v/>
      </c>
      <c r="AC243" s="9" t="str">
        <f t="shared" si="38"/>
        <v/>
      </c>
      <c r="AD243" s="9" t="str">
        <f t="shared" si="39"/>
        <v/>
      </c>
    </row>
    <row r="244" spans="1:30" ht="21" customHeight="1" x14ac:dyDescent="0.2">
      <c r="A244" s="15">
        <f t="shared" si="34"/>
        <v>237</v>
      </c>
      <c r="B244" s="112" t="s">
        <v>528</v>
      </c>
      <c r="C244" s="16" t="str">
        <f t="shared" si="33"/>
        <v>vs</v>
      </c>
      <c r="D244" s="17" t="s">
        <v>15</v>
      </c>
      <c r="E244" s="16">
        <v>2022</v>
      </c>
      <c r="F244" s="18" t="s">
        <v>47</v>
      </c>
      <c r="G244" s="9"/>
      <c r="H244" s="19" t="s">
        <v>529</v>
      </c>
      <c r="M244" s="9" t="str">
        <f>IF(D244=$M$3,1,"")</f>
        <v/>
      </c>
      <c r="N244" s="9" t="str">
        <f>IF(D244=$N$3,1,"")</f>
        <v/>
      </c>
      <c r="O244" s="9" t="str">
        <f>IF(D244=$O$3,1,"")</f>
        <v/>
      </c>
      <c r="P244" s="9" t="str">
        <f>IF(D244=$P$3,1,"")</f>
        <v/>
      </c>
      <c r="Q244" s="9" t="str">
        <f>IF(D244=$Q$3,1,"")</f>
        <v/>
      </c>
      <c r="R244" s="9" t="str">
        <f>IF(D244=$R$3,1,"")</f>
        <v/>
      </c>
      <c r="S244" s="9" t="str">
        <f>IF(D244=$S$3,1,"")</f>
        <v/>
      </c>
      <c r="T244" s="9">
        <f>IF(D244=$T$3,1,"")</f>
        <v>1</v>
      </c>
      <c r="U244" s="9" t="str">
        <f>IF(D244=$U$3,1,"")</f>
        <v/>
      </c>
      <c r="V244" s="9" t="str">
        <f>IF(D244=$V$3,1,"")</f>
        <v/>
      </c>
      <c r="W244" s="9" t="str">
        <f>IF(D244=$W$3,1,"")</f>
        <v/>
      </c>
      <c r="X244" s="9" t="str">
        <f>IF(D244=$X$3,1,"")</f>
        <v/>
      </c>
      <c r="Y244" s="9" t="e">
        <f>IF(#REF!=$X$3,1,"")</f>
        <v>#REF!</v>
      </c>
      <c r="Z244" s="9" t="str">
        <f t="shared" si="35"/>
        <v/>
      </c>
      <c r="AA244" s="9" t="str">
        <f t="shared" si="36"/>
        <v/>
      </c>
      <c r="AB244" s="9" t="str">
        <f t="shared" si="37"/>
        <v/>
      </c>
      <c r="AC244" s="9" t="str">
        <f t="shared" si="38"/>
        <v/>
      </c>
      <c r="AD244" s="9" t="str">
        <f t="shared" si="39"/>
        <v/>
      </c>
    </row>
    <row r="245" spans="1:30" ht="21" customHeight="1" x14ac:dyDescent="0.2">
      <c r="A245" s="15">
        <f t="shared" si="34"/>
        <v>238</v>
      </c>
      <c r="B245" s="112" t="s">
        <v>530</v>
      </c>
      <c r="C245" s="16" t="str">
        <f t="shared" si="33"/>
        <v>vs</v>
      </c>
      <c r="D245" s="17" t="s">
        <v>17</v>
      </c>
      <c r="E245" s="16">
        <v>2022</v>
      </c>
      <c r="F245" s="18" t="s">
        <v>47</v>
      </c>
      <c r="G245" s="9"/>
      <c r="H245" s="19" t="s">
        <v>531</v>
      </c>
      <c r="M245" s="9" t="str">
        <f>IF(D245=$M$3,1,"")</f>
        <v/>
      </c>
      <c r="N245" s="9" t="str">
        <f>IF(D245=$N$3,1,"")</f>
        <v/>
      </c>
      <c r="O245" s="9" t="str">
        <f>IF(D245=$O$3,1,"")</f>
        <v/>
      </c>
      <c r="P245" s="9" t="str">
        <f>IF(D245=$P$3,1,"")</f>
        <v/>
      </c>
      <c r="Q245" s="9" t="str">
        <f>IF(D245=$Q$3,1,"")</f>
        <v/>
      </c>
      <c r="R245" s="9" t="str">
        <f>IF(D245=$R$3,1,"")</f>
        <v/>
      </c>
      <c r="S245" s="9" t="str">
        <f>IF(D245=$S$3,1,"")</f>
        <v/>
      </c>
      <c r="T245" s="9" t="str">
        <f>IF(D245=$T$3,1,"")</f>
        <v/>
      </c>
      <c r="U245" s="9" t="str">
        <f>IF(D245=$U$3,1,"")</f>
        <v/>
      </c>
      <c r="V245" s="9">
        <f>IF(D245=$V$3,1,"")</f>
        <v>1</v>
      </c>
      <c r="W245" s="9" t="str">
        <f>IF(D245=$W$3,1,"")</f>
        <v/>
      </c>
      <c r="X245" s="9" t="str">
        <f>IF(D245=$X$3,1,"")</f>
        <v/>
      </c>
      <c r="Y245" s="9" t="e">
        <f>IF(#REF!=$X$3,1,"")</f>
        <v>#REF!</v>
      </c>
      <c r="Z245" s="9" t="str">
        <f t="shared" si="35"/>
        <v/>
      </c>
      <c r="AA245" s="9" t="str">
        <f t="shared" si="36"/>
        <v/>
      </c>
      <c r="AB245" s="9" t="str">
        <f t="shared" si="37"/>
        <v/>
      </c>
      <c r="AC245" s="9" t="str">
        <f t="shared" si="38"/>
        <v/>
      </c>
      <c r="AD245" s="9" t="str">
        <f t="shared" si="39"/>
        <v/>
      </c>
    </row>
    <row r="246" spans="1:30" ht="21" customHeight="1" thickBot="1" x14ac:dyDescent="0.25">
      <c r="A246" s="22">
        <f t="shared" si="34"/>
        <v>239</v>
      </c>
      <c r="B246" s="81" t="s">
        <v>532</v>
      </c>
      <c r="C246" s="23" t="str">
        <f t="shared" si="33"/>
        <v>vs</v>
      </c>
      <c r="D246" s="10" t="s">
        <v>12</v>
      </c>
      <c r="E246" s="23">
        <v>2022</v>
      </c>
      <c r="F246" s="11" t="s">
        <v>47</v>
      </c>
      <c r="G246" s="9"/>
      <c r="H246" s="19" t="s">
        <v>533</v>
      </c>
      <c r="M246" s="9" t="str">
        <f>IF(D246=$M$3,1,"")</f>
        <v/>
      </c>
      <c r="N246" s="9" t="str">
        <f>IF(D246=$N$3,1,"")</f>
        <v/>
      </c>
      <c r="O246" s="9" t="str">
        <f>IF(D246=$O$3,1,"")</f>
        <v/>
      </c>
      <c r="P246" s="9" t="str">
        <f>IF(D246=$P$3,1,"")</f>
        <v/>
      </c>
      <c r="Q246" s="9">
        <f>IF(D246=$Q$3,1,"")</f>
        <v>1</v>
      </c>
      <c r="R246" s="9" t="str">
        <f>IF(D246=$R$3,1,"")</f>
        <v/>
      </c>
      <c r="S246" s="9" t="str">
        <f>IF(D246=$S$3,1,"")</f>
        <v/>
      </c>
      <c r="T246" s="9" t="str">
        <f>IF(D246=$T$3,1,"")</f>
        <v/>
      </c>
      <c r="U246" s="9" t="str">
        <f>IF(D246=$U$3,1,"")</f>
        <v/>
      </c>
      <c r="V246" s="9" t="str">
        <f>IF(D246=$V$3,1,"")</f>
        <v/>
      </c>
      <c r="W246" s="9" t="str">
        <f>IF(D246=$W$3,1,"")</f>
        <v/>
      </c>
      <c r="X246" s="9" t="str">
        <f>IF(D246=$X$3,1,"")</f>
        <v/>
      </c>
      <c r="Y246" s="9" t="e">
        <f>IF(#REF!=$X$3,1,"")</f>
        <v>#REF!</v>
      </c>
      <c r="Z246" s="9" t="str">
        <f t="shared" si="35"/>
        <v/>
      </c>
      <c r="AA246" s="9" t="str">
        <f t="shared" si="36"/>
        <v/>
      </c>
      <c r="AB246" s="9" t="str">
        <f t="shared" si="37"/>
        <v/>
      </c>
      <c r="AC246" s="9" t="str">
        <f t="shared" si="38"/>
        <v/>
      </c>
      <c r="AD246" s="9" t="str">
        <f t="shared" si="39"/>
        <v/>
      </c>
    </row>
    <row r="247" spans="1:30" ht="21" customHeight="1" x14ac:dyDescent="0.2">
      <c r="A247" s="56">
        <f t="shared" si="34"/>
        <v>240</v>
      </c>
      <c r="B247" s="131" t="s">
        <v>534</v>
      </c>
      <c r="C247" s="58" t="str">
        <f t="shared" si="33"/>
        <v>vs</v>
      </c>
      <c r="D247" s="116" t="s">
        <v>16</v>
      </c>
      <c r="E247" s="58">
        <v>2022</v>
      </c>
      <c r="F247" s="103" t="s">
        <v>23</v>
      </c>
      <c r="G247" s="9"/>
      <c r="H247" s="19" t="s">
        <v>535</v>
      </c>
      <c r="M247" s="9" t="str">
        <f>IF(D247=$M$3,1,"")</f>
        <v/>
      </c>
      <c r="N247" s="9" t="str">
        <f>IF(D247=$N$3,1,"")</f>
        <v/>
      </c>
      <c r="O247" s="9" t="str">
        <f>IF(D247=$O$3,1,"")</f>
        <v/>
      </c>
      <c r="P247" s="9" t="str">
        <f>IF(D247=$P$3,1,"")</f>
        <v/>
      </c>
      <c r="Q247" s="9" t="str">
        <f>IF(D247=$Q$3,1,"")</f>
        <v/>
      </c>
      <c r="R247" s="9" t="str">
        <f>IF(D247=$R$3,1,"")</f>
        <v/>
      </c>
      <c r="S247" s="9" t="str">
        <f>IF(D247=$S$3,1,"")</f>
        <v/>
      </c>
      <c r="T247" s="9" t="str">
        <f>IF(D247=$T$3,1,"")</f>
        <v/>
      </c>
      <c r="U247" s="9">
        <f>IF(D247=$U$3,1,"")</f>
        <v>1</v>
      </c>
      <c r="V247" s="9" t="str">
        <f>IF(D247=$V$3,1,"")</f>
        <v/>
      </c>
      <c r="W247" s="9" t="str">
        <f>IF(D247=$W$3,1,"")</f>
        <v/>
      </c>
      <c r="X247" s="9" t="str">
        <f>IF(D247=$X$3,1,"")</f>
        <v/>
      </c>
      <c r="Y247" s="9" t="e">
        <f>IF(#REF!=$X$3,1,"")</f>
        <v>#REF!</v>
      </c>
      <c r="Z247" s="9" t="str">
        <f t="shared" si="35"/>
        <v/>
      </c>
      <c r="AA247" s="9" t="str">
        <f t="shared" si="36"/>
        <v/>
      </c>
      <c r="AB247" s="9" t="str">
        <f t="shared" si="37"/>
        <v/>
      </c>
      <c r="AC247" s="9" t="str">
        <f t="shared" si="38"/>
        <v/>
      </c>
      <c r="AD247" s="9" t="str">
        <f t="shared" si="39"/>
        <v/>
      </c>
    </row>
    <row r="248" spans="1:30" ht="21" customHeight="1" x14ac:dyDescent="0.2">
      <c r="A248" s="15">
        <f t="shared" si="34"/>
        <v>241</v>
      </c>
      <c r="B248" s="112" t="s">
        <v>536</v>
      </c>
      <c r="C248" s="16" t="str">
        <f t="shared" si="33"/>
        <v>vs</v>
      </c>
      <c r="D248" s="17" t="s">
        <v>15</v>
      </c>
      <c r="E248" s="16">
        <v>2022</v>
      </c>
      <c r="F248" s="18" t="s">
        <v>23</v>
      </c>
      <c r="G248" s="9"/>
      <c r="H248" s="19" t="s">
        <v>537</v>
      </c>
      <c r="M248" s="9" t="str">
        <f>IF(D248=$M$3,1,"")</f>
        <v/>
      </c>
      <c r="N248" s="9" t="str">
        <f>IF(D248=$N$3,1,"")</f>
        <v/>
      </c>
      <c r="O248" s="9" t="str">
        <f>IF(D248=$O$3,1,"")</f>
        <v/>
      </c>
      <c r="P248" s="9" t="str">
        <f>IF(D248=$P$3,1,"")</f>
        <v/>
      </c>
      <c r="Q248" s="9" t="str">
        <f>IF(D248=$Q$3,1,"")</f>
        <v/>
      </c>
      <c r="R248" s="9" t="str">
        <f>IF(D248=$R$3,1,"")</f>
        <v/>
      </c>
      <c r="S248" s="9" t="str">
        <f>IF(D248=$S$3,1,"")</f>
        <v/>
      </c>
      <c r="T248" s="9">
        <f>IF(D248=$T$3,1,"")</f>
        <v>1</v>
      </c>
      <c r="U248" s="9" t="str">
        <f>IF(D248=$U$3,1,"")</f>
        <v/>
      </c>
      <c r="V248" s="9" t="str">
        <f>IF(D248=$V$3,1,"")</f>
        <v/>
      </c>
      <c r="W248" s="9" t="str">
        <f>IF(D248=$W$3,1,"")</f>
        <v/>
      </c>
      <c r="X248" s="9" t="str">
        <f>IF(D248=$X$3,1,"")</f>
        <v/>
      </c>
      <c r="Y248" s="9" t="e">
        <f>IF(#REF!=$X$3,1,"")</f>
        <v>#REF!</v>
      </c>
      <c r="Z248" s="9" t="str">
        <f t="shared" si="35"/>
        <v/>
      </c>
      <c r="AA248" s="9" t="str">
        <f t="shared" si="36"/>
        <v/>
      </c>
      <c r="AB248" s="9" t="str">
        <f t="shared" si="37"/>
        <v/>
      </c>
      <c r="AC248" s="9" t="str">
        <f t="shared" si="38"/>
        <v/>
      </c>
      <c r="AD248" s="9" t="str">
        <f t="shared" si="39"/>
        <v/>
      </c>
    </row>
    <row r="249" spans="1:30" ht="21" customHeight="1" thickBot="1" x14ac:dyDescent="0.25">
      <c r="A249" s="22">
        <f t="shared" si="34"/>
        <v>242</v>
      </c>
      <c r="B249" s="81" t="s">
        <v>538</v>
      </c>
      <c r="C249" s="23" t="str">
        <f t="shared" si="33"/>
        <v>vs</v>
      </c>
      <c r="D249" s="10" t="s">
        <v>18</v>
      </c>
      <c r="E249" s="23">
        <v>2022</v>
      </c>
      <c r="F249" s="11" t="s">
        <v>47</v>
      </c>
      <c r="G249" s="9"/>
      <c r="H249" s="19" t="s">
        <v>539</v>
      </c>
      <c r="M249" s="9" t="str">
        <f>IF(D249=$M$3,1,"")</f>
        <v/>
      </c>
      <c r="N249" s="9" t="str">
        <f>IF(D249=$N$3,1,"")</f>
        <v/>
      </c>
      <c r="O249" s="9" t="str">
        <f>IF(D249=$O$3,1,"")</f>
        <v/>
      </c>
      <c r="P249" s="9" t="str">
        <f>IF(D249=$P$3,1,"")</f>
        <v/>
      </c>
      <c r="Q249" s="9" t="str">
        <f>IF(D249=$Q$3,1,"")</f>
        <v/>
      </c>
      <c r="R249" s="9" t="str">
        <f>IF(D249=$R$3,1,"")</f>
        <v/>
      </c>
      <c r="S249" s="9" t="str">
        <f>IF(D249=$S$3,1,"")</f>
        <v/>
      </c>
      <c r="T249" s="9" t="str">
        <f>IF(D249=$T$3,1,"")</f>
        <v/>
      </c>
      <c r="U249" s="9" t="str">
        <f>IF(D249=$U$3,1,"")</f>
        <v/>
      </c>
      <c r="V249" s="9" t="str">
        <f>IF(D249=$V$3,1,"")</f>
        <v/>
      </c>
      <c r="W249" s="9">
        <f>IF(D249=$W$3,1,"")</f>
        <v>1</v>
      </c>
      <c r="X249" s="9" t="str">
        <f>IF(D249=$X$3,1,"")</f>
        <v/>
      </c>
      <c r="Y249" s="9" t="e">
        <f>IF(#REF!=$X$3,1,"")</f>
        <v>#REF!</v>
      </c>
      <c r="Z249" s="9" t="str">
        <f t="shared" si="35"/>
        <v/>
      </c>
      <c r="AA249" s="9" t="str">
        <f t="shared" si="36"/>
        <v/>
      </c>
      <c r="AB249" s="9" t="str">
        <f t="shared" si="37"/>
        <v/>
      </c>
      <c r="AC249" s="9" t="str">
        <f t="shared" si="38"/>
        <v/>
      </c>
      <c r="AD249" s="9" t="str">
        <f t="shared" si="39"/>
        <v/>
      </c>
    </row>
    <row r="250" spans="1:30" ht="39.75" customHeight="1" thickBot="1" x14ac:dyDescent="0.25">
      <c r="A250" s="132">
        <f t="shared" si="34"/>
        <v>243</v>
      </c>
      <c r="B250" s="92" t="s">
        <v>532</v>
      </c>
      <c r="C250" s="93" t="str">
        <f>IF(B250="","","vs")</f>
        <v>vs</v>
      </c>
      <c r="D250" s="94" t="s">
        <v>12</v>
      </c>
      <c r="E250" s="27">
        <v>2023</v>
      </c>
      <c r="F250" s="134" t="s">
        <v>23</v>
      </c>
      <c r="G250" s="9"/>
      <c r="H250" s="19" t="s">
        <v>533</v>
      </c>
      <c r="M250" s="9" t="str">
        <f>IF(D250=$M$3,1,"")</f>
        <v/>
      </c>
      <c r="N250" s="9" t="str">
        <f>IF(D250=$N$3,1,"")</f>
        <v/>
      </c>
      <c r="O250" s="9" t="str">
        <f>IF(D250=$O$3,1,"")</f>
        <v/>
      </c>
      <c r="P250" s="9" t="str">
        <f>IF(D250=$P$3,1,"")</f>
        <v/>
      </c>
      <c r="Q250" s="9">
        <f>IF(D250=$Q$3,1,"")</f>
        <v>1</v>
      </c>
      <c r="R250" s="9" t="str">
        <f>IF(D250=$R$3,1,"")</f>
        <v/>
      </c>
      <c r="S250" s="9" t="str">
        <f>IF(D250=$S$3,1,"")</f>
        <v/>
      </c>
      <c r="T250" s="9" t="str">
        <f>IF(D250=$T$3,1,"")</f>
        <v/>
      </c>
      <c r="U250" s="9" t="str">
        <f>IF(D250=$U$3,1,"")</f>
        <v/>
      </c>
      <c r="V250" s="9" t="str">
        <f>IF(D250=$V$3,1,"")</f>
        <v/>
      </c>
      <c r="W250" s="9" t="str">
        <f>IF(D250=$W$3,1,"")</f>
        <v/>
      </c>
      <c r="X250" s="9" t="str">
        <f>IF(D250=$X$3,1,"")</f>
        <v/>
      </c>
      <c r="Y250" s="9" t="e">
        <f>IF(#REF!=$X$3,1,"")</f>
        <v>#REF!</v>
      </c>
      <c r="Z250" s="9" t="str">
        <f t="shared" si="35"/>
        <v/>
      </c>
      <c r="AA250" s="9" t="str">
        <f t="shared" si="36"/>
        <v/>
      </c>
      <c r="AB250" s="9" t="str">
        <f t="shared" si="37"/>
        <v/>
      </c>
      <c r="AC250" s="9" t="str">
        <f t="shared" si="38"/>
        <v/>
      </c>
      <c r="AD250" s="9" t="str">
        <f t="shared" si="39"/>
        <v/>
      </c>
    </row>
    <row r="251" spans="1:30" ht="21" customHeight="1" x14ac:dyDescent="0.2">
      <c r="A251" s="12">
        <f t="shared" si="34"/>
        <v>244</v>
      </c>
      <c r="B251" s="92" t="s">
        <v>540</v>
      </c>
      <c r="C251" s="93" t="str">
        <f>IF(B251="","","vs")</f>
        <v>vs</v>
      </c>
      <c r="D251" s="94" t="s">
        <v>13</v>
      </c>
      <c r="E251" s="93">
        <v>2023</v>
      </c>
      <c r="F251" s="119" t="s">
        <v>23</v>
      </c>
      <c r="G251" s="9"/>
      <c r="H251" s="19" t="s">
        <v>541</v>
      </c>
      <c r="M251" s="9" t="str">
        <f>IF(D251=$M$3,1,"")</f>
        <v/>
      </c>
      <c r="N251" s="9" t="str">
        <f>IF(D251=$N$3,1,"")</f>
        <v/>
      </c>
      <c r="O251" s="9" t="str">
        <f>IF(D251=$O$3,1,"")</f>
        <v/>
      </c>
      <c r="P251" s="9" t="str">
        <f>IF(D251=$P$3,1,"")</f>
        <v/>
      </c>
      <c r="Q251" s="9" t="str">
        <f>IF(D251=$Q$3,1,"")</f>
        <v/>
      </c>
      <c r="R251" s="9">
        <f>IF(D251=$R$3,1,"")</f>
        <v>1</v>
      </c>
      <c r="S251" s="9" t="str">
        <f>IF(D251=$S$3,1,"")</f>
        <v/>
      </c>
      <c r="T251" s="9" t="str">
        <f>IF(D251=$T$3,1,"")</f>
        <v/>
      </c>
      <c r="U251" s="9" t="str">
        <f>IF(D251=$U$3,1,"")</f>
        <v/>
      </c>
      <c r="V251" s="9" t="str">
        <f>IF(D251=$V$3,1,"")</f>
        <v/>
      </c>
      <c r="W251" s="9" t="str">
        <f>IF(D251=$W$3,1,"")</f>
        <v/>
      </c>
      <c r="X251" s="9" t="str">
        <f>IF(D251=$X$3,1,"")</f>
        <v/>
      </c>
      <c r="Y251" s="9" t="e">
        <f>IF(#REF!=$X$3,1,"")</f>
        <v>#REF!</v>
      </c>
      <c r="Z251" s="9" t="str">
        <f t="shared" si="35"/>
        <v/>
      </c>
      <c r="AA251" s="9" t="str">
        <f t="shared" si="36"/>
        <v/>
      </c>
      <c r="AB251" s="9" t="str">
        <f t="shared" si="37"/>
        <v/>
      </c>
      <c r="AC251" s="9" t="str">
        <f t="shared" si="38"/>
        <v/>
      </c>
      <c r="AD251" s="9" t="str">
        <f t="shared" si="39"/>
        <v/>
      </c>
    </row>
    <row r="252" spans="1:30" ht="21" customHeight="1" thickBot="1" x14ac:dyDescent="0.25">
      <c r="A252" s="22">
        <f t="shared" si="34"/>
        <v>245</v>
      </c>
      <c r="B252" s="81" t="s">
        <v>542</v>
      </c>
      <c r="C252" s="23" t="str">
        <f t="shared" si="33"/>
        <v>vs</v>
      </c>
      <c r="D252" s="10" t="s">
        <v>12</v>
      </c>
      <c r="E252" s="23">
        <v>2023</v>
      </c>
      <c r="F252" s="11" t="s">
        <v>23</v>
      </c>
      <c r="G252" s="9"/>
      <c r="H252" s="19" t="s">
        <v>543</v>
      </c>
      <c r="M252" s="9" t="str">
        <f>IF(D252=$M$3,1,"")</f>
        <v/>
      </c>
      <c r="N252" s="9" t="str">
        <f>IF(D252=$N$3,1,"")</f>
        <v/>
      </c>
      <c r="O252" s="9" t="str">
        <f>IF(D252=$O$3,1,"")</f>
        <v/>
      </c>
      <c r="P252" s="9" t="str">
        <f>IF(D252=$P$3,1,"")</f>
        <v/>
      </c>
      <c r="Q252" s="9">
        <f>IF(D252=$Q$3,1,"")</f>
        <v>1</v>
      </c>
      <c r="R252" s="9" t="str">
        <f>IF(D252=$R$3,1,"")</f>
        <v/>
      </c>
      <c r="S252" s="9" t="str">
        <f>IF(D252=$S$3,1,"")</f>
        <v/>
      </c>
      <c r="T252" s="9" t="str">
        <f>IF(D252=$T$3,1,"")</f>
        <v/>
      </c>
      <c r="U252" s="9" t="str">
        <f>IF(D252=$U$3,1,"")</f>
        <v/>
      </c>
      <c r="V252" s="9" t="str">
        <f>IF(D252=$V$3,1,"")</f>
        <v/>
      </c>
      <c r="W252" s="9" t="str">
        <f>IF(D252=$W$3,1,"")</f>
        <v/>
      </c>
      <c r="X252" s="9" t="str">
        <f>IF(D252=$X$3,1,"")</f>
        <v/>
      </c>
      <c r="Y252" s="9" t="e">
        <f>IF(#REF!=$X$3,1,"")</f>
        <v>#REF!</v>
      </c>
      <c r="Z252" s="9" t="str">
        <f t="shared" si="35"/>
        <v/>
      </c>
      <c r="AA252" s="9" t="str">
        <f t="shared" si="36"/>
        <v/>
      </c>
      <c r="AB252" s="9" t="str">
        <f t="shared" si="37"/>
        <v/>
      </c>
      <c r="AC252" s="9" t="str">
        <f t="shared" si="38"/>
        <v/>
      </c>
      <c r="AD252" s="9" t="str">
        <f t="shared" si="39"/>
        <v/>
      </c>
    </row>
    <row r="253" spans="1:30" ht="21" customHeight="1" x14ac:dyDescent="0.2">
      <c r="A253" s="12">
        <f t="shared" si="34"/>
        <v>246</v>
      </c>
      <c r="B253" s="110" t="s">
        <v>544</v>
      </c>
      <c r="C253" s="13" t="str">
        <f t="shared" si="33"/>
        <v>vs</v>
      </c>
      <c r="D253" s="31" t="s">
        <v>9</v>
      </c>
      <c r="E253" s="93">
        <v>2023</v>
      </c>
      <c r="F253" s="119" t="s">
        <v>23</v>
      </c>
      <c r="G253" s="9"/>
      <c r="H253" s="19" t="s">
        <v>545</v>
      </c>
      <c r="M253" s="9" t="str">
        <f>IF(D253=$M$3,1,"")</f>
        <v/>
      </c>
      <c r="N253" s="9">
        <f>IF(D253=$N$3,1,"")</f>
        <v>1</v>
      </c>
      <c r="O253" s="9" t="str">
        <f>IF(D253=$O$3,1,"")</f>
        <v/>
      </c>
      <c r="P253" s="9" t="str">
        <f>IF(D253=$P$3,1,"")</f>
        <v/>
      </c>
      <c r="Q253" s="9" t="str">
        <f>IF(D253=$Q$3,1,"")</f>
        <v/>
      </c>
      <c r="R253" s="9" t="str">
        <f>IF(D253=$R$3,1,"")</f>
        <v/>
      </c>
      <c r="S253" s="9" t="str">
        <f>IF(D253=$S$3,1,"")</f>
        <v/>
      </c>
      <c r="T253" s="9" t="str">
        <f>IF(D253=$T$3,1,"")</f>
        <v/>
      </c>
      <c r="U253" s="9" t="str">
        <f>IF(D253=$U$3,1,"")</f>
        <v/>
      </c>
      <c r="V253" s="9" t="str">
        <f>IF(D253=$V$3,1,"")</f>
        <v/>
      </c>
      <c r="W253" s="9" t="str">
        <f>IF(D253=$W$3,1,"")</f>
        <v/>
      </c>
      <c r="X253" s="9" t="str">
        <f>IF(D253=$X$3,1,"")</f>
        <v/>
      </c>
      <c r="Y253" s="9" t="e">
        <f>IF(#REF!=$X$3,1,"")</f>
        <v>#REF!</v>
      </c>
      <c r="Z253" s="9" t="str">
        <f t="shared" si="35"/>
        <v/>
      </c>
      <c r="AA253" s="9" t="str">
        <f t="shared" si="36"/>
        <v/>
      </c>
      <c r="AB253" s="9" t="str">
        <f t="shared" si="37"/>
        <v/>
      </c>
      <c r="AC253" s="9" t="str">
        <f t="shared" si="38"/>
        <v/>
      </c>
      <c r="AD253" s="9" t="str">
        <f t="shared" si="39"/>
        <v/>
      </c>
    </row>
    <row r="254" spans="1:30" ht="21" customHeight="1" x14ac:dyDescent="0.2">
      <c r="A254" s="15">
        <f t="shared" si="34"/>
        <v>247</v>
      </c>
      <c r="B254" s="91" t="s">
        <v>546</v>
      </c>
      <c r="C254" s="27" t="str">
        <f t="shared" si="33"/>
        <v>vs</v>
      </c>
      <c r="D254" s="115" t="s">
        <v>9</v>
      </c>
      <c r="E254" s="20">
        <v>2023</v>
      </c>
      <c r="F254" s="18" t="s">
        <v>23</v>
      </c>
      <c r="G254" s="9"/>
      <c r="H254" s="19" t="s">
        <v>547</v>
      </c>
      <c r="M254" s="9" t="str">
        <f>IF(D254=$M$3,1,"")</f>
        <v/>
      </c>
      <c r="N254" s="9">
        <f>IF(D254=$N$3,1,"")</f>
        <v>1</v>
      </c>
      <c r="O254" s="9" t="str">
        <f>IF(D254=$O$3,1,"")</f>
        <v/>
      </c>
      <c r="P254" s="9" t="str">
        <f>IF(D254=$P$3,1,"")</f>
        <v/>
      </c>
      <c r="Q254" s="9" t="str">
        <f>IF(D254=$Q$3,1,"")</f>
        <v/>
      </c>
      <c r="R254" s="9" t="str">
        <f>IF(D254=$R$3,1,"")</f>
        <v/>
      </c>
      <c r="S254" s="9" t="str">
        <f>IF(D254=$S$3,1,"")</f>
        <v/>
      </c>
      <c r="T254" s="9" t="str">
        <f>IF(D254=$T$3,1,"")</f>
        <v/>
      </c>
      <c r="U254" s="9" t="str">
        <f>IF(D254=$U$3,1,"")</f>
        <v/>
      </c>
      <c r="V254" s="9" t="str">
        <f>IF(D254=$V$3,1,"")</f>
        <v/>
      </c>
      <c r="W254" s="9" t="str">
        <f>IF(D254=$W$3,1,"")</f>
        <v/>
      </c>
      <c r="X254" s="9" t="str">
        <f>IF(D254=$X$3,1,"")</f>
        <v/>
      </c>
      <c r="Y254" s="9" t="e">
        <f>IF(#REF!=$X$3,1,"")</f>
        <v>#REF!</v>
      </c>
      <c r="Z254" s="9" t="str">
        <f t="shared" si="35"/>
        <v/>
      </c>
      <c r="AA254" s="9" t="str">
        <f t="shared" si="36"/>
        <v/>
      </c>
      <c r="AB254" s="9" t="str">
        <f t="shared" si="37"/>
        <v/>
      </c>
      <c r="AC254" s="9" t="str">
        <f t="shared" si="38"/>
        <v/>
      </c>
      <c r="AD254" s="9" t="str">
        <f t="shared" si="39"/>
        <v/>
      </c>
    </row>
    <row r="255" spans="1:30" ht="21" customHeight="1" x14ac:dyDescent="0.2">
      <c r="A255" s="15">
        <f t="shared" si="34"/>
        <v>248</v>
      </c>
      <c r="B255" s="112" t="s">
        <v>548</v>
      </c>
      <c r="C255" s="16" t="str">
        <f t="shared" ref="C255:C315" si="41">IF(B255="","","vs")</f>
        <v>vs</v>
      </c>
      <c r="D255" s="17" t="s">
        <v>9</v>
      </c>
      <c r="E255" s="16">
        <v>2023</v>
      </c>
      <c r="F255" s="18" t="s">
        <v>23</v>
      </c>
      <c r="G255" s="9"/>
      <c r="H255" s="19" t="s">
        <v>549</v>
      </c>
      <c r="M255" s="9" t="str">
        <f>IF(D255=$M$3,1,"")</f>
        <v/>
      </c>
      <c r="N255" s="9">
        <f>IF(D255=$N$3,1,"")</f>
        <v>1</v>
      </c>
      <c r="O255" s="9" t="str">
        <f>IF(D255=$O$3,1,"")</f>
        <v/>
      </c>
      <c r="P255" s="9" t="str">
        <f>IF(D255=$P$3,1,"")</f>
        <v/>
      </c>
      <c r="Q255" s="9" t="str">
        <f>IF(D255=$Q$3,1,"")</f>
        <v/>
      </c>
      <c r="R255" s="9" t="str">
        <f>IF(D255=$R$3,1,"")</f>
        <v/>
      </c>
      <c r="S255" s="9" t="str">
        <f>IF(D255=$S$3,1,"")</f>
        <v/>
      </c>
      <c r="T255" s="9" t="str">
        <f>IF(D255=$T$3,1,"")</f>
        <v/>
      </c>
      <c r="U255" s="9" t="str">
        <f>IF(D255=$U$3,1,"")</f>
        <v/>
      </c>
      <c r="V255" s="9" t="str">
        <f>IF(D255=$V$3,1,"")</f>
        <v/>
      </c>
      <c r="W255" s="9" t="str">
        <f>IF(D255=$W$3,1,"")</f>
        <v/>
      </c>
      <c r="X255" s="9" t="str">
        <f>IF(D255=$X$3,1,"")</f>
        <v/>
      </c>
      <c r="Y255" s="9" t="e">
        <f>IF(#REF!=$X$3,1,"")</f>
        <v>#REF!</v>
      </c>
      <c r="Z255" s="9" t="str">
        <f t="shared" si="35"/>
        <v/>
      </c>
      <c r="AA255" s="9" t="str">
        <f t="shared" si="36"/>
        <v/>
      </c>
      <c r="AB255" s="9" t="str">
        <f t="shared" si="37"/>
        <v/>
      </c>
      <c r="AC255" s="9" t="str">
        <f t="shared" si="38"/>
        <v/>
      </c>
      <c r="AD255" s="9" t="str">
        <f t="shared" si="39"/>
        <v/>
      </c>
    </row>
    <row r="256" spans="1:30" ht="21" customHeight="1" x14ac:dyDescent="0.2">
      <c r="A256" s="56">
        <f t="shared" si="34"/>
        <v>249</v>
      </c>
      <c r="B256" s="57" t="s">
        <v>550</v>
      </c>
      <c r="C256" s="58" t="str">
        <f t="shared" si="41"/>
        <v>vs</v>
      </c>
      <c r="D256" s="116" t="s">
        <v>15</v>
      </c>
      <c r="E256" s="58">
        <v>2023</v>
      </c>
      <c r="F256" s="103" t="s">
        <v>23</v>
      </c>
      <c r="G256" s="9"/>
      <c r="H256" s="19" t="s">
        <v>551</v>
      </c>
      <c r="M256" s="9" t="str">
        <f>IF(D256=$M$3,1,"")</f>
        <v/>
      </c>
      <c r="N256" s="9" t="str">
        <f>IF(D256=$N$3,1,"")</f>
        <v/>
      </c>
      <c r="O256" s="9" t="str">
        <f>IF(D256=$O$3,1,"")</f>
        <v/>
      </c>
      <c r="P256" s="9" t="str">
        <f>IF(D256=$P$3,1,"")</f>
        <v/>
      </c>
      <c r="Q256" s="9" t="str">
        <f>IF(D256=$Q$3,1,"")</f>
        <v/>
      </c>
      <c r="R256" s="9" t="str">
        <f>IF(D256=$R$3,1,"")</f>
        <v/>
      </c>
      <c r="S256" s="9" t="str">
        <f>IF(D256=$S$3,1,"")</f>
        <v/>
      </c>
      <c r="T256" s="9">
        <f>IF(D256=$T$3,1,"")</f>
        <v>1</v>
      </c>
      <c r="U256" s="9" t="str">
        <f>IF(D256=$U$3,1,"")</f>
        <v/>
      </c>
      <c r="V256" s="9" t="str">
        <f>IF(D256=$V$3,1,"")</f>
        <v/>
      </c>
      <c r="W256" s="9" t="str">
        <f>IF(D256=$W$3,1,"")</f>
        <v/>
      </c>
      <c r="X256" s="9" t="str">
        <f>IF(D256=$X$3,1,"")</f>
        <v/>
      </c>
      <c r="Y256" s="9" t="e">
        <f>IF(#REF!=$X$3,1,"")</f>
        <v>#REF!</v>
      </c>
      <c r="Z256" s="9" t="str">
        <f t="shared" si="35"/>
        <v/>
      </c>
      <c r="AA256" s="9" t="str">
        <f t="shared" si="36"/>
        <v/>
      </c>
      <c r="AB256" s="9" t="str">
        <f t="shared" si="37"/>
        <v/>
      </c>
      <c r="AC256" s="9" t="str">
        <f t="shared" si="38"/>
        <v/>
      </c>
      <c r="AD256" s="9" t="str">
        <f t="shared" si="39"/>
        <v/>
      </c>
    </row>
    <row r="257" spans="1:30" ht="36" customHeight="1" x14ac:dyDescent="0.2">
      <c r="A257" s="56">
        <f>IF(B257="","",A256+1)</f>
        <v>250</v>
      </c>
      <c r="B257" s="91" t="s">
        <v>552</v>
      </c>
      <c r="C257" s="27" t="str">
        <f>IF(B257="","","vs")</f>
        <v>vs</v>
      </c>
      <c r="D257" s="115" t="s">
        <v>17</v>
      </c>
      <c r="E257" s="27">
        <v>2023</v>
      </c>
      <c r="F257" s="103" t="s">
        <v>23</v>
      </c>
      <c r="G257" s="9"/>
      <c r="H257" s="19" t="s">
        <v>553</v>
      </c>
      <c r="M257" s="9" t="str">
        <f>IF(D257=$M$3,1,"")</f>
        <v/>
      </c>
      <c r="N257" s="9" t="str">
        <f>IF(D257=$N$3,1,"")</f>
        <v/>
      </c>
      <c r="O257" s="9" t="str">
        <f>IF(D257=$O$3,1,"")</f>
        <v/>
      </c>
      <c r="P257" s="9" t="str">
        <f>IF(D257=$P$3,1,"")</f>
        <v/>
      </c>
      <c r="Q257" s="9" t="str">
        <f>IF(D257=$Q$3,1,"")</f>
        <v/>
      </c>
      <c r="R257" s="9" t="str">
        <f>IF(D257=$R$3,1,"")</f>
        <v/>
      </c>
      <c r="S257" s="9" t="str">
        <f>IF(D257=$S$3,1,"")</f>
        <v/>
      </c>
      <c r="T257" s="9" t="str">
        <f>IF(D257=$T$3,1,"")</f>
        <v/>
      </c>
      <c r="U257" s="9" t="str">
        <f>IF(D257=$U$3,1,"")</f>
        <v/>
      </c>
      <c r="V257" s="9">
        <f>IF(D257=$V$3,1,"")</f>
        <v>1</v>
      </c>
      <c r="W257" s="9" t="str">
        <f>IF(D257=$W$3,1,"")</f>
        <v/>
      </c>
      <c r="X257" s="9" t="str">
        <f>IF(D257=$X$3,1,"")</f>
        <v/>
      </c>
      <c r="Y257" s="9" t="e">
        <f>IF(#REF!=$X$3,1,"")</f>
        <v>#REF!</v>
      </c>
      <c r="Z257" s="9" t="str">
        <f t="shared" si="35"/>
        <v/>
      </c>
      <c r="AA257" s="9" t="str">
        <f t="shared" si="36"/>
        <v/>
      </c>
      <c r="AB257" s="9" t="str">
        <f t="shared" si="37"/>
        <v/>
      </c>
      <c r="AC257" s="9" t="str">
        <f t="shared" si="38"/>
        <v/>
      </c>
      <c r="AD257" s="9" t="str">
        <f t="shared" si="39"/>
        <v/>
      </c>
    </row>
    <row r="258" spans="1:30" ht="21" customHeight="1" x14ac:dyDescent="0.2">
      <c r="A258" s="56">
        <f>IF(B258="","",A257+1)</f>
        <v>251</v>
      </c>
      <c r="B258" s="34" t="s">
        <v>554</v>
      </c>
      <c r="C258" s="20" t="str">
        <f>IF(B258="","","vs")</f>
        <v>vs</v>
      </c>
      <c r="D258" s="21"/>
      <c r="E258" s="20">
        <v>2023</v>
      </c>
      <c r="F258" s="18" t="s">
        <v>23</v>
      </c>
      <c r="G258" s="142" t="s">
        <v>555</v>
      </c>
      <c r="H258" s="19" t="s">
        <v>556</v>
      </c>
      <c r="M258" s="9" t="str">
        <f>IF(D258=$M$3,1,"")</f>
        <v/>
      </c>
      <c r="N258" s="9" t="str">
        <f>IF(D258=$N$3,1,"")</f>
        <v/>
      </c>
      <c r="O258" s="9" t="str">
        <f>IF(D258=$O$3,1,"")</f>
        <v/>
      </c>
      <c r="P258" s="9" t="str">
        <f>IF(D258=$P$3,1,"")</f>
        <v/>
      </c>
      <c r="Q258" s="9" t="str">
        <f>IF(D258=$Q$3,1,"")</f>
        <v/>
      </c>
      <c r="R258" s="9" t="str">
        <f>IF(D258=$R$3,1,"")</f>
        <v/>
      </c>
      <c r="S258" s="9" t="str">
        <f>IF(D258=$S$3,1,"")</f>
        <v/>
      </c>
      <c r="T258" s="9" t="str">
        <f>IF(D258=$T$3,1,"")</f>
        <v/>
      </c>
      <c r="U258" s="9" t="str">
        <f>IF(D258=$U$3,1,"")</f>
        <v/>
      </c>
      <c r="V258" s="9" t="str">
        <f>IF(D258=$V$3,1,"")</f>
        <v/>
      </c>
      <c r="W258" s="9" t="str">
        <f>IF(D258=$W$3,1,"")</f>
        <v/>
      </c>
      <c r="X258" s="9" t="str">
        <f>IF(D258=$X$3,1,"")</f>
        <v/>
      </c>
      <c r="Y258" s="9" t="e">
        <f>IF(#REF!=$X$3,1,"")</f>
        <v>#REF!</v>
      </c>
      <c r="Z258" s="9" t="str">
        <f t="shared" si="35"/>
        <v/>
      </c>
      <c r="AA258" s="9" t="str">
        <f t="shared" si="36"/>
        <v/>
      </c>
      <c r="AB258" s="9" t="str">
        <f t="shared" si="37"/>
        <v/>
      </c>
      <c r="AC258" s="9" t="str">
        <f t="shared" si="38"/>
        <v/>
      </c>
      <c r="AD258" s="9" t="str">
        <f t="shared" si="39"/>
        <v/>
      </c>
    </row>
    <row r="259" spans="1:30" ht="21" customHeight="1" x14ac:dyDescent="0.2">
      <c r="A259" s="15">
        <f t="shared" si="34"/>
        <v>252</v>
      </c>
      <c r="B259" s="34" t="s">
        <v>460</v>
      </c>
      <c r="C259" s="20" t="str">
        <f>IF(B259="","","vs")</f>
        <v>vs</v>
      </c>
      <c r="D259" s="21" t="s">
        <v>18</v>
      </c>
      <c r="E259" s="20">
        <v>2023</v>
      </c>
      <c r="F259" s="18" t="s">
        <v>23</v>
      </c>
      <c r="G259" s="9"/>
      <c r="H259" s="19" t="s">
        <v>557</v>
      </c>
      <c r="M259" s="9" t="str">
        <f>IF(D259=$M$3,1,"")</f>
        <v/>
      </c>
      <c r="N259" s="9" t="str">
        <f>IF(D259=$N$3,1,"")</f>
        <v/>
      </c>
      <c r="O259" s="9" t="str">
        <f>IF(D259=$O$3,1,"")</f>
        <v/>
      </c>
      <c r="P259" s="9" t="str">
        <f>IF(D259=$P$3,1,"")</f>
        <v/>
      </c>
      <c r="Q259" s="9" t="str">
        <f>IF(D259=$Q$3,1,"")</f>
        <v/>
      </c>
      <c r="R259" s="9" t="str">
        <f>IF(D259=$R$3,1,"")</f>
        <v/>
      </c>
      <c r="S259" s="9" t="str">
        <f>IF(D259=$S$3,1,"")</f>
        <v/>
      </c>
      <c r="T259" s="9" t="str">
        <f>IF(D259=$T$3,1,"")</f>
        <v/>
      </c>
      <c r="U259" s="9" t="str">
        <f>IF(D259=$U$3,1,"")</f>
        <v/>
      </c>
      <c r="V259" s="9" t="str">
        <f>IF(D259=$V$3,1,"")</f>
        <v/>
      </c>
      <c r="W259" s="9">
        <f>IF(D259=$W$3,1,"")</f>
        <v>1</v>
      </c>
      <c r="X259" s="9" t="str">
        <f>IF(D259=$X$3,1,"")</f>
        <v/>
      </c>
      <c r="Y259" s="9" t="e">
        <f>IF(#REF!=$X$3,1,"")</f>
        <v>#REF!</v>
      </c>
      <c r="Z259" s="9" t="str">
        <f t="shared" si="35"/>
        <v/>
      </c>
      <c r="AA259" s="9" t="str">
        <f t="shared" si="36"/>
        <v/>
      </c>
      <c r="AB259" s="9" t="str">
        <f t="shared" si="37"/>
        <v/>
      </c>
      <c r="AC259" s="9" t="str">
        <f t="shared" si="38"/>
        <v/>
      </c>
      <c r="AD259" s="9" t="str">
        <f t="shared" si="39"/>
        <v/>
      </c>
    </row>
    <row r="260" spans="1:30" ht="21" customHeight="1" x14ac:dyDescent="0.2">
      <c r="A260" s="15">
        <f t="shared" si="34"/>
        <v>253</v>
      </c>
      <c r="B260" s="112" t="s">
        <v>530</v>
      </c>
      <c r="C260" s="16" t="str">
        <f>IF(B260="","","vs")</f>
        <v>vs</v>
      </c>
      <c r="D260" s="17" t="s">
        <v>17</v>
      </c>
      <c r="E260" s="20">
        <v>2023</v>
      </c>
      <c r="F260" s="18" t="s">
        <v>23</v>
      </c>
      <c r="G260" s="9"/>
      <c r="H260" s="19" t="s">
        <v>558</v>
      </c>
      <c r="M260" s="9" t="str">
        <f>IF(D260=$M$3,1,"")</f>
        <v/>
      </c>
      <c r="N260" s="9" t="str">
        <f>IF(D260=$N$3,1,"")</f>
        <v/>
      </c>
      <c r="O260" s="9" t="str">
        <f>IF(D260=$O$3,1,"")</f>
        <v/>
      </c>
      <c r="P260" s="9" t="str">
        <f>IF(D260=$P$3,1,"")</f>
        <v/>
      </c>
      <c r="Q260" s="9" t="str">
        <f>IF(D260=$Q$3,1,"")</f>
        <v/>
      </c>
      <c r="R260" s="9" t="str">
        <f>IF(D260=$R$3,1,"")</f>
        <v/>
      </c>
      <c r="S260" s="9" t="str">
        <f>IF(D260=$S$3,1,"")</f>
        <v/>
      </c>
      <c r="T260" s="9" t="str">
        <f>IF(D260=$T$3,1,"")</f>
        <v/>
      </c>
      <c r="U260" s="9" t="str">
        <f>IF(D260=$U$3,1,"")</f>
        <v/>
      </c>
      <c r="V260" s="9">
        <f>IF(D260=$V$3,1,"")</f>
        <v>1</v>
      </c>
      <c r="W260" s="9" t="str">
        <f>IF(D260=$W$3,1,"")</f>
        <v/>
      </c>
      <c r="X260" s="9" t="str">
        <f>IF(D260=$X$3,1,"")</f>
        <v/>
      </c>
      <c r="Y260" s="9" t="e">
        <f>IF(#REF!=$X$3,1,"")</f>
        <v>#REF!</v>
      </c>
      <c r="Z260" s="9" t="str">
        <f t="shared" si="35"/>
        <v/>
      </c>
      <c r="AA260" s="9" t="str">
        <f t="shared" si="36"/>
        <v/>
      </c>
      <c r="AB260" s="9" t="str">
        <f t="shared" si="37"/>
        <v/>
      </c>
      <c r="AC260" s="9" t="str">
        <f t="shared" si="38"/>
        <v/>
      </c>
      <c r="AD260" s="9" t="str">
        <f t="shared" si="39"/>
        <v/>
      </c>
    </row>
    <row r="261" spans="1:30" ht="21" customHeight="1" x14ac:dyDescent="0.2">
      <c r="A261" s="15">
        <f t="shared" si="34"/>
        <v>254</v>
      </c>
      <c r="B261" s="112" t="s">
        <v>559</v>
      </c>
      <c r="C261" s="16" t="str">
        <f t="shared" si="41"/>
        <v>vs</v>
      </c>
      <c r="D261" s="17" t="s">
        <v>15</v>
      </c>
      <c r="E261" s="20">
        <v>2023</v>
      </c>
      <c r="F261" s="18" t="s">
        <v>33</v>
      </c>
      <c r="G261" s="9"/>
      <c r="H261" s="19" t="s">
        <v>560</v>
      </c>
      <c r="M261" s="9" t="str">
        <f>IF(D261=$M$3,1,"")</f>
        <v/>
      </c>
      <c r="N261" s="9" t="str">
        <f>IF(D261=$N$3,1,"")</f>
        <v/>
      </c>
      <c r="O261" s="9" t="str">
        <f>IF(D261=$O$3,1,"")</f>
        <v/>
      </c>
      <c r="P261" s="9" t="str">
        <f>IF(D261=$P$3,1,"")</f>
        <v/>
      </c>
      <c r="Q261" s="9" t="str">
        <f>IF(D261=$Q$3,1,"")</f>
        <v/>
      </c>
      <c r="R261" s="9" t="str">
        <f>IF(D261=$R$3,1,"")</f>
        <v/>
      </c>
      <c r="S261" s="9" t="str">
        <f>IF(D261=$S$3,1,"")</f>
        <v/>
      </c>
      <c r="T261" s="9">
        <f>IF(D261=$T$3,1,"")</f>
        <v>1</v>
      </c>
      <c r="U261" s="9" t="str">
        <f>IF(D261=$U$3,1,"")</f>
        <v/>
      </c>
      <c r="V261" s="9" t="str">
        <f>IF(D261=$V$3,1,"")</f>
        <v/>
      </c>
      <c r="W261" s="9" t="str">
        <f>IF(D261=$W$3,1,"")</f>
        <v/>
      </c>
      <c r="X261" s="9" t="str">
        <f>IF(D261=$X$3,1,"")</f>
        <v/>
      </c>
      <c r="Y261" s="9" t="e">
        <f>IF(#REF!=$X$3,1,"")</f>
        <v>#REF!</v>
      </c>
      <c r="Z261" s="9" t="str">
        <f t="shared" si="35"/>
        <v/>
      </c>
      <c r="AA261" s="9" t="str">
        <f t="shared" si="36"/>
        <v/>
      </c>
      <c r="AB261" s="9" t="str">
        <f t="shared" si="37"/>
        <v/>
      </c>
      <c r="AC261" s="9" t="str">
        <f t="shared" si="38"/>
        <v/>
      </c>
      <c r="AD261" s="9" t="str">
        <f t="shared" si="39"/>
        <v/>
      </c>
    </row>
    <row r="262" spans="1:30" ht="21" customHeight="1" thickBot="1" x14ac:dyDescent="0.25">
      <c r="A262" s="15">
        <f t="shared" si="34"/>
        <v>255</v>
      </c>
      <c r="B262" s="81" t="s">
        <v>561</v>
      </c>
      <c r="C262" s="23" t="str">
        <f>IF(B262="","","vs")</f>
        <v>vs</v>
      </c>
      <c r="D262" s="10" t="s">
        <v>12</v>
      </c>
      <c r="E262" s="23">
        <v>2023</v>
      </c>
      <c r="F262" s="18" t="s">
        <v>33</v>
      </c>
      <c r="G262" s="9"/>
      <c r="H262" s="19" t="s">
        <v>562</v>
      </c>
      <c r="M262" s="9" t="str">
        <f>IF(D262=$M$3,1,"")</f>
        <v/>
      </c>
      <c r="N262" s="9" t="str">
        <f>IF(D262=$N$3,1,"")</f>
        <v/>
      </c>
      <c r="O262" s="9" t="str">
        <f>IF(D262=$O$3,1,"")</f>
        <v/>
      </c>
      <c r="P262" s="9" t="str">
        <f>IF(D262=$P$3,1,"")</f>
        <v/>
      </c>
      <c r="Q262" s="9">
        <f>IF(D262=$Q$3,1,"")</f>
        <v>1</v>
      </c>
      <c r="R262" s="9" t="str">
        <f>IF(D262=$R$3,1,"")</f>
        <v/>
      </c>
      <c r="S262" s="9" t="str">
        <f>IF(D262=$S$3,1,"")</f>
        <v/>
      </c>
      <c r="T262" s="9" t="str">
        <f>IF(D262=$T$3,1,"")</f>
        <v/>
      </c>
      <c r="U262" s="9" t="str">
        <f>IF(D262=$U$3,1,"")</f>
        <v/>
      </c>
      <c r="V262" s="9" t="str">
        <f>IF(D262=$V$3,1,"")</f>
        <v/>
      </c>
      <c r="W262" s="9" t="str">
        <f>IF(D262=$W$3,1,"")</f>
        <v/>
      </c>
      <c r="X262" s="9" t="str">
        <f>IF(D262=$X$3,1,"")</f>
        <v/>
      </c>
      <c r="Y262" s="9" t="e">
        <f>IF(#REF!=$X$3,1,"")</f>
        <v>#REF!</v>
      </c>
      <c r="Z262" s="9" t="str">
        <f t="shared" si="35"/>
        <v/>
      </c>
      <c r="AA262" s="9" t="str">
        <f t="shared" si="36"/>
        <v/>
      </c>
      <c r="AB262" s="9" t="str">
        <f t="shared" si="37"/>
        <v/>
      </c>
      <c r="AC262" s="9" t="str">
        <f t="shared" si="38"/>
        <v/>
      </c>
      <c r="AD262" s="9" t="str">
        <f t="shared" si="39"/>
        <v/>
      </c>
    </row>
    <row r="263" spans="1:30" ht="21" customHeight="1" x14ac:dyDescent="0.2">
      <c r="A263" s="15">
        <f t="shared" si="34"/>
        <v>256</v>
      </c>
      <c r="B263" s="34" t="s">
        <v>563</v>
      </c>
      <c r="C263" s="20" t="str">
        <f t="shared" si="41"/>
        <v>vs</v>
      </c>
      <c r="D263" s="21" t="s">
        <v>12</v>
      </c>
      <c r="E263" s="20">
        <v>2023</v>
      </c>
      <c r="F263" s="18" t="s">
        <v>23</v>
      </c>
      <c r="G263" s="9"/>
      <c r="H263" s="19" t="s">
        <v>564</v>
      </c>
      <c r="M263" s="9" t="str">
        <f>IF(D263=$M$3,1,"")</f>
        <v/>
      </c>
      <c r="N263" s="9" t="str">
        <f>IF(D263=$N$3,1,"")</f>
        <v/>
      </c>
      <c r="O263" s="9" t="str">
        <f>IF(D263=$O$3,1,"")</f>
        <v/>
      </c>
      <c r="P263" s="9" t="str">
        <f>IF(D263=$P$3,1,"")</f>
        <v/>
      </c>
      <c r="Q263" s="9">
        <f>IF(D263=$Q$3,1,"")</f>
        <v>1</v>
      </c>
      <c r="R263" s="9" t="str">
        <f>IF(D263=$R$3,1,"")</f>
        <v/>
      </c>
      <c r="S263" s="9" t="str">
        <f>IF(D263=$S$3,1,"")</f>
        <v/>
      </c>
      <c r="T263" s="9" t="str">
        <f>IF(D263=$T$3,1,"")</f>
        <v/>
      </c>
      <c r="U263" s="9" t="str">
        <f>IF(D263=$U$3,1,"")</f>
        <v/>
      </c>
      <c r="V263" s="9" t="str">
        <f>IF(D263=$V$3,1,"")</f>
        <v/>
      </c>
      <c r="W263" s="9" t="str">
        <f>IF(D263=$W$3,1,"")</f>
        <v/>
      </c>
      <c r="X263" s="9" t="str">
        <f>IF(D263=$X$3,1,"")</f>
        <v/>
      </c>
      <c r="Y263" s="9" t="e">
        <f>IF(#REF!=$X$3,1,"")</f>
        <v>#REF!</v>
      </c>
      <c r="Z263" s="9" t="str">
        <f t="shared" si="35"/>
        <v/>
      </c>
      <c r="AA263" s="9" t="str">
        <f t="shared" si="36"/>
        <v/>
      </c>
      <c r="AB263" s="9" t="str">
        <f t="shared" si="37"/>
        <v/>
      </c>
      <c r="AC263" s="9" t="str">
        <f t="shared" si="38"/>
        <v/>
      </c>
      <c r="AD263" s="9" t="str">
        <f t="shared" si="39"/>
        <v/>
      </c>
    </row>
    <row r="264" spans="1:30" ht="21" customHeight="1" x14ac:dyDescent="0.2">
      <c r="A264" s="15">
        <f t="shared" si="34"/>
        <v>257</v>
      </c>
      <c r="B264" s="112" t="s">
        <v>565</v>
      </c>
      <c r="C264" s="16" t="str">
        <f>IF(B264="","","vs")</f>
        <v>vs</v>
      </c>
      <c r="D264" s="17" t="s">
        <v>17</v>
      </c>
      <c r="E264" s="20">
        <v>2023</v>
      </c>
      <c r="F264" s="18" t="s">
        <v>23</v>
      </c>
      <c r="G264" s="9"/>
      <c r="H264" s="19" t="s">
        <v>566</v>
      </c>
      <c r="M264" s="9" t="str">
        <f>IF(D264=$M$3,1,"")</f>
        <v/>
      </c>
      <c r="N264" s="9" t="str">
        <f>IF(D264=$N$3,1,"")</f>
        <v/>
      </c>
      <c r="O264" s="9" t="str">
        <f>IF(D264=$O$3,1,"")</f>
        <v/>
      </c>
      <c r="P264" s="9" t="str">
        <f>IF(D264=$P$3,1,"")</f>
        <v/>
      </c>
      <c r="Q264" s="9" t="str">
        <f>IF(D264=$Q$3,1,"")</f>
        <v/>
      </c>
      <c r="R264" s="9" t="str">
        <f>IF(D264=$R$3,1,"")</f>
        <v/>
      </c>
      <c r="S264" s="9" t="str">
        <f>IF(D264=$S$3,1,"")</f>
        <v/>
      </c>
      <c r="T264" s="9" t="str">
        <f>IF(D264=$T$3,1,"")</f>
        <v/>
      </c>
      <c r="U264" s="9" t="str">
        <f>IF(D264=$U$3,1,"")</f>
        <v/>
      </c>
      <c r="V264" s="9">
        <f>IF(D264=$V$3,1,"")</f>
        <v>1</v>
      </c>
      <c r="W264" s="9" t="str">
        <f>IF(D264=$W$3,1,"")</f>
        <v/>
      </c>
      <c r="X264" s="9" t="str">
        <f>IF(D264=$X$3,1,"")</f>
        <v/>
      </c>
      <c r="Y264" s="9" t="e">
        <f>IF(#REF!=$X$3,1,"")</f>
        <v>#REF!</v>
      </c>
      <c r="Z264" s="9" t="str">
        <f t="shared" si="35"/>
        <v/>
      </c>
      <c r="AA264" s="9" t="str">
        <f t="shared" si="36"/>
        <v/>
      </c>
      <c r="AB264" s="9" t="str">
        <f t="shared" si="37"/>
        <v/>
      </c>
      <c r="AC264" s="9" t="str">
        <f t="shared" si="38"/>
        <v/>
      </c>
      <c r="AD264" s="9" t="str">
        <f t="shared" si="39"/>
        <v/>
      </c>
    </row>
    <row r="265" spans="1:30" ht="21" customHeight="1" x14ac:dyDescent="0.2">
      <c r="A265" s="15">
        <f t="shared" si="34"/>
        <v>258</v>
      </c>
      <c r="B265" s="112" t="s">
        <v>567</v>
      </c>
      <c r="C265" s="20" t="str">
        <f t="shared" si="41"/>
        <v>vs</v>
      </c>
      <c r="D265" s="21" t="s">
        <v>16</v>
      </c>
      <c r="E265" s="20">
        <v>2023</v>
      </c>
      <c r="F265" s="18" t="s">
        <v>23</v>
      </c>
      <c r="G265" s="9"/>
      <c r="H265" s="19" t="s">
        <v>568</v>
      </c>
      <c r="M265" s="9" t="str">
        <f>IF(D265=$M$3,1,"")</f>
        <v/>
      </c>
      <c r="N265" s="9" t="str">
        <f>IF(D265=$N$3,1,"")</f>
        <v/>
      </c>
      <c r="O265" s="9" t="str">
        <f>IF(D265=$O$3,1,"")</f>
        <v/>
      </c>
      <c r="P265" s="9" t="str">
        <f>IF(D265=$P$3,1,"")</f>
        <v/>
      </c>
      <c r="Q265" s="9" t="str">
        <f>IF(D265=$Q$3,1,"")</f>
        <v/>
      </c>
      <c r="R265" s="9" t="str">
        <f>IF(D265=$R$3,1,"")</f>
        <v/>
      </c>
      <c r="S265" s="9" t="str">
        <f>IF(D265=$S$3,1,"")</f>
        <v/>
      </c>
      <c r="T265" s="9" t="str">
        <f>IF(D265=$T$3,1,"")</f>
        <v/>
      </c>
      <c r="U265" s="9">
        <f>IF(D265=$U$3,1,"")</f>
        <v>1</v>
      </c>
      <c r="V265" s="9" t="str">
        <f>IF(D265=$V$3,1,"")</f>
        <v/>
      </c>
      <c r="W265" s="9" t="str">
        <f>IF(D265=$W$3,1,"")</f>
        <v/>
      </c>
      <c r="X265" s="9" t="str">
        <f>IF(D265=$X$3,1,"")</f>
        <v/>
      </c>
      <c r="Y265" s="9" t="e">
        <f>IF(#REF!=$X$3,1,"")</f>
        <v>#REF!</v>
      </c>
      <c r="Z265" s="9" t="str">
        <f t="shared" si="35"/>
        <v/>
      </c>
      <c r="AA265" s="9" t="str">
        <f t="shared" si="36"/>
        <v/>
      </c>
      <c r="AB265" s="9" t="str">
        <f t="shared" si="37"/>
        <v/>
      </c>
      <c r="AC265" s="9" t="str">
        <f t="shared" si="38"/>
        <v/>
      </c>
      <c r="AD265" s="9" t="str">
        <f t="shared" si="39"/>
        <v/>
      </c>
    </row>
    <row r="266" spans="1:30" ht="21" customHeight="1" x14ac:dyDescent="0.2">
      <c r="A266" s="15">
        <f t="shared" si="34"/>
        <v>259</v>
      </c>
      <c r="B266" s="131" t="s">
        <v>516</v>
      </c>
      <c r="C266" s="20" t="str">
        <f t="shared" si="41"/>
        <v>vs</v>
      </c>
      <c r="D266" s="21" t="s">
        <v>12</v>
      </c>
      <c r="E266" s="20">
        <v>2023</v>
      </c>
      <c r="F266" s="18" t="s">
        <v>23</v>
      </c>
      <c r="G266" s="9"/>
      <c r="H266" s="19" t="s">
        <v>569</v>
      </c>
      <c r="M266" s="9" t="str">
        <f>IF(D266=$M$3,1,"")</f>
        <v/>
      </c>
      <c r="N266" s="9" t="str">
        <f>IF(D266=$N$3,1,"")</f>
        <v/>
      </c>
      <c r="O266" s="9" t="str">
        <f>IF(D266=$O$3,1,"")</f>
        <v/>
      </c>
      <c r="P266" s="9" t="str">
        <f>IF(D266=$P$3,1,"")</f>
        <v/>
      </c>
      <c r="Q266" s="9">
        <f>IF(D266=$Q$3,1,"")</f>
        <v>1</v>
      </c>
      <c r="R266" s="9" t="str">
        <f>IF(D266=$R$3,1,"")</f>
        <v/>
      </c>
      <c r="S266" s="9" t="str">
        <f>IF(D266=$S$3,1,"")</f>
        <v/>
      </c>
      <c r="T266" s="9" t="str">
        <f>IF(D266=$T$3,1,"")</f>
        <v/>
      </c>
      <c r="U266" s="9" t="str">
        <f>IF(D266=$U$3,1,"")</f>
        <v/>
      </c>
      <c r="V266" s="9" t="str">
        <f>IF(D266=$V$3,1,"")</f>
        <v/>
      </c>
      <c r="W266" s="9" t="str">
        <f>IF(D266=$W$3,1,"")</f>
        <v/>
      </c>
      <c r="X266" s="9" t="str">
        <f>IF(D266=$X$3,1,"")</f>
        <v/>
      </c>
      <c r="Y266" s="9" t="e">
        <f>IF(#REF!=$X$3,1,"")</f>
        <v>#REF!</v>
      </c>
      <c r="Z266" s="9" t="str">
        <f t="shared" si="35"/>
        <v/>
      </c>
      <c r="AA266" s="9" t="str">
        <f t="shared" si="36"/>
        <v/>
      </c>
      <c r="AB266" s="9" t="str">
        <f t="shared" si="37"/>
        <v/>
      </c>
      <c r="AC266" s="9" t="str">
        <f t="shared" si="38"/>
        <v/>
      </c>
      <c r="AD266" s="9" t="str">
        <f t="shared" si="39"/>
        <v/>
      </c>
    </row>
    <row r="267" spans="1:30" ht="21" customHeight="1" x14ac:dyDescent="0.2">
      <c r="A267" s="15">
        <f t="shared" ref="A267:A327" si="42">IF(B267="","",A266+1)</f>
        <v>260</v>
      </c>
      <c r="B267" s="112" t="s">
        <v>476</v>
      </c>
      <c r="C267" s="20" t="str">
        <f t="shared" ref="C267" si="43">IF(B267="","","vs")</f>
        <v>vs</v>
      </c>
      <c r="D267" s="21" t="s">
        <v>15</v>
      </c>
      <c r="E267" s="20">
        <v>2023</v>
      </c>
      <c r="F267" s="18" t="s">
        <v>33</v>
      </c>
      <c r="G267" s="9"/>
      <c r="H267" s="19" t="s">
        <v>570</v>
      </c>
      <c r="M267" s="9" t="str">
        <f>IF(D267=$M$3,1,"")</f>
        <v/>
      </c>
      <c r="N267" s="9" t="str">
        <f>IF(D267=$N$3,1,"")</f>
        <v/>
      </c>
      <c r="O267" s="9" t="str">
        <f>IF(D267=$O$3,1,"")</f>
        <v/>
      </c>
      <c r="P267" s="9" t="str">
        <f>IF(D267=$P$3,1,"")</f>
        <v/>
      </c>
      <c r="Q267" s="9" t="str">
        <f>IF(D267=$Q$3,1,"")</f>
        <v/>
      </c>
      <c r="R267" s="9" t="str">
        <f>IF(D267=$R$3,1,"")</f>
        <v/>
      </c>
      <c r="S267" s="9" t="str">
        <f>IF(D267=$S$3,1,"")</f>
        <v/>
      </c>
      <c r="T267" s="9">
        <f>IF(D267=$T$3,1,"")</f>
        <v>1</v>
      </c>
      <c r="U267" s="9" t="str">
        <f>IF(D267=$U$3,1,"")</f>
        <v/>
      </c>
      <c r="V267" s="9" t="str">
        <f>IF(D267=$V$3,1,"")</f>
        <v/>
      </c>
      <c r="W267" s="9" t="str">
        <f>IF(D267=$W$3,1,"")</f>
        <v/>
      </c>
      <c r="X267" s="9" t="str">
        <f>IF(D267=$X$3,1,"")</f>
        <v/>
      </c>
      <c r="Y267" s="9" t="e">
        <f>IF(#REF!=$X$3,1,"")</f>
        <v>#REF!</v>
      </c>
      <c r="Z267" s="9" t="str">
        <f t="shared" si="35"/>
        <v/>
      </c>
      <c r="AA267" s="9" t="str">
        <f t="shared" si="36"/>
        <v/>
      </c>
      <c r="AB267" s="9" t="str">
        <f t="shared" si="37"/>
        <v/>
      </c>
      <c r="AC267" s="9" t="str">
        <f t="shared" si="38"/>
        <v/>
      </c>
      <c r="AD267" s="9" t="str">
        <f t="shared" si="39"/>
        <v/>
      </c>
    </row>
    <row r="268" spans="1:30" ht="21" customHeight="1" x14ac:dyDescent="0.2">
      <c r="A268" s="15">
        <f t="shared" si="42"/>
        <v>261</v>
      </c>
      <c r="B268" s="112" t="s">
        <v>571</v>
      </c>
      <c r="C268" s="16" t="str">
        <f>IF(B268="","","vs")</f>
        <v>vs</v>
      </c>
      <c r="D268" s="17" t="s">
        <v>16</v>
      </c>
      <c r="E268" s="20">
        <v>2023</v>
      </c>
      <c r="F268" s="18" t="s">
        <v>23</v>
      </c>
      <c r="G268" s="9"/>
      <c r="H268" s="19" t="s">
        <v>572</v>
      </c>
      <c r="M268" s="9" t="str">
        <f>IF(D268=$M$3,1,"")</f>
        <v/>
      </c>
      <c r="N268" s="9" t="str">
        <f>IF(D268=$N$3,1,"")</f>
        <v/>
      </c>
      <c r="O268" s="9" t="str">
        <f>IF(D268=$O$3,1,"")</f>
        <v/>
      </c>
      <c r="P268" s="9" t="str">
        <f>IF(D268=$P$3,1,"")</f>
        <v/>
      </c>
      <c r="Q268" s="9" t="str">
        <f>IF(D268=$Q$3,1,"")</f>
        <v/>
      </c>
      <c r="R268" s="9" t="str">
        <f>IF(D268=$R$3,1,"")</f>
        <v/>
      </c>
      <c r="S268" s="9" t="str">
        <f>IF(D268=$S$3,1,"")</f>
        <v/>
      </c>
      <c r="T268" s="9" t="str">
        <f>IF(D268=$T$3,1,"")</f>
        <v/>
      </c>
      <c r="U268" s="9">
        <f>IF(D268=$U$3,1,"")</f>
        <v>1</v>
      </c>
      <c r="V268" s="9" t="str">
        <f>IF(D268=$V$3,1,"")</f>
        <v/>
      </c>
      <c r="W268" s="9" t="str">
        <f>IF(D268=$W$3,1,"")</f>
        <v/>
      </c>
      <c r="X268" s="9" t="str">
        <f>IF(D268=$X$3,1,"")</f>
        <v/>
      </c>
      <c r="Y268" s="9" t="e">
        <f>IF(#REF!=$X$3,1,"")</f>
        <v>#REF!</v>
      </c>
      <c r="Z268" s="9" t="str">
        <f t="shared" si="35"/>
        <v/>
      </c>
      <c r="AA268" s="9" t="str">
        <f t="shared" si="36"/>
        <v/>
      </c>
      <c r="AB268" s="9" t="str">
        <f t="shared" si="37"/>
        <v/>
      </c>
      <c r="AC268" s="9" t="str">
        <f t="shared" si="38"/>
        <v/>
      </c>
      <c r="AD268" s="9" t="str">
        <f t="shared" si="39"/>
        <v/>
      </c>
    </row>
    <row r="269" spans="1:30" ht="21" customHeight="1" x14ac:dyDescent="0.2">
      <c r="A269" s="15"/>
      <c r="B269" s="34" t="s">
        <v>554</v>
      </c>
      <c r="C269" s="20"/>
      <c r="D269" s="21"/>
      <c r="E269" s="20"/>
      <c r="F269" s="18"/>
      <c r="G269" s="9"/>
      <c r="H269" s="19"/>
      <c r="Z269" s="9"/>
      <c r="AA269" s="9"/>
      <c r="AB269" s="9"/>
      <c r="AC269" s="9"/>
      <c r="AD269" s="9"/>
    </row>
    <row r="270" spans="1:30" ht="21" customHeight="1" x14ac:dyDescent="0.2">
      <c r="A270" s="15">
        <f>IF(B270="","",A268+1)</f>
        <v>262</v>
      </c>
      <c r="B270" s="215" t="s">
        <v>189</v>
      </c>
      <c r="C270" s="20" t="str">
        <f t="shared" si="41"/>
        <v>vs</v>
      </c>
      <c r="D270" s="21" t="s">
        <v>9</v>
      </c>
      <c r="E270" s="20">
        <v>2023</v>
      </c>
      <c r="F270" s="18" t="s">
        <v>52</v>
      </c>
      <c r="G270" s="9" t="s">
        <v>573</v>
      </c>
      <c r="H270" s="19" t="s">
        <v>574</v>
      </c>
      <c r="M270" s="9" t="str">
        <f>IF(D270=$M$3,1,"")</f>
        <v/>
      </c>
      <c r="N270" s="9">
        <f>IF(D270=$N$3,1,"")</f>
        <v>1</v>
      </c>
      <c r="O270" s="9" t="str">
        <f>IF(D270=$O$3,1,"")</f>
        <v/>
      </c>
      <c r="P270" s="9" t="str">
        <f>IF(D270=$P$3,1,"")</f>
        <v/>
      </c>
      <c r="Q270" s="9" t="str">
        <f>IF(D270=$Q$3,1,"")</f>
        <v/>
      </c>
      <c r="R270" s="9" t="str">
        <f>IF(D270=$R$3,1,"")</f>
        <v/>
      </c>
      <c r="S270" s="9" t="str">
        <f>IF(D270=$S$3,1,"")</f>
        <v/>
      </c>
      <c r="T270" s="9" t="str">
        <f>IF(D270=$T$3,1,"")</f>
        <v/>
      </c>
      <c r="U270" s="9" t="str">
        <f>IF(D270=$U$3,1,"")</f>
        <v/>
      </c>
      <c r="V270" s="9" t="str">
        <f>IF(D270=$V$3,1,"")</f>
        <v/>
      </c>
      <c r="W270" s="9" t="str">
        <f>IF(D270=$W$3,1,"")</f>
        <v/>
      </c>
      <c r="X270" s="9" t="str">
        <f>IF(D270=$X$3,1,"")</f>
        <v/>
      </c>
      <c r="Y270" s="9" t="e">
        <f>IF(#REF!=$X$3,1,"")</f>
        <v>#REF!</v>
      </c>
      <c r="Z270" s="9" t="str">
        <f t="shared" si="35"/>
        <v/>
      </c>
      <c r="AA270" s="9" t="str">
        <f t="shared" si="36"/>
        <v/>
      </c>
      <c r="AB270" s="9" t="str">
        <f t="shared" si="37"/>
        <v/>
      </c>
      <c r="AC270" s="9" t="str">
        <f t="shared" si="38"/>
        <v/>
      </c>
      <c r="AD270" s="9" t="str">
        <f t="shared" si="39"/>
        <v/>
      </c>
    </row>
    <row r="271" spans="1:30" ht="32.25" customHeight="1" x14ac:dyDescent="0.2">
      <c r="A271" s="15">
        <f t="shared" si="42"/>
        <v>263</v>
      </c>
      <c r="B271" s="34" t="s">
        <v>575</v>
      </c>
      <c r="C271" s="20" t="str">
        <f t="shared" si="41"/>
        <v>vs</v>
      </c>
      <c r="D271" s="21" t="s">
        <v>12</v>
      </c>
      <c r="E271" s="20">
        <v>2023</v>
      </c>
      <c r="F271" s="18" t="s">
        <v>23</v>
      </c>
      <c r="G271" s="9">
        <v>0</v>
      </c>
      <c r="H271" s="19" t="s">
        <v>576</v>
      </c>
      <c r="M271" s="9" t="str">
        <f>IF(D271=$M$3,1,"")</f>
        <v/>
      </c>
      <c r="N271" s="9" t="str">
        <f>IF(D271=$N$3,1,"")</f>
        <v/>
      </c>
      <c r="O271" s="9" t="str">
        <f>IF(D271=$O$3,1,"")</f>
        <v/>
      </c>
      <c r="P271" s="9" t="str">
        <f>IF(D271=$P$3,1,"")</f>
        <v/>
      </c>
      <c r="Q271" s="9">
        <f>IF(D271=$Q$3,1,"")</f>
        <v>1</v>
      </c>
      <c r="R271" s="9" t="str">
        <f>IF(D271=$R$3,1,"")</f>
        <v/>
      </c>
      <c r="S271" s="9" t="str">
        <f>IF(D271=$S$3,1,"")</f>
        <v/>
      </c>
      <c r="T271" s="9" t="str">
        <f>IF(D271=$T$3,1,"")</f>
        <v/>
      </c>
      <c r="U271" s="9" t="str">
        <f>IF(D271=$U$3,1,"")</f>
        <v/>
      </c>
      <c r="V271" s="9" t="str">
        <f>IF(D271=$V$3,1,"")</f>
        <v/>
      </c>
      <c r="W271" s="9" t="str">
        <f>IF(D271=$W$3,1,"")</f>
        <v/>
      </c>
      <c r="X271" s="9" t="str">
        <f>IF(D271=$X$3,1,"")</f>
        <v/>
      </c>
      <c r="Y271" s="9" t="e">
        <f>IF(#REF!=$X$3,1,"")</f>
        <v>#REF!</v>
      </c>
      <c r="Z271" s="9" t="str">
        <f t="shared" si="35"/>
        <v/>
      </c>
      <c r="AA271" s="9" t="str">
        <f t="shared" si="36"/>
        <v/>
      </c>
      <c r="AB271" s="9" t="str">
        <f t="shared" si="37"/>
        <v/>
      </c>
      <c r="AC271" s="9" t="str">
        <f t="shared" si="38"/>
        <v/>
      </c>
      <c r="AD271" s="9" t="str">
        <f t="shared" si="39"/>
        <v/>
      </c>
    </row>
    <row r="272" spans="1:30" ht="30.75" customHeight="1" x14ac:dyDescent="0.2">
      <c r="A272" s="15">
        <f t="shared" si="42"/>
        <v>264</v>
      </c>
      <c r="B272" s="112" t="s">
        <v>577</v>
      </c>
      <c r="C272" s="20" t="str">
        <f t="shared" si="41"/>
        <v>vs</v>
      </c>
      <c r="D272" s="21" t="s">
        <v>15</v>
      </c>
      <c r="E272" s="20">
        <v>2023</v>
      </c>
      <c r="F272" s="18" t="s">
        <v>23</v>
      </c>
      <c r="G272" s="9"/>
      <c r="H272" s="19" t="s">
        <v>578</v>
      </c>
      <c r="M272" s="9" t="str">
        <f>IF(D272=$M$3,1,"")</f>
        <v/>
      </c>
      <c r="N272" s="9" t="str">
        <f>IF(D272=$N$3,1,"")</f>
        <v/>
      </c>
      <c r="O272" s="9" t="str">
        <f>IF(D272=$O$3,1,"")</f>
        <v/>
      </c>
      <c r="P272" s="9" t="str">
        <f>IF(D272=$P$3,1,"")</f>
        <v/>
      </c>
      <c r="Q272" s="9" t="str">
        <f>IF(D272=$Q$3,1,"")</f>
        <v/>
      </c>
      <c r="R272" s="9" t="str">
        <f>IF(D272=$R$3,1,"")</f>
        <v/>
      </c>
      <c r="S272" s="9" t="str">
        <f>IF(D272=$S$3,1,"")</f>
        <v/>
      </c>
      <c r="T272" s="9">
        <f>IF(D272=$T$3,1,"")</f>
        <v>1</v>
      </c>
      <c r="U272" s="9" t="str">
        <f>IF(D272=$U$3,1,"")</f>
        <v/>
      </c>
      <c r="V272" s="9" t="str">
        <f>IF(D272=$V$3,1,"")</f>
        <v/>
      </c>
      <c r="W272" s="9" t="str">
        <f>IF(D272=$W$3,1,"")</f>
        <v/>
      </c>
      <c r="X272" s="9" t="str">
        <f>IF(D272=$X$3,1,"")</f>
        <v/>
      </c>
      <c r="Y272" s="9" t="e">
        <f>IF(#REF!=$X$3,1,"")</f>
        <v>#REF!</v>
      </c>
      <c r="Z272" s="9" t="str">
        <f t="shared" si="35"/>
        <v/>
      </c>
      <c r="AA272" s="9" t="str">
        <f t="shared" si="36"/>
        <v/>
      </c>
      <c r="AB272" s="9" t="str">
        <f t="shared" si="37"/>
        <v/>
      </c>
      <c r="AC272" s="9" t="str">
        <f t="shared" si="38"/>
        <v/>
      </c>
      <c r="AD272" s="9" t="str">
        <f t="shared" si="39"/>
        <v/>
      </c>
    </row>
    <row r="273" spans="1:30" ht="21" customHeight="1" x14ac:dyDescent="0.2">
      <c r="A273" s="198">
        <f t="shared" si="42"/>
        <v>265</v>
      </c>
      <c r="B273" s="199" t="s">
        <v>579</v>
      </c>
      <c r="C273" s="200" t="str">
        <f t="shared" si="41"/>
        <v>vs</v>
      </c>
      <c r="D273" s="201" t="s">
        <v>12</v>
      </c>
      <c r="E273" s="200">
        <v>2023</v>
      </c>
      <c r="F273" s="18" t="s">
        <v>23</v>
      </c>
      <c r="G273" s="9"/>
      <c r="H273" s="19" t="s">
        <v>580</v>
      </c>
      <c r="M273" s="9" t="str">
        <f>IF(D273=$M$3,1,"")</f>
        <v/>
      </c>
      <c r="N273" s="9" t="str">
        <f>IF(D273=$N$3,1,"")</f>
        <v/>
      </c>
      <c r="O273" s="9" t="str">
        <f>IF(D273=$O$3,1,"")</f>
        <v/>
      </c>
      <c r="P273" s="9" t="str">
        <f>IF(D273=$P$3,1,"")</f>
        <v/>
      </c>
      <c r="Q273" s="9">
        <f>IF(D273=$Q$3,1,"")</f>
        <v>1</v>
      </c>
      <c r="R273" s="9" t="str">
        <f>IF(D273=$R$3,1,"")</f>
        <v/>
      </c>
      <c r="S273" s="9" t="str">
        <f>IF(D273=$S$3,1,"")</f>
        <v/>
      </c>
      <c r="T273" s="9" t="str">
        <f>IF(D273=$T$3,1,"")</f>
        <v/>
      </c>
      <c r="U273" s="9" t="str">
        <f>IF(D273=$U$3,1,"")</f>
        <v/>
      </c>
      <c r="V273" s="9" t="str">
        <f>IF(D273=$V$3,1,"")</f>
        <v/>
      </c>
      <c r="W273" s="9" t="str">
        <f>IF(D273=$W$3,1,"")</f>
        <v/>
      </c>
      <c r="X273" s="9" t="str">
        <f>IF(D273=$X$3,1,"")</f>
        <v/>
      </c>
      <c r="Y273" s="9" t="e">
        <f>IF(#REF!=$X$3,1,"")</f>
        <v>#REF!</v>
      </c>
      <c r="Z273" s="9" t="str">
        <f t="shared" si="35"/>
        <v/>
      </c>
      <c r="AA273" s="9" t="str">
        <f t="shared" si="36"/>
        <v/>
      </c>
      <c r="AB273" s="9" t="str">
        <f t="shared" si="37"/>
        <v/>
      </c>
      <c r="AC273" s="9" t="str">
        <f t="shared" si="38"/>
        <v/>
      </c>
      <c r="AD273" s="9" t="str">
        <f t="shared" si="39"/>
        <v/>
      </c>
    </row>
    <row r="274" spans="1:30" ht="21" customHeight="1" x14ac:dyDescent="0.3">
      <c r="A274" s="198">
        <f t="shared" si="42"/>
        <v>266</v>
      </c>
      <c r="B274" s="203" t="s">
        <v>581</v>
      </c>
      <c r="C274" s="200" t="str">
        <f t="shared" si="41"/>
        <v>vs</v>
      </c>
      <c r="D274" s="201" t="s">
        <v>10</v>
      </c>
      <c r="E274" s="200">
        <v>2023</v>
      </c>
      <c r="F274" s="18" t="s">
        <v>23</v>
      </c>
      <c r="G274" s="9"/>
      <c r="H274" s="19" t="s">
        <v>582</v>
      </c>
      <c r="M274" s="9" t="str">
        <f>IF(D274=$M$3,1,"")</f>
        <v/>
      </c>
      <c r="N274" s="9" t="str">
        <f>IF(D274=$N$3,1,"")</f>
        <v/>
      </c>
      <c r="O274" s="9">
        <f>IF(D274=$O$3,1,"")</f>
        <v>1</v>
      </c>
      <c r="P274" s="9" t="str">
        <f>IF(D274=$P$3,1,"")</f>
        <v/>
      </c>
      <c r="Q274" s="9" t="str">
        <f>IF(D274=$Q$3,1,"")</f>
        <v/>
      </c>
      <c r="R274" s="9" t="str">
        <f>IF(D274=$R$3,1,"")</f>
        <v/>
      </c>
      <c r="S274" s="9" t="str">
        <f>IF(D274=$S$3,1,"")</f>
        <v/>
      </c>
      <c r="T274" s="9" t="str">
        <f>IF(D274=$T$3,1,"")</f>
        <v/>
      </c>
      <c r="U274" s="9" t="str">
        <f>IF(D274=$U$3,1,"")</f>
        <v/>
      </c>
      <c r="V274" s="9" t="str">
        <f>IF(D274=$V$3,1,"")</f>
        <v/>
      </c>
      <c r="W274" s="9" t="str">
        <f>IF(D274=$W$3,1,"")</f>
        <v/>
      </c>
      <c r="X274" s="9" t="str">
        <f>IF(D274=$X$3,1,"")</f>
        <v/>
      </c>
      <c r="Y274" s="9" t="e">
        <f>IF(#REF!=$X$3,1,"")</f>
        <v>#REF!</v>
      </c>
      <c r="Z274" s="9" t="str">
        <f t="shared" si="35"/>
        <v/>
      </c>
      <c r="AA274" s="9" t="str">
        <f t="shared" si="36"/>
        <v/>
      </c>
      <c r="AB274" s="9" t="str">
        <f t="shared" si="37"/>
        <v/>
      </c>
      <c r="AC274" s="9" t="str">
        <f t="shared" si="38"/>
        <v/>
      </c>
      <c r="AD274" s="9" t="str">
        <f t="shared" si="39"/>
        <v/>
      </c>
    </row>
    <row r="275" spans="1:30" ht="30" customHeight="1" x14ac:dyDescent="0.2">
      <c r="A275" s="198">
        <f t="shared" si="42"/>
        <v>267</v>
      </c>
      <c r="B275" s="204" t="s">
        <v>583</v>
      </c>
      <c r="C275" s="200" t="str">
        <f t="shared" si="41"/>
        <v>vs</v>
      </c>
      <c r="D275" s="205" t="s">
        <v>9</v>
      </c>
      <c r="E275" s="206">
        <v>2023</v>
      </c>
      <c r="F275" s="18" t="s">
        <v>23</v>
      </c>
      <c r="G275" s="9"/>
      <c r="H275" s="19" t="s">
        <v>584</v>
      </c>
      <c r="M275" s="9" t="str">
        <f>IF(D275=$M$3,1,"")</f>
        <v/>
      </c>
      <c r="N275" s="9">
        <f>IF(D275=$N$3,1,"")</f>
        <v>1</v>
      </c>
      <c r="O275" s="9" t="str">
        <f>IF(D275=$O$3,1,"")</f>
        <v/>
      </c>
      <c r="P275" s="9" t="str">
        <f>IF(D275=$P$3,1,"")</f>
        <v/>
      </c>
      <c r="Q275" s="9" t="str">
        <f>IF(D275=$Q$3,1,"")</f>
        <v/>
      </c>
      <c r="R275" s="9" t="str">
        <f>IF(D275=$R$3,1,"")</f>
        <v/>
      </c>
      <c r="S275" s="9" t="str">
        <f>IF(D275=$S$3,1,"")</f>
        <v/>
      </c>
      <c r="T275" s="9" t="str">
        <f>IF(D275=$T$3,1,"")</f>
        <v/>
      </c>
      <c r="U275" s="9" t="str">
        <f>IF(D275=$U$3,1,"")</f>
        <v/>
      </c>
      <c r="V275" s="9" t="str">
        <f>IF(D275=$V$3,1,"")</f>
        <v/>
      </c>
      <c r="W275" s="9" t="str">
        <f>IF(D275=$W$3,1,"")</f>
        <v/>
      </c>
      <c r="X275" s="9" t="str">
        <f>IF(D275=$X$3,1,"")</f>
        <v/>
      </c>
      <c r="Y275" s="9" t="e">
        <f>IF(#REF!=$X$3,1,"")</f>
        <v>#REF!</v>
      </c>
      <c r="Z275" s="9" t="str">
        <f t="shared" si="35"/>
        <v/>
      </c>
      <c r="AA275" s="9" t="str">
        <f t="shared" si="36"/>
        <v/>
      </c>
      <c r="AB275" s="9" t="str">
        <f t="shared" si="37"/>
        <v/>
      </c>
      <c r="AC275" s="9" t="str">
        <f t="shared" si="38"/>
        <v/>
      </c>
      <c r="AD275" s="9" t="str">
        <f t="shared" si="39"/>
        <v/>
      </c>
    </row>
    <row r="276" spans="1:30" ht="34.5" customHeight="1" x14ac:dyDescent="0.2">
      <c r="A276" s="198">
        <f t="shared" si="42"/>
        <v>268</v>
      </c>
      <c r="B276" s="204" t="s">
        <v>585</v>
      </c>
      <c r="C276" s="202" t="str">
        <f>IF(B276="","","vs")</f>
        <v>vs</v>
      </c>
      <c r="D276" s="205" t="s">
        <v>9</v>
      </c>
      <c r="E276" s="200">
        <v>2023</v>
      </c>
      <c r="F276" s="18" t="s">
        <v>23</v>
      </c>
      <c r="G276" s="9"/>
      <c r="H276" s="19" t="s">
        <v>586</v>
      </c>
      <c r="M276" s="9" t="str">
        <f>IF(D276=$M$3,1,"")</f>
        <v/>
      </c>
      <c r="N276" s="9">
        <f>IF(D276=$N$3,1,"")</f>
        <v>1</v>
      </c>
      <c r="O276" s="9" t="str">
        <f>IF(D276=$O$3,1,"")</f>
        <v/>
      </c>
      <c r="P276" s="9" t="str">
        <f>IF(D276=$P$3,1,"")</f>
        <v/>
      </c>
      <c r="Q276" s="9" t="str">
        <f>IF(D276=$Q$3,1,"")</f>
        <v/>
      </c>
      <c r="R276" s="9" t="str">
        <f>IF(D276=$R$3,1,"")</f>
        <v/>
      </c>
      <c r="S276" s="9" t="str">
        <f>IF(D276=$S$3,1,"")</f>
        <v/>
      </c>
      <c r="T276" s="9" t="str">
        <f>IF(D276=$T$3,1,"")</f>
        <v/>
      </c>
      <c r="U276" s="9" t="str">
        <f>IF(D276=$U$3,1,"")</f>
        <v/>
      </c>
      <c r="V276" s="9" t="str">
        <f>IF(D276=$V$3,1,"")</f>
        <v/>
      </c>
      <c r="W276" s="9" t="str">
        <f>IF(D276=$W$3,1,"")</f>
        <v/>
      </c>
      <c r="X276" s="9" t="str">
        <f>IF(D276=$X$3,1,"")</f>
        <v/>
      </c>
      <c r="Y276" s="9" t="e">
        <f>IF(#REF!=$X$3,1,"")</f>
        <v>#REF!</v>
      </c>
      <c r="Z276" s="9" t="str">
        <f t="shared" si="35"/>
        <v/>
      </c>
      <c r="AA276" s="9" t="str">
        <f t="shared" si="36"/>
        <v/>
      </c>
      <c r="AB276" s="9" t="str">
        <f t="shared" si="37"/>
        <v/>
      </c>
      <c r="AC276" s="9" t="str">
        <f t="shared" si="38"/>
        <v/>
      </c>
      <c r="AD276" s="9" t="str">
        <f t="shared" si="39"/>
        <v/>
      </c>
    </row>
    <row r="277" spans="1:30" ht="22.5" customHeight="1" x14ac:dyDescent="0.3">
      <c r="A277" s="198">
        <v>269</v>
      </c>
      <c r="B277" s="207" t="s">
        <v>587</v>
      </c>
      <c r="C277" s="200" t="str">
        <f t="shared" si="41"/>
        <v>vs</v>
      </c>
      <c r="D277" s="201" t="s">
        <v>9</v>
      </c>
      <c r="E277" s="200">
        <v>2023</v>
      </c>
      <c r="F277" s="18" t="s">
        <v>23</v>
      </c>
      <c r="G277" s="9"/>
      <c r="H277" s="19" t="s">
        <v>588</v>
      </c>
      <c r="M277" s="9" t="str">
        <f>IF(D277=$M$3,1,"")</f>
        <v/>
      </c>
      <c r="N277" s="9">
        <f>IF(D277=$N$3,1,"")</f>
        <v>1</v>
      </c>
      <c r="O277" s="9" t="str">
        <f>IF(D277=$O$3,1,"")</f>
        <v/>
      </c>
      <c r="P277" s="9" t="str">
        <f>IF(D277=$P$3,1,"")</f>
        <v/>
      </c>
      <c r="Q277" s="9" t="str">
        <f>IF(D277=$Q$3,1,"")</f>
        <v/>
      </c>
      <c r="R277" s="9" t="str">
        <f>IF(D277=$R$3,1,"")</f>
        <v/>
      </c>
      <c r="S277" s="9" t="str">
        <f>IF(D277=$S$3,1,"")</f>
        <v/>
      </c>
      <c r="T277" s="9" t="str">
        <f>IF(D277=$T$3,1,"")</f>
        <v/>
      </c>
      <c r="U277" s="9" t="str">
        <f>IF(D277=$U$3,1,"")</f>
        <v/>
      </c>
      <c r="V277" s="9" t="str">
        <f>IF(D277=$V$3,1,"")</f>
        <v/>
      </c>
      <c r="W277" s="9" t="str">
        <f>IF(D277=$W$3,1,"")</f>
        <v/>
      </c>
      <c r="X277" s="9" t="str">
        <f>IF(D277=$X$3,1,"")</f>
        <v/>
      </c>
      <c r="Y277" s="9" t="e">
        <f>IF(#REF!=$X$3,1,"")</f>
        <v>#REF!</v>
      </c>
      <c r="Z277" s="9" t="str">
        <f t="shared" si="35"/>
        <v/>
      </c>
      <c r="AA277" s="9" t="str">
        <f t="shared" si="36"/>
        <v/>
      </c>
      <c r="AB277" s="9" t="str">
        <f t="shared" si="37"/>
        <v/>
      </c>
      <c r="AC277" s="9" t="str">
        <f t="shared" si="38"/>
        <v/>
      </c>
      <c r="AD277" s="9" t="str">
        <f t="shared" si="39"/>
        <v/>
      </c>
    </row>
    <row r="278" spans="1:30" ht="39" customHeight="1" thickBot="1" x14ac:dyDescent="0.25">
      <c r="A278" s="208">
        <f t="shared" si="42"/>
        <v>270</v>
      </c>
      <c r="B278" s="204" t="s">
        <v>589</v>
      </c>
      <c r="C278" s="200" t="str">
        <f t="shared" si="41"/>
        <v>vs</v>
      </c>
      <c r="D278" s="201" t="s">
        <v>16</v>
      </c>
      <c r="E278" s="200">
        <v>2023</v>
      </c>
      <c r="F278" s="55" t="s">
        <v>23</v>
      </c>
      <c r="G278" s="9"/>
      <c r="H278" s="19" t="s">
        <v>590</v>
      </c>
      <c r="M278" s="9" t="str">
        <f>IF(D278=$M$3,1,"")</f>
        <v/>
      </c>
      <c r="N278" s="9" t="str">
        <f>IF(D278=$N$3,1,"")</f>
        <v/>
      </c>
      <c r="O278" s="9" t="str">
        <f>IF(D278=$O$3,1,"")</f>
        <v/>
      </c>
      <c r="P278" s="9" t="str">
        <f>IF(D278=$P$3,1,"")</f>
        <v/>
      </c>
      <c r="Q278" s="9" t="str">
        <f>IF(D278=$Q$3,1,"")</f>
        <v/>
      </c>
      <c r="R278" s="9" t="str">
        <f>IF(D278=$R$3,1,"")</f>
        <v/>
      </c>
      <c r="S278" s="9" t="str">
        <f>IF(D278=$S$3,1,"")</f>
        <v/>
      </c>
      <c r="T278" s="9" t="str">
        <f>IF(D278=$T$3,1,"")</f>
        <v/>
      </c>
      <c r="U278" s="9">
        <f>IF(D278=$U$3,1,"")</f>
        <v>1</v>
      </c>
      <c r="V278" s="9" t="str">
        <f>IF(D278=$V$3,1,"")</f>
        <v/>
      </c>
      <c r="W278" s="9" t="str">
        <f>IF(D278=$W$3,1,"")</f>
        <v/>
      </c>
      <c r="X278" s="9" t="str">
        <f>IF(D278=$X$3,1,"")</f>
        <v/>
      </c>
      <c r="Y278" s="9" t="e">
        <f>IF(#REF!=$X$3,1,"")</f>
        <v>#REF!</v>
      </c>
      <c r="Z278" s="9" t="str">
        <f t="shared" ref="Z278:Z338" si="44">IF(F278=$Z$3,1,"")</f>
        <v/>
      </c>
      <c r="AA278" s="9" t="str">
        <f t="shared" ref="AA278:AA338" si="45">IF(F278=$AA$3,1,"")</f>
        <v/>
      </c>
      <c r="AB278" s="9" t="str">
        <f t="shared" ref="AB278:AB338" si="46">IF(F278=$AB$3,1,"")</f>
        <v/>
      </c>
      <c r="AC278" s="9" t="str">
        <f t="shared" ref="AC278:AC338" si="47">IF(F278=$AC$3,1,"")</f>
        <v/>
      </c>
      <c r="AD278" s="9" t="str">
        <f t="shared" ref="AD278:AD338" si="48">IF(F278=$AE$3,1,"")</f>
        <v/>
      </c>
    </row>
    <row r="279" spans="1:30" ht="21" customHeight="1" x14ac:dyDescent="0.2">
      <c r="A279" s="186">
        <v>271</v>
      </c>
      <c r="B279" s="187" t="s">
        <v>591</v>
      </c>
      <c r="C279" s="188" t="str">
        <f t="shared" si="41"/>
        <v>vs</v>
      </c>
      <c r="D279" s="189" t="s">
        <v>16</v>
      </c>
      <c r="E279" s="188">
        <v>2024</v>
      </c>
      <c r="F279" s="147" t="s">
        <v>23</v>
      </c>
      <c r="G279" s="9" t="s">
        <v>592</v>
      </c>
      <c r="H279" s="19" t="s">
        <v>593</v>
      </c>
      <c r="M279" s="9" t="str">
        <f>IF(D279=$M$3,1,"")</f>
        <v/>
      </c>
      <c r="N279" s="9" t="str">
        <f>IF(D279=$N$3,1,"")</f>
        <v/>
      </c>
      <c r="O279" s="9" t="str">
        <f>IF(D279=$O$3,1,"")</f>
        <v/>
      </c>
      <c r="P279" s="9" t="str">
        <f>IF(D279=$P$3,1,"")</f>
        <v/>
      </c>
      <c r="Q279" s="9" t="str">
        <f>IF(D279=$Q$3,1,"")</f>
        <v/>
      </c>
      <c r="R279" s="9" t="str">
        <f>IF(D279=$R$3,1,"")</f>
        <v/>
      </c>
      <c r="S279" s="9" t="str">
        <f>IF(D279=$S$3,1,"")</f>
        <v/>
      </c>
      <c r="T279" s="9" t="str">
        <f>IF(D279=$T$3,1,"")</f>
        <v/>
      </c>
      <c r="U279" s="9">
        <f>IF(D279=$U$3,1,"")</f>
        <v>1</v>
      </c>
      <c r="V279" s="9" t="str">
        <f>IF(D279=$V$3,1,"")</f>
        <v/>
      </c>
      <c r="W279" s="9" t="str">
        <f>IF(D279=$W$3,1,"")</f>
        <v/>
      </c>
      <c r="X279" s="9" t="str">
        <f>IF(D279=$X$3,1,"")</f>
        <v/>
      </c>
      <c r="Y279" s="9" t="e">
        <f>IF(#REF!=$X$3,1,"")</f>
        <v>#REF!</v>
      </c>
      <c r="Z279" s="9" t="str">
        <f t="shared" si="44"/>
        <v/>
      </c>
      <c r="AA279" s="9" t="str">
        <f t="shared" si="45"/>
        <v/>
      </c>
      <c r="AB279" s="9" t="str">
        <f t="shared" si="46"/>
        <v/>
      </c>
      <c r="AC279" s="9" t="str">
        <f t="shared" si="47"/>
        <v/>
      </c>
      <c r="AD279" s="9" t="str">
        <f t="shared" si="48"/>
        <v/>
      </c>
    </row>
    <row r="280" spans="1:30" ht="21" customHeight="1" x14ac:dyDescent="0.2">
      <c r="A280" s="190">
        <f t="shared" si="42"/>
        <v>272</v>
      </c>
      <c r="B280" s="191" t="s">
        <v>594</v>
      </c>
      <c r="C280" s="192" t="str">
        <f t="shared" si="41"/>
        <v>vs</v>
      </c>
      <c r="D280" s="193" t="s">
        <v>15</v>
      </c>
      <c r="E280" s="192">
        <v>2024</v>
      </c>
      <c r="F280" s="148" t="s">
        <v>23</v>
      </c>
      <c r="G280" s="140">
        <v>45597</v>
      </c>
      <c r="H280" s="150" t="s">
        <v>595</v>
      </c>
      <c r="M280" s="9" t="str">
        <f>IF(D280=$M$3,1,"")</f>
        <v/>
      </c>
      <c r="N280" s="9" t="str">
        <f>IF(D280=$N$3,1,"")</f>
        <v/>
      </c>
      <c r="O280" s="9" t="str">
        <f>IF(D280=$O$3,1,"")</f>
        <v/>
      </c>
      <c r="P280" s="9" t="str">
        <f>IF(D280=$P$3,1,"")</f>
        <v/>
      </c>
      <c r="Q280" s="9" t="str">
        <f>IF(D280=$Q$3,1,"")</f>
        <v/>
      </c>
      <c r="R280" s="9" t="str">
        <f>IF(D280=$R$3,1,"")</f>
        <v/>
      </c>
      <c r="S280" s="9" t="str">
        <f>IF(D280=$S$3,1,"")</f>
        <v/>
      </c>
      <c r="T280" s="9">
        <f>IF(D280=$T$3,1,"")</f>
        <v>1</v>
      </c>
      <c r="U280" s="9" t="str">
        <f>IF(D280=$U$3,1,"")</f>
        <v/>
      </c>
      <c r="V280" s="9" t="str">
        <f>IF(D280=$V$3,1,"")</f>
        <v/>
      </c>
      <c r="W280" s="9" t="str">
        <f>IF(D280=$W$3,1,"")</f>
        <v/>
      </c>
      <c r="X280" s="9" t="str">
        <f>IF(D280=$X$3,1,"")</f>
        <v/>
      </c>
      <c r="Y280" s="9" t="e">
        <f>IF(#REF!=$X$3,1,"")</f>
        <v>#REF!</v>
      </c>
      <c r="Z280" s="9" t="str">
        <f t="shared" si="44"/>
        <v/>
      </c>
      <c r="AA280" s="9" t="str">
        <f t="shared" si="45"/>
        <v/>
      </c>
      <c r="AB280" s="9" t="str">
        <f t="shared" si="46"/>
        <v/>
      </c>
      <c r="AC280" s="9" t="str">
        <f t="shared" si="47"/>
        <v/>
      </c>
      <c r="AD280" s="9" t="str">
        <f t="shared" si="48"/>
        <v/>
      </c>
    </row>
    <row r="281" spans="1:30" ht="21" customHeight="1" x14ac:dyDescent="0.2">
      <c r="A281" s="190">
        <f t="shared" si="42"/>
        <v>273</v>
      </c>
      <c r="B281" s="191" t="s">
        <v>596</v>
      </c>
      <c r="C281" s="192" t="str">
        <f t="shared" ref="C281:C284" si="49">IF(B281="","","vs")</f>
        <v>vs</v>
      </c>
      <c r="D281" s="193" t="s">
        <v>12</v>
      </c>
      <c r="E281" s="192">
        <v>2024</v>
      </c>
      <c r="F281" s="148" t="s">
        <v>47</v>
      </c>
      <c r="G281" s="9"/>
      <c r="H281" s="149" t="s">
        <v>597</v>
      </c>
      <c r="M281" s="9" t="str">
        <f>IF(D281=$M$3,1,"")</f>
        <v/>
      </c>
      <c r="N281" s="9" t="str">
        <f>IF(D281=$N$3,1,"")</f>
        <v/>
      </c>
      <c r="O281" s="9" t="str">
        <f>IF(D281=$O$3,1,"")</f>
        <v/>
      </c>
      <c r="P281" s="9" t="str">
        <f>IF(D281=$P$3,1,"")</f>
        <v/>
      </c>
      <c r="Q281" s="9">
        <f>IF(D281=$Q$3,1,"")</f>
        <v>1</v>
      </c>
      <c r="R281" s="9" t="str">
        <f>IF(D281=$R$3,1,"")</f>
        <v/>
      </c>
      <c r="S281" s="9" t="str">
        <f>IF(D281=$S$3,1,"")</f>
        <v/>
      </c>
      <c r="T281" s="9" t="str">
        <f>IF(D281=$T$3,1,"")</f>
        <v/>
      </c>
      <c r="U281" s="9" t="str">
        <f>IF(D281=$U$3,1,"")</f>
        <v/>
      </c>
      <c r="V281" s="9" t="str">
        <f>IF(D281=$V$3,1,"")</f>
        <v/>
      </c>
      <c r="W281" s="9" t="str">
        <f>IF(D281=$W$3,1,"")</f>
        <v/>
      </c>
      <c r="X281" s="9" t="str">
        <f>IF(D281=$X$3,1,"")</f>
        <v/>
      </c>
      <c r="Y281" s="9" t="e">
        <f>IF(#REF!=$X$3,1,"")</f>
        <v>#REF!</v>
      </c>
      <c r="Z281" s="9" t="str">
        <f t="shared" si="44"/>
        <v/>
      </c>
      <c r="AA281" s="9" t="str">
        <f t="shared" si="45"/>
        <v/>
      </c>
      <c r="AB281" s="9" t="str">
        <f t="shared" si="46"/>
        <v/>
      </c>
      <c r="AC281" s="9" t="str">
        <f t="shared" si="47"/>
        <v/>
      </c>
      <c r="AD281" s="9" t="str">
        <f t="shared" si="48"/>
        <v/>
      </c>
    </row>
    <row r="282" spans="1:30" ht="21" customHeight="1" x14ac:dyDescent="0.2">
      <c r="A282" s="190">
        <f t="shared" si="42"/>
        <v>274</v>
      </c>
      <c r="B282" s="191" t="s">
        <v>598</v>
      </c>
      <c r="C282" s="192" t="str">
        <f t="shared" si="49"/>
        <v>vs</v>
      </c>
      <c r="D282" s="193" t="s">
        <v>12</v>
      </c>
      <c r="E282" s="192">
        <v>2024</v>
      </c>
      <c r="F282" s="148" t="s">
        <v>23</v>
      </c>
      <c r="G282" s="9"/>
      <c r="H282" s="19" t="s">
        <v>599</v>
      </c>
      <c r="M282" s="9" t="str">
        <f>IF(D282=$M$3,1,"")</f>
        <v/>
      </c>
      <c r="N282" s="9" t="str">
        <f>IF(D282=$N$3,1,"")</f>
        <v/>
      </c>
      <c r="O282" s="9" t="str">
        <f>IF(D282=$O$3,1,"")</f>
        <v/>
      </c>
      <c r="P282" s="9" t="str">
        <f>IF(D282=$P$3,1,"")</f>
        <v/>
      </c>
      <c r="Q282" s="9">
        <f>IF(D282=$Q$3,1,"")</f>
        <v>1</v>
      </c>
      <c r="R282" s="9" t="str">
        <f>IF(D282=$R$3,1,"")</f>
        <v/>
      </c>
      <c r="S282" s="9" t="str">
        <f>IF(D282=$S$3,1,"")</f>
        <v/>
      </c>
      <c r="T282" s="9" t="str">
        <f>IF(D282=$T$3,1,"")</f>
        <v/>
      </c>
      <c r="U282" s="9" t="str">
        <f>IF(D282=$U$3,1,"")</f>
        <v/>
      </c>
      <c r="V282" s="9" t="str">
        <f>IF(D282=$V$3,1,"")</f>
        <v/>
      </c>
      <c r="W282" s="9" t="str">
        <f>IF(D282=$W$3,1,"")</f>
        <v/>
      </c>
      <c r="X282" s="9" t="str">
        <f>IF(D282=$X$3,1,"")</f>
        <v/>
      </c>
      <c r="Y282" s="9" t="e">
        <f>IF(#REF!=$X$3,1,"")</f>
        <v>#REF!</v>
      </c>
      <c r="Z282" s="9" t="str">
        <f t="shared" si="44"/>
        <v/>
      </c>
      <c r="AA282" s="9" t="str">
        <f t="shared" si="45"/>
        <v/>
      </c>
      <c r="AB282" s="9" t="str">
        <f t="shared" si="46"/>
        <v/>
      </c>
      <c r="AC282" s="9" t="str">
        <f t="shared" si="47"/>
        <v/>
      </c>
      <c r="AD282" s="9" t="str">
        <f t="shared" si="48"/>
        <v/>
      </c>
    </row>
    <row r="283" spans="1:30" ht="21" customHeight="1" thickBot="1" x14ac:dyDescent="0.25">
      <c r="A283" s="194">
        <f t="shared" si="42"/>
        <v>275</v>
      </c>
      <c r="B283" s="195" t="s">
        <v>600</v>
      </c>
      <c r="C283" s="196" t="str">
        <f t="shared" si="49"/>
        <v>vs</v>
      </c>
      <c r="D283" s="197" t="s">
        <v>9</v>
      </c>
      <c r="E283" s="196">
        <v>2024</v>
      </c>
      <c r="F283" s="11" t="s">
        <v>47</v>
      </c>
      <c r="G283" s="9"/>
      <c r="H283" s="19" t="s">
        <v>601</v>
      </c>
      <c r="M283" s="9" t="str">
        <f>IF(D283=$M$3,1,"")</f>
        <v/>
      </c>
      <c r="N283" s="9">
        <f>IF(D283=$N$3,1,"")</f>
        <v>1</v>
      </c>
      <c r="O283" s="9" t="str">
        <f>IF(D283=$O$3,1,"")</f>
        <v/>
      </c>
      <c r="P283" s="9" t="str">
        <f>IF(D283=$P$3,1,"")</f>
        <v/>
      </c>
      <c r="Q283" s="9" t="str">
        <f>IF(D283=$Q$3,1,"")</f>
        <v/>
      </c>
      <c r="R283" s="9" t="str">
        <f>IF(D283=$R$3,1,"")</f>
        <v/>
      </c>
      <c r="S283" s="9" t="str">
        <f>IF(D283=$S$3,1,"")</f>
        <v/>
      </c>
      <c r="T283" s="9" t="str">
        <f>IF(D283=$T$3,1,"")</f>
        <v/>
      </c>
      <c r="U283" s="9" t="str">
        <f>IF(D283=$U$3,1,"")</f>
        <v/>
      </c>
      <c r="V283" s="9" t="str">
        <f>IF(D283=$V$3,1,"")</f>
        <v/>
      </c>
      <c r="W283" s="9" t="str">
        <f>IF(D283=$W$3,1,"")</f>
        <v/>
      </c>
      <c r="X283" s="9" t="str">
        <f>IF(D283=$X$3,1,"")</f>
        <v/>
      </c>
      <c r="Y283" s="9" t="e">
        <f>IF(#REF!=$X$3,1,"")</f>
        <v>#REF!</v>
      </c>
      <c r="Z283" s="9" t="str">
        <f t="shared" si="44"/>
        <v/>
      </c>
      <c r="AA283" s="9" t="str">
        <f t="shared" si="45"/>
        <v/>
      </c>
      <c r="AB283" s="9" t="str">
        <f t="shared" si="46"/>
        <v/>
      </c>
      <c r="AC283" s="9" t="str">
        <f t="shared" si="47"/>
        <v/>
      </c>
      <c r="AD283" s="9" t="str">
        <f t="shared" si="48"/>
        <v/>
      </c>
    </row>
    <row r="284" spans="1:30" ht="21" customHeight="1" x14ac:dyDescent="0.2">
      <c r="A284" s="169">
        <f t="shared" si="42"/>
        <v>276</v>
      </c>
      <c r="B284" s="170" t="s">
        <v>602</v>
      </c>
      <c r="C284" s="171" t="str">
        <f t="shared" si="49"/>
        <v>vs</v>
      </c>
      <c r="D284" s="172" t="s">
        <v>8</v>
      </c>
      <c r="E284" s="171">
        <v>2024</v>
      </c>
      <c r="F284" s="173" t="s">
        <v>23</v>
      </c>
      <c r="G284" s="9"/>
      <c r="H284" s="19" t="s">
        <v>603</v>
      </c>
      <c r="M284" s="9">
        <f>IF(D284=$M$3,1,"")</f>
        <v>1</v>
      </c>
      <c r="N284" s="9" t="str">
        <f>IF(D284=$N$3,1,"")</f>
        <v/>
      </c>
      <c r="O284" s="9" t="str">
        <f>IF(D284=$O$3,1,"")</f>
        <v/>
      </c>
      <c r="P284" s="9" t="str">
        <f>IF(D284=$P$3,1,"")</f>
        <v/>
      </c>
      <c r="Q284" s="9" t="str">
        <f>IF(D284=$Q$3,1,"")</f>
        <v/>
      </c>
      <c r="R284" s="9" t="str">
        <f>IF(D284=$R$3,1,"")</f>
        <v/>
      </c>
      <c r="S284" s="9" t="str">
        <f>IF(D284=$S$3,1,"")</f>
        <v/>
      </c>
      <c r="T284" s="9" t="str">
        <f>IF(D284=$T$3,1,"")</f>
        <v/>
      </c>
      <c r="U284" s="9" t="str">
        <f>IF(D284=$U$3,1,"")</f>
        <v/>
      </c>
      <c r="V284" s="9" t="str">
        <f>IF(D284=$V$3,1,"")</f>
        <v/>
      </c>
      <c r="W284" s="9" t="str">
        <f>IF(D284=$W$3,1,"")</f>
        <v/>
      </c>
      <c r="X284" s="9" t="str">
        <f>IF(D284=$X$3,1,"")</f>
        <v/>
      </c>
      <c r="Y284" s="9" t="e">
        <f>IF(#REF!=$X$3,1,"")</f>
        <v>#REF!</v>
      </c>
      <c r="Z284" s="9" t="str">
        <f t="shared" si="44"/>
        <v/>
      </c>
      <c r="AA284" s="9" t="str">
        <f t="shared" si="45"/>
        <v/>
      </c>
      <c r="AB284" s="9" t="str">
        <f t="shared" si="46"/>
        <v/>
      </c>
      <c r="AC284" s="9" t="str">
        <f t="shared" si="47"/>
        <v/>
      </c>
      <c r="AD284" s="9" t="str">
        <f t="shared" si="48"/>
        <v/>
      </c>
    </row>
    <row r="285" spans="1:30" ht="21" customHeight="1" x14ac:dyDescent="0.2">
      <c r="A285" s="174">
        <f t="shared" si="42"/>
        <v>277</v>
      </c>
      <c r="B285" s="175" t="s">
        <v>470</v>
      </c>
      <c r="C285" s="176"/>
      <c r="D285" s="177" t="s">
        <v>12</v>
      </c>
      <c r="E285" s="176">
        <v>2024</v>
      </c>
      <c r="F285" s="209" t="s">
        <v>23</v>
      </c>
      <c r="G285" s="210" t="s">
        <v>604</v>
      </c>
      <c r="H285" s="19" t="s">
        <v>605</v>
      </c>
      <c r="M285" s="9" t="str">
        <f>IF(D285=$M$3,1,"")</f>
        <v/>
      </c>
      <c r="N285" s="9" t="str">
        <f>IF(D285=$N$3,1,"")</f>
        <v/>
      </c>
      <c r="O285" s="9" t="str">
        <f>IF(D285=$O$3,1,"")</f>
        <v/>
      </c>
      <c r="P285" s="9" t="str">
        <f>IF(D285=$P$3,1,"")</f>
        <v/>
      </c>
      <c r="Q285" s="9">
        <f>IF(D285=$Q$3,1,"")</f>
        <v>1</v>
      </c>
      <c r="R285" s="9" t="str">
        <f>IF(D285=$R$3,1,"")</f>
        <v/>
      </c>
      <c r="S285" s="9" t="str">
        <f>IF(D285=$S$3,1,"")</f>
        <v/>
      </c>
      <c r="T285" s="9" t="str">
        <f>IF(D285=$T$3,1,"")</f>
        <v/>
      </c>
      <c r="U285" s="9" t="str">
        <f>IF(D285=$U$3,1,"")</f>
        <v/>
      </c>
      <c r="V285" s="9" t="str">
        <f>IF(D285=$V$3,1,"")</f>
        <v/>
      </c>
      <c r="W285" s="9" t="str">
        <f>IF(D285=$W$3,1,"")</f>
        <v/>
      </c>
      <c r="X285" s="9" t="str">
        <f>IF(D285=$X$3,1,"")</f>
        <v/>
      </c>
      <c r="Y285" s="9" t="e">
        <f>IF(#REF!=$X$3,1,"")</f>
        <v>#REF!</v>
      </c>
      <c r="Z285" s="9" t="str">
        <f t="shared" si="44"/>
        <v/>
      </c>
      <c r="AA285" s="9" t="str">
        <f t="shared" si="45"/>
        <v/>
      </c>
      <c r="AB285" s="9" t="str">
        <f t="shared" si="46"/>
        <v/>
      </c>
      <c r="AC285" s="9" t="str">
        <f t="shared" si="47"/>
        <v/>
      </c>
      <c r="AD285" s="9" t="str">
        <f t="shared" si="48"/>
        <v/>
      </c>
    </row>
    <row r="286" spans="1:30" ht="21" customHeight="1" x14ac:dyDescent="0.2">
      <c r="A286" s="174">
        <f t="shared" si="42"/>
        <v>278</v>
      </c>
      <c r="B286" s="179" t="s">
        <v>317</v>
      </c>
      <c r="C286" s="176" t="str">
        <f t="shared" si="41"/>
        <v>vs</v>
      </c>
      <c r="D286" s="177" t="s">
        <v>12</v>
      </c>
      <c r="E286" s="176">
        <v>2024</v>
      </c>
      <c r="F286" s="178" t="s">
        <v>33</v>
      </c>
      <c r="G286" s="9"/>
      <c r="H286" s="19" t="s">
        <v>606</v>
      </c>
      <c r="M286" s="9" t="str">
        <f>IF(D286=$M$3,1,"")</f>
        <v/>
      </c>
      <c r="N286" s="9" t="str">
        <f>IF(D286=$N$3,1,"")</f>
        <v/>
      </c>
      <c r="O286" s="9" t="str">
        <f>IF(D286=$O$3,1,"")</f>
        <v/>
      </c>
      <c r="P286" s="9" t="str">
        <f>IF(D286=$P$3,1,"")</f>
        <v/>
      </c>
      <c r="Q286" s="9">
        <f>IF(D286=$Q$3,1,"")</f>
        <v>1</v>
      </c>
      <c r="R286" s="9" t="str">
        <f>IF(D286=$R$3,1,"")</f>
        <v/>
      </c>
      <c r="S286" s="9" t="str">
        <f>IF(D286=$S$3,1,"")</f>
        <v/>
      </c>
      <c r="T286" s="9" t="str">
        <f>IF(D286=$T$3,1,"")</f>
        <v/>
      </c>
      <c r="U286" s="9" t="str">
        <f>IF(D286=$U$3,1,"")</f>
        <v/>
      </c>
      <c r="V286" s="9" t="str">
        <f>IF(D286=$V$3,1,"")</f>
        <v/>
      </c>
      <c r="W286" s="9" t="str">
        <f>IF(D286=$W$3,1,"")</f>
        <v/>
      </c>
      <c r="X286" s="9" t="str">
        <f>IF(D286=$X$3,1,"")</f>
        <v/>
      </c>
      <c r="Y286" s="9" t="e">
        <f>IF(#REF!=$X$3,1,"")</f>
        <v>#REF!</v>
      </c>
      <c r="Z286" s="9" t="str">
        <f t="shared" si="44"/>
        <v/>
      </c>
      <c r="AA286" s="9" t="str">
        <f t="shared" si="45"/>
        <v/>
      </c>
      <c r="AB286" s="9" t="str">
        <f t="shared" si="46"/>
        <v/>
      </c>
      <c r="AC286" s="9" t="str">
        <f t="shared" si="47"/>
        <v/>
      </c>
      <c r="AD286" s="9" t="str">
        <f t="shared" si="48"/>
        <v/>
      </c>
    </row>
    <row r="287" spans="1:30" ht="21" customHeight="1" x14ac:dyDescent="0.2">
      <c r="A287" s="174">
        <f t="shared" si="42"/>
        <v>279</v>
      </c>
      <c r="B287" s="180" t="s">
        <v>607</v>
      </c>
      <c r="C287" s="176" t="str">
        <f t="shared" ref="C287:C290" si="50">IF(B287="","","vs")</f>
        <v>vs</v>
      </c>
      <c r="D287" s="177" t="s">
        <v>18</v>
      </c>
      <c r="E287" s="176">
        <v>2024</v>
      </c>
      <c r="F287" s="178" t="s">
        <v>23</v>
      </c>
      <c r="G287" s="9"/>
      <c r="H287" s="19" t="s">
        <v>608</v>
      </c>
      <c r="M287" s="9" t="str">
        <f>IF(D287=$M$3,1,"")</f>
        <v/>
      </c>
      <c r="N287" s="9" t="str">
        <f>IF(D287=$N$3,1,"")</f>
        <v/>
      </c>
      <c r="O287" s="9" t="str">
        <f>IF(D287=$O$3,1,"")</f>
        <v/>
      </c>
      <c r="P287" s="9" t="str">
        <f>IF(D287=$P$3,1,"")</f>
        <v/>
      </c>
      <c r="Q287" s="9" t="str">
        <f>IF(D287=$Q$3,1,"")</f>
        <v/>
      </c>
      <c r="R287" s="9" t="str">
        <f>IF(D287=$R$3,1,"")</f>
        <v/>
      </c>
      <c r="S287" s="9" t="str">
        <f>IF(D287=$S$3,1,"")</f>
        <v/>
      </c>
      <c r="T287" s="9" t="str">
        <f>IF(D287=$T$3,1,"")</f>
        <v/>
      </c>
      <c r="U287" s="9" t="str">
        <f>IF(D287=$U$3,1,"")</f>
        <v/>
      </c>
      <c r="V287" s="9" t="str">
        <f>IF(D287=$V$3,1,"")</f>
        <v/>
      </c>
      <c r="W287" s="9">
        <f>IF(D287=$W$3,1,"")</f>
        <v>1</v>
      </c>
      <c r="X287" s="9" t="str">
        <f>IF(D287=$X$3,1,"")</f>
        <v/>
      </c>
      <c r="Y287" s="9" t="e">
        <f>IF(#REF!=$X$3,1,"")</f>
        <v>#REF!</v>
      </c>
      <c r="Z287" s="9" t="str">
        <f t="shared" si="44"/>
        <v/>
      </c>
      <c r="AA287" s="9" t="str">
        <f t="shared" si="45"/>
        <v/>
      </c>
      <c r="AB287" s="9" t="str">
        <f t="shared" si="46"/>
        <v/>
      </c>
      <c r="AC287" s="9" t="str">
        <f t="shared" si="47"/>
        <v/>
      </c>
      <c r="AD287" s="9" t="str">
        <f t="shared" si="48"/>
        <v/>
      </c>
    </row>
    <row r="288" spans="1:30" ht="21" customHeight="1" x14ac:dyDescent="0.2">
      <c r="A288" s="174">
        <f t="shared" si="42"/>
        <v>280</v>
      </c>
      <c r="B288" s="293" t="s">
        <v>609</v>
      </c>
      <c r="C288" s="176" t="str">
        <f t="shared" si="50"/>
        <v>vs</v>
      </c>
      <c r="D288" s="177" t="s">
        <v>9</v>
      </c>
      <c r="E288" s="176">
        <v>2024</v>
      </c>
      <c r="F288" s="178" t="s">
        <v>23</v>
      </c>
      <c r="G288" s="9"/>
      <c r="H288" s="19" t="s">
        <v>610</v>
      </c>
      <c r="M288" s="9" t="str">
        <f>IF(D288=$M$3,1,"")</f>
        <v/>
      </c>
      <c r="N288" s="9">
        <f>IF(D288=$N$3,1,"")</f>
        <v>1</v>
      </c>
      <c r="O288" s="9" t="str">
        <f>IF(D288=$O$3,1,"")</f>
        <v/>
      </c>
      <c r="P288" s="9" t="str">
        <f>IF(D288=$P$3,1,"")</f>
        <v/>
      </c>
      <c r="Q288" s="9" t="str">
        <f>IF(D288=$Q$3,1,"")</f>
        <v/>
      </c>
      <c r="R288" s="9" t="str">
        <f>IF(D288=$R$3,1,"")</f>
        <v/>
      </c>
      <c r="S288" s="9" t="str">
        <f>IF(D288=$S$3,1,"")</f>
        <v/>
      </c>
      <c r="T288" s="9" t="str">
        <f>IF(D288=$T$3,1,"")</f>
        <v/>
      </c>
      <c r="U288" s="9" t="str">
        <f>IF(D288=$U$3,1,"")</f>
        <v/>
      </c>
      <c r="V288" s="9" t="str">
        <f>IF(D288=$V$3,1,"")</f>
        <v/>
      </c>
      <c r="W288" s="9" t="str">
        <f>IF(D288=$W$3,1,"")</f>
        <v/>
      </c>
      <c r="X288" s="9" t="str">
        <f>IF(D288=$X$3,1,"")</f>
        <v/>
      </c>
      <c r="Y288" s="9" t="e">
        <f>IF(#REF!=$X$3,1,"")</f>
        <v>#REF!</v>
      </c>
      <c r="Z288" s="9" t="str">
        <f t="shared" si="44"/>
        <v/>
      </c>
      <c r="AA288" s="9" t="str">
        <f t="shared" si="45"/>
        <v/>
      </c>
      <c r="AB288" s="9" t="str">
        <f t="shared" si="46"/>
        <v/>
      </c>
      <c r="AC288" s="9" t="str">
        <f t="shared" si="47"/>
        <v/>
      </c>
      <c r="AD288" s="9" t="str">
        <f t="shared" si="48"/>
        <v/>
      </c>
    </row>
    <row r="289" spans="1:30" ht="21" customHeight="1" x14ac:dyDescent="0.2">
      <c r="A289" s="174">
        <f t="shared" si="42"/>
        <v>281</v>
      </c>
      <c r="B289" s="180" t="s">
        <v>611</v>
      </c>
      <c r="C289" s="176" t="str">
        <f t="shared" si="50"/>
        <v>vs</v>
      </c>
      <c r="D289" s="177" t="s">
        <v>8</v>
      </c>
      <c r="E289" s="176">
        <v>2024</v>
      </c>
      <c r="F289" s="178" t="s">
        <v>23</v>
      </c>
      <c r="G289" s="9"/>
      <c r="H289" s="19" t="s">
        <v>612</v>
      </c>
      <c r="M289" s="9">
        <f>IF(D289=$M$3,1,"")</f>
        <v>1</v>
      </c>
      <c r="N289" s="9" t="str">
        <f>IF(D289=$N$3,1,"")</f>
        <v/>
      </c>
      <c r="O289" s="9" t="str">
        <f>IF(D289=$O$3,1,"")</f>
        <v/>
      </c>
      <c r="P289" s="9" t="str">
        <f>IF(D289=$P$3,1,"")</f>
        <v/>
      </c>
      <c r="Q289" s="9" t="str">
        <f>IF(D289=$Q$3,1,"")</f>
        <v/>
      </c>
      <c r="R289" s="9" t="str">
        <f>IF(D289=$R$3,1,"")</f>
        <v/>
      </c>
      <c r="S289" s="9" t="str">
        <f>IF(D289=$S$3,1,"")</f>
        <v/>
      </c>
      <c r="T289" s="9" t="str">
        <f>IF(D289=$T$3,1,"")</f>
        <v/>
      </c>
      <c r="U289" s="9" t="str">
        <f>IF(D289=$U$3,1,"")</f>
        <v/>
      </c>
      <c r="V289" s="9" t="str">
        <f>IF(D289=$V$3,1,"")</f>
        <v/>
      </c>
      <c r="W289" s="9" t="str">
        <f>IF(D289=$W$3,1,"")</f>
        <v/>
      </c>
      <c r="X289" s="9" t="str">
        <f>IF(D289=$X$3,1,"")</f>
        <v/>
      </c>
      <c r="Y289" s="9" t="e">
        <f>IF(#REF!=$X$3,1,"")</f>
        <v>#REF!</v>
      </c>
      <c r="Z289" s="9" t="str">
        <f t="shared" si="44"/>
        <v/>
      </c>
      <c r="AA289" s="9" t="str">
        <f t="shared" si="45"/>
        <v/>
      </c>
      <c r="AB289" s="9" t="str">
        <f t="shared" si="46"/>
        <v/>
      </c>
      <c r="AC289" s="9" t="str">
        <f t="shared" si="47"/>
        <v/>
      </c>
      <c r="AD289" s="9" t="str">
        <f t="shared" si="48"/>
        <v/>
      </c>
    </row>
    <row r="290" spans="1:30" ht="21" customHeight="1" thickBot="1" x14ac:dyDescent="0.25">
      <c r="A290" s="181">
        <f t="shared" si="42"/>
        <v>282</v>
      </c>
      <c r="B290" s="182" t="s">
        <v>613</v>
      </c>
      <c r="C290" s="183" t="str">
        <f t="shared" si="50"/>
        <v>vs</v>
      </c>
      <c r="D290" s="184" t="s">
        <v>12</v>
      </c>
      <c r="E290" s="183">
        <v>2024</v>
      </c>
      <c r="F290" s="185" t="s">
        <v>47</v>
      </c>
      <c r="G290" s="9"/>
      <c r="H290" s="19" t="s">
        <v>614</v>
      </c>
      <c r="M290" s="9" t="str">
        <f>IF(D290=$M$3,1,"")</f>
        <v/>
      </c>
      <c r="N290" s="9" t="str">
        <f>IF(D290=$N$3,1,"")</f>
        <v/>
      </c>
      <c r="O290" s="9" t="str">
        <f>IF(D290=$O$3,1,"")</f>
        <v/>
      </c>
      <c r="P290" s="9" t="str">
        <f>IF(D290=$P$3,1,"")</f>
        <v/>
      </c>
      <c r="Q290" s="9">
        <f>IF(D290=$Q$3,1,"")</f>
        <v>1</v>
      </c>
      <c r="R290" s="9" t="str">
        <f>IF(D290=$R$3,1,"")</f>
        <v/>
      </c>
      <c r="S290" s="9" t="str">
        <f>IF(D290=$S$3,1,"")</f>
        <v/>
      </c>
      <c r="T290" s="9" t="str">
        <f>IF(D290=$T$3,1,"")</f>
        <v/>
      </c>
      <c r="U290" s="9" t="str">
        <f>IF(D290=$U$3,1,"")</f>
        <v/>
      </c>
      <c r="V290" s="9" t="str">
        <f>IF(D290=$V$3,1,"")</f>
        <v/>
      </c>
      <c r="W290" s="9" t="str">
        <f>IF(D290=$W$3,1,"")</f>
        <v/>
      </c>
      <c r="X290" s="9" t="str">
        <f>IF(D290=$X$3,1,"")</f>
        <v/>
      </c>
      <c r="Y290" s="9" t="e">
        <f>IF(#REF!=$X$3,1,"")</f>
        <v>#REF!</v>
      </c>
      <c r="Z290" s="9" t="str">
        <f t="shared" si="44"/>
        <v/>
      </c>
      <c r="AA290" s="9" t="str">
        <f t="shared" si="45"/>
        <v/>
      </c>
      <c r="AB290" s="9" t="str">
        <f t="shared" si="46"/>
        <v/>
      </c>
      <c r="AC290" s="9" t="str">
        <f t="shared" si="47"/>
        <v/>
      </c>
      <c r="AD290" s="9" t="str">
        <f t="shared" si="48"/>
        <v/>
      </c>
    </row>
    <row r="291" spans="1:30" ht="21" customHeight="1" x14ac:dyDescent="0.2">
      <c r="A291" s="151">
        <f t="shared" si="42"/>
        <v>283</v>
      </c>
      <c r="B291" s="152" t="s">
        <v>615</v>
      </c>
      <c r="C291" s="153" t="str">
        <f t="shared" ref="C291" si="51">IF(B291="","","vs")</f>
        <v>vs</v>
      </c>
      <c r="D291" s="154" t="s">
        <v>16</v>
      </c>
      <c r="E291" s="153">
        <v>2024</v>
      </c>
      <c r="F291" s="155" t="s">
        <v>23</v>
      </c>
      <c r="G291" s="9"/>
      <c r="H291" s="19" t="s">
        <v>616</v>
      </c>
      <c r="M291" s="9" t="str">
        <f>IF(D291=$M$3,1,"")</f>
        <v/>
      </c>
      <c r="N291" s="9" t="str">
        <f>IF(D291=$N$3,1,"")</f>
        <v/>
      </c>
      <c r="O291" s="9" t="str">
        <f>IF(D291=$O$3,1,"")</f>
        <v/>
      </c>
      <c r="P291" s="9" t="str">
        <f>IF(D291=$P$3,1,"")</f>
        <v/>
      </c>
      <c r="Q291" s="9" t="str">
        <f>IF(D291=$Q$3,1,"")</f>
        <v/>
      </c>
      <c r="R291" s="9" t="str">
        <f>IF(D291=$R$3,1,"")</f>
        <v/>
      </c>
      <c r="S291" s="9" t="str">
        <f>IF(D291=$S$3,1,"")</f>
        <v/>
      </c>
      <c r="T291" s="9" t="str">
        <f>IF(D291=$T$3,1,"")</f>
        <v/>
      </c>
      <c r="U291" s="9">
        <f>IF(D291=$U$3,1,"")</f>
        <v>1</v>
      </c>
      <c r="V291" s="9" t="str">
        <f>IF(D291=$V$3,1,"")</f>
        <v/>
      </c>
      <c r="W291" s="9" t="str">
        <f>IF(D291=$W$3,1,"")</f>
        <v/>
      </c>
      <c r="X291" s="9" t="str">
        <f>IF(D291=$X$3,1,"")</f>
        <v/>
      </c>
      <c r="Y291" s="9" t="e">
        <f>IF(#REF!=$X$3,1,"")</f>
        <v>#REF!</v>
      </c>
      <c r="Z291" s="9" t="str">
        <f t="shared" si="44"/>
        <v/>
      </c>
      <c r="AA291" s="9" t="str">
        <f t="shared" si="45"/>
        <v/>
      </c>
      <c r="AB291" s="9" t="str">
        <f t="shared" si="46"/>
        <v/>
      </c>
      <c r="AC291" s="9" t="str">
        <f t="shared" si="47"/>
        <v/>
      </c>
      <c r="AD291" s="9" t="str">
        <f t="shared" si="48"/>
        <v/>
      </c>
    </row>
    <row r="292" spans="1:30" ht="21" customHeight="1" x14ac:dyDescent="0.2">
      <c r="A292" s="156">
        <f t="shared" si="42"/>
        <v>284</v>
      </c>
      <c r="B292" s="157" t="s">
        <v>617</v>
      </c>
      <c r="C292" s="158" t="str">
        <f t="shared" si="41"/>
        <v>vs</v>
      </c>
      <c r="D292" s="159" t="s">
        <v>12</v>
      </c>
      <c r="E292" s="158">
        <v>2024</v>
      </c>
      <c r="F292" s="160" t="s">
        <v>23</v>
      </c>
      <c r="G292" s="9"/>
      <c r="H292" s="19" t="s">
        <v>618</v>
      </c>
      <c r="M292" s="9" t="str">
        <f>IF(D292=$M$3,1,"")</f>
        <v/>
      </c>
      <c r="N292" s="9" t="str">
        <f>IF(D292=$N$3,1,"")</f>
        <v/>
      </c>
      <c r="O292" s="9" t="str">
        <f>IF(D292=$O$3,1,"")</f>
        <v/>
      </c>
      <c r="P292" s="9" t="str">
        <f>IF(D292=$P$3,1,"")</f>
        <v/>
      </c>
      <c r="Q292" s="9">
        <f>IF(D292=$Q$3,1,"")</f>
        <v>1</v>
      </c>
      <c r="R292" s="9" t="str">
        <f>IF(D292=$R$3,1,"")</f>
        <v/>
      </c>
      <c r="S292" s="9" t="str">
        <f>IF(D292=$S$3,1,"")</f>
        <v/>
      </c>
      <c r="T292" s="9" t="str">
        <f>IF(D292=$T$3,1,"")</f>
        <v/>
      </c>
      <c r="U292" s="9" t="str">
        <f>IF(D292=$U$3,1,"")</f>
        <v/>
      </c>
      <c r="V292" s="9" t="str">
        <f>IF(D292=$V$3,1,"")</f>
        <v/>
      </c>
      <c r="W292" s="9" t="str">
        <f>IF(D292=$W$3,1,"")</f>
        <v/>
      </c>
      <c r="X292" s="9" t="str">
        <f>IF(D292=$X$3,1,"")</f>
        <v/>
      </c>
      <c r="Y292" s="9" t="e">
        <f>IF(#REF!=$X$3,1,"")</f>
        <v>#REF!</v>
      </c>
      <c r="Z292" s="9" t="str">
        <f t="shared" si="44"/>
        <v/>
      </c>
      <c r="AA292" s="9" t="str">
        <f t="shared" si="45"/>
        <v/>
      </c>
      <c r="AB292" s="9" t="str">
        <f t="shared" si="46"/>
        <v/>
      </c>
      <c r="AC292" s="9" t="str">
        <f t="shared" si="47"/>
        <v/>
      </c>
      <c r="AD292" s="9" t="str">
        <f t="shared" si="48"/>
        <v/>
      </c>
    </row>
    <row r="293" spans="1:30" ht="21" customHeight="1" x14ac:dyDescent="0.2">
      <c r="A293" s="156">
        <f t="shared" si="42"/>
        <v>285</v>
      </c>
      <c r="B293" s="157" t="s">
        <v>619</v>
      </c>
      <c r="C293" s="158" t="str">
        <f t="shared" si="41"/>
        <v>vs</v>
      </c>
      <c r="D293" s="159" t="s">
        <v>8</v>
      </c>
      <c r="E293" s="158">
        <v>2024</v>
      </c>
      <c r="F293" s="160" t="s">
        <v>23</v>
      </c>
      <c r="G293" s="9"/>
      <c r="H293" s="19" t="s">
        <v>620</v>
      </c>
      <c r="M293" s="9">
        <f>IF(D293=$M$3,1,"")</f>
        <v>1</v>
      </c>
      <c r="N293" s="9" t="str">
        <f>IF(D293=$N$3,1,"")</f>
        <v/>
      </c>
      <c r="O293" s="9" t="str">
        <f>IF(D293=$O$3,1,"")</f>
        <v/>
      </c>
      <c r="P293" s="9" t="str">
        <f>IF(D293=$P$3,1,"")</f>
        <v/>
      </c>
      <c r="Q293" s="9" t="str">
        <f>IF(D293=$Q$3,1,"")</f>
        <v/>
      </c>
      <c r="R293" s="9" t="str">
        <f>IF(D293=$R$3,1,"")</f>
        <v/>
      </c>
      <c r="S293" s="9" t="str">
        <f>IF(D293=$S$3,1,"")</f>
        <v/>
      </c>
      <c r="T293" s="9" t="str">
        <f>IF(D293=$T$3,1,"")</f>
        <v/>
      </c>
      <c r="U293" s="9" t="str">
        <f>IF(D293=$U$3,1,"")</f>
        <v/>
      </c>
      <c r="V293" s="9" t="str">
        <f>IF(D293=$V$3,1,"")</f>
        <v/>
      </c>
      <c r="W293" s="9" t="str">
        <f>IF(D293=$W$3,1,"")</f>
        <v/>
      </c>
      <c r="X293" s="9" t="str">
        <f>IF(D293=$X$3,1,"")</f>
        <v/>
      </c>
      <c r="Y293" s="9" t="e">
        <f>IF(#REF!=$X$3,1,"")</f>
        <v>#REF!</v>
      </c>
      <c r="Z293" s="9" t="str">
        <f t="shared" si="44"/>
        <v/>
      </c>
      <c r="AA293" s="9" t="str">
        <f t="shared" si="45"/>
        <v/>
      </c>
      <c r="AB293" s="9" t="str">
        <f t="shared" si="46"/>
        <v/>
      </c>
      <c r="AC293" s="9" t="str">
        <f t="shared" si="47"/>
        <v/>
      </c>
      <c r="AD293" s="9" t="str">
        <f t="shared" si="48"/>
        <v/>
      </c>
    </row>
    <row r="294" spans="1:30" ht="21" customHeight="1" x14ac:dyDescent="0.2">
      <c r="A294" s="156">
        <f t="shared" si="42"/>
        <v>286</v>
      </c>
      <c r="B294" s="157" t="s">
        <v>621</v>
      </c>
      <c r="C294" s="158" t="str">
        <f t="shared" si="41"/>
        <v>vs</v>
      </c>
      <c r="D294" s="159" t="s">
        <v>15</v>
      </c>
      <c r="E294" s="158">
        <v>2024</v>
      </c>
      <c r="F294" s="160" t="s">
        <v>23</v>
      </c>
      <c r="G294" s="9"/>
      <c r="H294" s="19" t="s">
        <v>622</v>
      </c>
      <c r="M294" s="9" t="str">
        <f>IF(D294=$M$3,1,"")</f>
        <v/>
      </c>
      <c r="N294" s="9" t="str">
        <f>IF(D294=$N$3,1,"")</f>
        <v/>
      </c>
      <c r="O294" s="9" t="str">
        <f>IF(D294=$O$3,1,"")</f>
        <v/>
      </c>
      <c r="P294" s="9" t="str">
        <f>IF(D294=$P$3,1,"")</f>
        <v/>
      </c>
      <c r="Q294" s="9" t="str">
        <f>IF(D294=$Q$3,1,"")</f>
        <v/>
      </c>
      <c r="R294" s="9" t="str">
        <f>IF(D294=$R$3,1,"")</f>
        <v/>
      </c>
      <c r="S294" s="9" t="str">
        <f>IF(D294=$S$3,1,"")</f>
        <v/>
      </c>
      <c r="T294" s="9">
        <f>IF(D294=$T$3,1,"")</f>
        <v>1</v>
      </c>
      <c r="U294" s="9" t="str">
        <f>IF(D294=$U$3,1,"")</f>
        <v/>
      </c>
      <c r="V294" s="9" t="str">
        <f>IF(D294=$V$3,1,"")</f>
        <v/>
      </c>
      <c r="W294" s="9" t="str">
        <f>IF(D294=$W$3,1,"")</f>
        <v/>
      </c>
      <c r="X294" s="9" t="str">
        <f>IF(D294=$X$3,1,"")</f>
        <v/>
      </c>
      <c r="Y294" s="9" t="e">
        <f>IF(#REF!=$X$3,1,"")</f>
        <v>#REF!</v>
      </c>
      <c r="Z294" s="9" t="str">
        <f t="shared" si="44"/>
        <v/>
      </c>
      <c r="AA294" s="9" t="str">
        <f t="shared" si="45"/>
        <v/>
      </c>
      <c r="AB294" s="9" t="str">
        <f t="shared" si="46"/>
        <v/>
      </c>
      <c r="AC294" s="9" t="str">
        <f t="shared" si="47"/>
        <v/>
      </c>
      <c r="AD294" s="9" t="str">
        <f t="shared" si="48"/>
        <v/>
      </c>
    </row>
    <row r="295" spans="1:30" ht="21" customHeight="1" x14ac:dyDescent="0.2">
      <c r="A295" s="156">
        <f t="shared" si="42"/>
        <v>287</v>
      </c>
      <c r="B295" s="161" t="s">
        <v>623</v>
      </c>
      <c r="C295" s="162" t="str">
        <f t="shared" si="41"/>
        <v>vs</v>
      </c>
      <c r="D295" s="163" t="s">
        <v>12</v>
      </c>
      <c r="E295" s="162">
        <v>2024</v>
      </c>
      <c r="F295" s="160" t="s">
        <v>23</v>
      </c>
      <c r="G295" s="9"/>
      <c r="H295" s="19" t="s">
        <v>624</v>
      </c>
      <c r="M295" s="9" t="str">
        <f>IF(D295=$M$3,1,"")</f>
        <v/>
      </c>
      <c r="N295" s="9" t="str">
        <f>IF(D295=$N$3,1,"")</f>
        <v/>
      </c>
      <c r="O295" s="9" t="str">
        <f>IF(D295=$O$3,1,"")</f>
        <v/>
      </c>
      <c r="P295" s="9" t="str">
        <f>IF(D295=$P$3,1,"")</f>
        <v/>
      </c>
      <c r="Q295" s="9">
        <f>IF(D295=$Q$3,1,"")</f>
        <v>1</v>
      </c>
      <c r="R295" s="9" t="str">
        <f>IF(D295=$R$3,1,"")</f>
        <v/>
      </c>
      <c r="S295" s="9" t="str">
        <f>IF(D295=$S$3,1,"")</f>
        <v/>
      </c>
      <c r="T295" s="9" t="str">
        <f>IF(D295=$T$3,1,"")</f>
        <v/>
      </c>
      <c r="U295" s="9" t="str">
        <f>IF(D295=$U$3,1,"")</f>
        <v/>
      </c>
      <c r="V295" s="9" t="str">
        <f>IF(D295=$V$3,1,"")</f>
        <v/>
      </c>
      <c r="W295" s="9" t="str">
        <f>IF(D295=$W$3,1,"")</f>
        <v/>
      </c>
      <c r="X295" s="9" t="str">
        <f>IF(D295=$X$3,1,"")</f>
        <v/>
      </c>
      <c r="Y295" s="9" t="e">
        <f>IF(#REF!=$X$3,1,"")</f>
        <v>#REF!</v>
      </c>
      <c r="Z295" s="9" t="str">
        <f t="shared" si="44"/>
        <v/>
      </c>
      <c r="AA295" s="9" t="str">
        <f t="shared" si="45"/>
        <v/>
      </c>
      <c r="AB295" s="9" t="str">
        <f t="shared" si="46"/>
        <v/>
      </c>
      <c r="AC295" s="9" t="str">
        <f t="shared" si="47"/>
        <v/>
      </c>
      <c r="AD295" s="9" t="str">
        <f t="shared" si="48"/>
        <v/>
      </c>
    </row>
    <row r="296" spans="1:30" ht="21" customHeight="1" thickBot="1" x14ac:dyDescent="0.25">
      <c r="A296" s="164">
        <f t="shared" si="42"/>
        <v>288</v>
      </c>
      <c r="B296" s="165" t="s">
        <v>625</v>
      </c>
      <c r="C296" s="166" t="str">
        <f t="shared" si="41"/>
        <v>vs</v>
      </c>
      <c r="D296" s="167" t="s">
        <v>13</v>
      </c>
      <c r="E296" s="166">
        <v>2024</v>
      </c>
      <c r="F296" s="168" t="s">
        <v>23</v>
      </c>
      <c r="G296" s="9"/>
      <c r="H296" s="19" t="s">
        <v>626</v>
      </c>
      <c r="M296" s="9" t="str">
        <f>IF(D296=$M$3,1,"")</f>
        <v/>
      </c>
      <c r="N296" s="9" t="str">
        <f>IF(D296=$N$3,1,"")</f>
        <v/>
      </c>
      <c r="O296" s="9" t="str">
        <f>IF(D296=$O$3,1,"")</f>
        <v/>
      </c>
      <c r="P296" s="9" t="str">
        <f>IF(D296=$P$3,1,"")</f>
        <v/>
      </c>
      <c r="Q296" s="9" t="str">
        <f>IF(D296=$Q$3,1,"")</f>
        <v/>
      </c>
      <c r="R296" s="9">
        <f>IF(D296=$R$3,1,"")</f>
        <v>1</v>
      </c>
      <c r="S296" s="9" t="str">
        <f>IF(D296=$S$3,1,"")</f>
        <v/>
      </c>
      <c r="T296" s="9" t="str">
        <f>IF(D296=$T$3,1,"")</f>
        <v/>
      </c>
      <c r="U296" s="9" t="str">
        <f>IF(D296=$U$3,1,"")</f>
        <v/>
      </c>
      <c r="V296" s="9" t="str">
        <f>IF(D296=$V$3,1,"")</f>
        <v/>
      </c>
      <c r="W296" s="9" t="str">
        <f>IF(D296=$W$3,1,"")</f>
        <v/>
      </c>
      <c r="X296" s="9" t="str">
        <f>IF(D296=$X$3,1,"")</f>
        <v/>
      </c>
      <c r="Y296" s="9" t="e">
        <f>IF(#REF!=$X$3,1,"")</f>
        <v>#REF!</v>
      </c>
      <c r="Z296" s="9" t="str">
        <f t="shared" si="44"/>
        <v/>
      </c>
      <c r="AA296" s="9" t="str">
        <f t="shared" si="45"/>
        <v/>
      </c>
      <c r="AB296" s="9" t="str">
        <f t="shared" si="46"/>
        <v/>
      </c>
      <c r="AC296" s="9" t="str">
        <f t="shared" si="47"/>
        <v/>
      </c>
      <c r="AD296" s="9" t="str">
        <f t="shared" si="48"/>
        <v/>
      </c>
    </row>
    <row r="297" spans="1:30" ht="21" customHeight="1" x14ac:dyDescent="0.2">
      <c r="A297" s="214">
        <f t="shared" si="42"/>
        <v>289</v>
      </c>
      <c r="B297" s="211" t="s">
        <v>627</v>
      </c>
      <c r="C297" s="212" t="str">
        <f t="shared" si="41"/>
        <v>vs</v>
      </c>
      <c r="D297" s="213" t="s">
        <v>13</v>
      </c>
      <c r="E297" s="212">
        <v>2024</v>
      </c>
      <c r="F297" s="103" t="s">
        <v>23</v>
      </c>
      <c r="G297" s="9"/>
      <c r="H297" s="19" t="s">
        <v>628</v>
      </c>
      <c r="M297" s="9" t="str">
        <f>IF(D297=$M$3,1,"")</f>
        <v/>
      </c>
      <c r="N297" s="9" t="str">
        <f>IF(D297=$N$3,1,"")</f>
        <v/>
      </c>
      <c r="O297" s="9" t="str">
        <f>IF(D297=$O$3,1,"")</f>
        <v/>
      </c>
      <c r="P297" s="9" t="str">
        <f>IF(D297=$P$3,1,"")</f>
        <v/>
      </c>
      <c r="Q297" s="9" t="str">
        <f>IF(D297=$Q$3,1,"")</f>
        <v/>
      </c>
      <c r="R297" s="9">
        <f>IF(D297=$R$3,1,"")</f>
        <v>1</v>
      </c>
      <c r="S297" s="9" t="str">
        <f>IF(D297=$S$3,1,"")</f>
        <v/>
      </c>
      <c r="T297" s="9" t="str">
        <f>IF(D297=$T$3,1,"")</f>
        <v/>
      </c>
      <c r="U297" s="9" t="str">
        <f>IF(D297=$U$3,1,"")</f>
        <v/>
      </c>
      <c r="V297" s="9" t="str">
        <f>IF(D297=$V$3,1,"")</f>
        <v/>
      </c>
      <c r="W297" s="9" t="str">
        <f>IF(D297=$W$3,1,"")</f>
        <v/>
      </c>
      <c r="X297" s="9" t="str">
        <f>IF(D297=$X$3,1,"")</f>
        <v/>
      </c>
      <c r="Y297" s="9" t="e">
        <f>IF(#REF!=$X$3,1,"")</f>
        <v>#REF!</v>
      </c>
      <c r="Z297" s="9" t="str">
        <f t="shared" si="44"/>
        <v/>
      </c>
      <c r="AA297" s="9" t="str">
        <f t="shared" si="45"/>
        <v/>
      </c>
      <c r="AB297" s="9" t="str">
        <f t="shared" si="46"/>
        <v/>
      </c>
      <c r="AC297" s="9" t="str">
        <f t="shared" si="47"/>
        <v/>
      </c>
      <c r="AD297" s="9" t="str">
        <f t="shared" si="48"/>
        <v/>
      </c>
    </row>
    <row r="298" spans="1:30" ht="21" customHeight="1" thickBot="1" x14ac:dyDescent="0.25">
      <c r="A298" s="216">
        <f t="shared" si="42"/>
        <v>290</v>
      </c>
      <c r="B298" s="161" t="s">
        <v>629</v>
      </c>
      <c r="C298" s="162" t="str">
        <f t="shared" si="41"/>
        <v>vs</v>
      </c>
      <c r="D298" s="163" t="s">
        <v>12</v>
      </c>
      <c r="E298" s="162">
        <v>2024</v>
      </c>
      <c r="F298" s="55" t="s">
        <v>23</v>
      </c>
      <c r="G298" s="9"/>
      <c r="H298" s="19" t="s">
        <v>630</v>
      </c>
      <c r="M298" s="9" t="str">
        <f>IF(D298=$M$3,1,"")</f>
        <v/>
      </c>
      <c r="N298" s="9" t="str">
        <f>IF(D298=$N$3,1,"")</f>
        <v/>
      </c>
      <c r="O298" s="9" t="str">
        <f>IF(D298=$O$3,1,"")</f>
        <v/>
      </c>
      <c r="P298" s="9" t="str">
        <f>IF(D298=$P$3,1,"")</f>
        <v/>
      </c>
      <c r="Q298" s="9">
        <f>IF(D298=$Q$3,1,"")</f>
        <v>1</v>
      </c>
      <c r="R298" s="9" t="str">
        <f>IF(D298=$R$3,1,"")</f>
        <v/>
      </c>
      <c r="S298" s="9" t="str">
        <f>IF(D298=$S$3,1,"")</f>
        <v/>
      </c>
      <c r="T298" s="9" t="str">
        <f>IF(D298=$T$3,1,"")</f>
        <v/>
      </c>
      <c r="U298" s="9" t="str">
        <f>IF(D298=$U$3,1,"")</f>
        <v/>
      </c>
      <c r="V298" s="9" t="str">
        <f>IF(D298=$V$3,1,"")</f>
        <v/>
      </c>
      <c r="W298" s="9" t="str">
        <f>IF(D298=$W$3,1,"")</f>
        <v/>
      </c>
      <c r="X298" s="9" t="str">
        <f>IF(D298=$X$3,1,"")</f>
        <v/>
      </c>
      <c r="Y298" s="9" t="e">
        <f>IF(#REF!=$X$3,1,"")</f>
        <v>#REF!</v>
      </c>
      <c r="Z298" s="9" t="str">
        <f t="shared" si="44"/>
        <v/>
      </c>
      <c r="AA298" s="9" t="str">
        <f t="shared" si="45"/>
        <v/>
      </c>
      <c r="AB298" s="9" t="str">
        <f t="shared" si="46"/>
        <v/>
      </c>
      <c r="AC298" s="9" t="str">
        <f t="shared" si="47"/>
        <v/>
      </c>
      <c r="AD298" s="9" t="str">
        <f t="shared" si="48"/>
        <v/>
      </c>
    </row>
    <row r="299" spans="1:30" ht="33.75" customHeight="1" x14ac:dyDescent="0.2">
      <c r="A299" s="217">
        <f t="shared" si="42"/>
        <v>291</v>
      </c>
      <c r="B299" s="218" t="s">
        <v>631</v>
      </c>
      <c r="C299" s="219"/>
      <c r="D299" s="220" t="s">
        <v>15</v>
      </c>
      <c r="E299" s="219">
        <v>2024</v>
      </c>
      <c r="F299" s="221" t="s">
        <v>47</v>
      </c>
      <c r="G299" s="9"/>
      <c r="H299" s="19" t="s">
        <v>632</v>
      </c>
      <c r="M299" s="9" t="str">
        <f>IF(D299=$M$3,1,"")</f>
        <v/>
      </c>
      <c r="N299" s="9" t="str">
        <f>IF(D299=$N$3,1,"")</f>
        <v/>
      </c>
      <c r="O299" s="9" t="str">
        <f>IF(D299=$O$3,1,"")</f>
        <v/>
      </c>
      <c r="P299" s="9" t="str">
        <f>IF(D299=$P$3,1,"")</f>
        <v/>
      </c>
      <c r="Q299" s="9" t="str">
        <f>IF(D299=$Q$3,1,"")</f>
        <v/>
      </c>
      <c r="R299" s="9" t="str">
        <f>IF(D299=$R$3,1,"")</f>
        <v/>
      </c>
      <c r="S299" s="9" t="str">
        <f>IF(D299=$S$3,1,"")</f>
        <v/>
      </c>
      <c r="T299" s="9">
        <f>IF(D299=$T$3,1,"")</f>
        <v>1</v>
      </c>
      <c r="U299" s="9" t="str">
        <f>IF(D299=$U$3,1,"")</f>
        <v/>
      </c>
      <c r="V299" s="9" t="str">
        <f>IF(D299=$V$3,1,"")</f>
        <v/>
      </c>
      <c r="W299" s="9" t="str">
        <f>IF(D299=$W$3,1,"")</f>
        <v/>
      </c>
      <c r="X299" s="9" t="str">
        <f>IF(D299=$X$3,1,"")</f>
        <v/>
      </c>
      <c r="Y299" s="9" t="e">
        <f>IF(#REF!=$X$3,1,"")</f>
        <v>#REF!</v>
      </c>
      <c r="Z299" s="9" t="str">
        <f t="shared" si="44"/>
        <v/>
      </c>
      <c r="AA299" s="9" t="str">
        <f t="shared" si="45"/>
        <v/>
      </c>
      <c r="AB299" s="9" t="str">
        <f t="shared" si="46"/>
        <v/>
      </c>
      <c r="AC299" s="9" t="str">
        <f t="shared" si="47"/>
        <v/>
      </c>
      <c r="AD299" s="9" t="str">
        <f t="shared" si="48"/>
        <v/>
      </c>
    </row>
    <row r="300" spans="1:30" ht="33.75" customHeight="1" thickBot="1" x14ac:dyDescent="0.25">
      <c r="A300" s="222">
        <f t="shared" ref="A300:A303" si="52">IF(B300="","",A299+1)</f>
        <v>292</v>
      </c>
      <c r="B300" s="223" t="s">
        <v>633</v>
      </c>
      <c r="C300" s="224"/>
      <c r="D300" s="225" t="s">
        <v>9</v>
      </c>
      <c r="E300" s="224">
        <v>2024</v>
      </c>
      <c r="F300" s="226" t="s">
        <v>47</v>
      </c>
      <c r="G300" s="9"/>
      <c r="H300" s="19" t="s">
        <v>634</v>
      </c>
      <c r="Z300" s="9"/>
      <c r="AA300" s="9"/>
      <c r="AB300" s="9"/>
      <c r="AC300" s="9"/>
      <c r="AD300" s="9"/>
    </row>
    <row r="301" spans="1:30" ht="21" customHeight="1" thickBot="1" x14ac:dyDescent="0.25">
      <c r="A301" s="232">
        <f t="shared" si="52"/>
        <v>293</v>
      </c>
      <c r="B301" s="227" t="s">
        <v>613</v>
      </c>
      <c r="C301" s="228" t="str">
        <f t="shared" ref="C301" si="53">IF(B301="","","vs")</f>
        <v>vs</v>
      </c>
      <c r="D301" s="229" t="s">
        <v>12</v>
      </c>
      <c r="E301" s="228">
        <v>2024</v>
      </c>
      <c r="F301" s="230" t="s">
        <v>23</v>
      </c>
      <c r="G301" s="9"/>
      <c r="H301" s="19" t="s">
        <v>614</v>
      </c>
      <c r="M301" s="9" t="str">
        <f>IF(D301=$M$3,1,"")</f>
        <v/>
      </c>
      <c r="N301" s="9" t="str">
        <f>IF(D301=$N$3,1,"")</f>
        <v/>
      </c>
      <c r="O301" s="9" t="str">
        <f>IF(D301=$O$3,1,"")</f>
        <v/>
      </c>
      <c r="P301" s="9" t="str">
        <f>IF(D301=$P$3,1,"")</f>
        <v/>
      </c>
      <c r="Q301" s="9">
        <f>IF(D301=$Q$3,1,"")</f>
        <v>1</v>
      </c>
      <c r="R301" s="9" t="str">
        <f>IF(D301=$R$3,1,"")</f>
        <v/>
      </c>
      <c r="S301" s="9" t="str">
        <f>IF(D301=$S$3,1,"")</f>
        <v/>
      </c>
      <c r="T301" s="9" t="str">
        <f>IF(D301=$T$3,1,"")</f>
        <v/>
      </c>
      <c r="U301" s="9" t="str">
        <f>IF(D301=$U$3,1,"")</f>
        <v/>
      </c>
      <c r="V301" s="9" t="str">
        <f>IF(D301=$V$3,1,"")</f>
        <v/>
      </c>
      <c r="W301" s="9" t="str">
        <f>IF(D301=$W$3,1,"")</f>
        <v/>
      </c>
      <c r="X301" s="9" t="str">
        <f>IF(D301=$X$3,1,"")</f>
        <v/>
      </c>
      <c r="Y301" s="9" t="e">
        <f>IF(#REF!=$X$3,1,"")</f>
        <v>#REF!</v>
      </c>
      <c r="Z301" s="9" t="str">
        <f t="shared" si="44"/>
        <v/>
      </c>
      <c r="AA301" s="9" t="str">
        <f t="shared" si="45"/>
        <v/>
      </c>
      <c r="AB301" s="9" t="str">
        <f t="shared" si="46"/>
        <v/>
      </c>
      <c r="AC301" s="9" t="str">
        <f t="shared" si="47"/>
        <v/>
      </c>
      <c r="AD301" s="9" t="str">
        <f t="shared" si="48"/>
        <v/>
      </c>
    </row>
    <row r="302" spans="1:30" ht="21" customHeight="1" thickBot="1" x14ac:dyDescent="0.25">
      <c r="A302" s="232">
        <f t="shared" si="52"/>
        <v>294</v>
      </c>
      <c r="B302" s="227" t="s">
        <v>633</v>
      </c>
      <c r="C302" s="228"/>
      <c r="D302" s="229" t="s">
        <v>9</v>
      </c>
      <c r="E302" s="228">
        <v>2024</v>
      </c>
      <c r="F302" s="231" t="s">
        <v>23</v>
      </c>
      <c r="G302" s="9"/>
      <c r="H302" s="19" t="s">
        <v>634</v>
      </c>
      <c r="M302" s="9" t="str">
        <f>IF(D302=$M$3,1,"")</f>
        <v/>
      </c>
      <c r="N302" s="9">
        <f>IF(D302=$N$3,1,"")</f>
        <v>1</v>
      </c>
      <c r="O302" s="9" t="str">
        <f>IF(D302=$O$3,1,"")</f>
        <v/>
      </c>
      <c r="P302" s="9" t="str">
        <f>IF(D302=$P$3,1,"")</f>
        <v/>
      </c>
      <c r="Q302" s="9" t="str">
        <f>IF(D302=$Q$3,1,"")</f>
        <v/>
      </c>
      <c r="R302" s="9" t="str">
        <f>IF(D302=$R$3,1,"")</f>
        <v/>
      </c>
      <c r="S302" s="9" t="str">
        <f>IF(D302=$S$3,1,"")</f>
        <v/>
      </c>
      <c r="T302" s="9" t="str">
        <f>IF(D302=$T$3,1,"")</f>
        <v/>
      </c>
      <c r="U302" s="9" t="str">
        <f>IF(D302=$U$3,1,"")</f>
        <v/>
      </c>
      <c r="V302" s="9" t="str">
        <f>IF(D302=$V$3,1,"")</f>
        <v/>
      </c>
      <c r="W302" s="9" t="str">
        <f>IF(D302=$W$3,1,"")</f>
        <v/>
      </c>
      <c r="X302" s="9" t="str">
        <f>IF(D302=$X$3,1,"")</f>
        <v/>
      </c>
      <c r="Y302" s="9" t="e">
        <f>IF(#REF!=$X$3,1,"")</f>
        <v>#REF!</v>
      </c>
      <c r="Z302" s="9" t="str">
        <f t="shared" si="44"/>
        <v/>
      </c>
      <c r="AA302" s="9" t="str">
        <f t="shared" si="45"/>
        <v/>
      </c>
      <c r="AB302" s="9" t="str">
        <f t="shared" si="46"/>
        <v/>
      </c>
      <c r="AC302" s="9" t="str">
        <f t="shared" si="47"/>
        <v/>
      </c>
      <c r="AD302" s="9" t="str">
        <f t="shared" si="48"/>
        <v/>
      </c>
    </row>
    <row r="303" spans="1:30" ht="21" customHeight="1" x14ac:dyDescent="0.2">
      <c r="A303" s="234">
        <f t="shared" si="52"/>
        <v>295</v>
      </c>
      <c r="B303" s="235" t="s">
        <v>635</v>
      </c>
      <c r="C303" s="236" t="str">
        <f t="shared" ref="C303" si="54">IF(B303="","","vs")</f>
        <v>vs</v>
      </c>
      <c r="D303" s="237" t="s">
        <v>9</v>
      </c>
      <c r="E303" s="238">
        <v>2024</v>
      </c>
      <c r="F303" s="18" t="s">
        <v>47</v>
      </c>
      <c r="G303" s="9"/>
      <c r="H303" s="19" t="s">
        <v>636</v>
      </c>
      <c r="M303" s="9" t="str">
        <f>IF(D303=$M$3,1,"")</f>
        <v/>
      </c>
      <c r="N303" s="9">
        <f>IF(D303=$N$3,1,"")</f>
        <v>1</v>
      </c>
      <c r="O303" s="9" t="str">
        <f>IF(D303=$O$3,1,"")</f>
        <v/>
      </c>
      <c r="P303" s="9" t="str">
        <f>IF(D303=$P$3,1,"")</f>
        <v/>
      </c>
      <c r="Q303" s="9" t="str">
        <f>IF(D303=$Q$3,1,"")</f>
        <v/>
      </c>
      <c r="R303" s="9" t="str">
        <f>IF(D303=$R$3,1,"")</f>
        <v/>
      </c>
      <c r="S303" s="9" t="str">
        <f>IF(D303=$S$3,1,"")</f>
        <v/>
      </c>
      <c r="T303" s="9" t="str">
        <f>IF(D303=$T$3,1,"")</f>
        <v/>
      </c>
      <c r="U303" s="9" t="str">
        <f>IF(D303=$U$3,1,"")</f>
        <v/>
      </c>
      <c r="V303" s="9" t="str">
        <f>IF(D303=$V$3,1,"")</f>
        <v/>
      </c>
      <c r="W303" s="9" t="str">
        <f>IF(D303=$W$3,1,"")</f>
        <v/>
      </c>
      <c r="X303" s="9" t="str">
        <f>IF(D303=$X$3,1,"")</f>
        <v/>
      </c>
      <c r="Y303" s="9" t="e">
        <f>IF(#REF!=$X$3,1,"")</f>
        <v>#REF!</v>
      </c>
      <c r="Z303" s="9" t="str">
        <f t="shared" si="44"/>
        <v/>
      </c>
      <c r="AA303" s="9" t="str">
        <f t="shared" si="45"/>
        <v/>
      </c>
      <c r="AB303" s="9" t="str">
        <f t="shared" si="46"/>
        <v/>
      </c>
      <c r="AC303" s="9" t="str">
        <f t="shared" si="47"/>
        <v/>
      </c>
      <c r="AD303" s="9" t="str">
        <f t="shared" si="48"/>
        <v/>
      </c>
    </row>
    <row r="304" spans="1:30" ht="21" customHeight="1" x14ac:dyDescent="0.2">
      <c r="A304" s="239">
        <f t="shared" si="42"/>
        <v>296</v>
      </c>
      <c r="B304" s="240" t="s">
        <v>637</v>
      </c>
      <c r="C304" s="236" t="str">
        <f t="shared" ref="C304" si="55">IF(B304="","","vs")</f>
        <v>vs</v>
      </c>
      <c r="D304" s="237" t="s">
        <v>20</v>
      </c>
      <c r="E304" s="236">
        <v>2024</v>
      </c>
      <c r="F304" s="18" t="s">
        <v>23</v>
      </c>
      <c r="G304" s="9"/>
      <c r="H304" s="19" t="s">
        <v>638</v>
      </c>
      <c r="M304" s="9" t="str">
        <f>IF(D304=$M$3,1,"")</f>
        <v/>
      </c>
      <c r="N304" s="9" t="str">
        <f>IF(D304=$N$3,1,"")</f>
        <v/>
      </c>
      <c r="O304" s="9" t="str">
        <f>IF(D304=$O$3,1,"")</f>
        <v/>
      </c>
      <c r="P304" s="9" t="str">
        <f>IF(D304=$P$3,1,"")</f>
        <v/>
      </c>
      <c r="Q304" s="9" t="str">
        <f>IF(D304=$Q$3,1,"")</f>
        <v/>
      </c>
      <c r="R304" s="9" t="str">
        <f>IF(D304=$R$3,1,"")</f>
        <v/>
      </c>
      <c r="S304" s="9" t="str">
        <f>IF(D304=$S$3,1,"")</f>
        <v/>
      </c>
      <c r="T304" s="9" t="str">
        <f>IF(D304=$T$3,1,"")</f>
        <v/>
      </c>
      <c r="U304" s="9" t="str">
        <f>IF(D304=$U$3,1,"")</f>
        <v/>
      </c>
      <c r="V304" s="9" t="str">
        <f>IF(D304=$V$3,1,"")</f>
        <v/>
      </c>
      <c r="W304" s="9" t="str">
        <f>IF(D304=$W$3,1,"")</f>
        <v/>
      </c>
      <c r="X304" s="9" t="str">
        <f>IF(D304=$X$3,1,"")</f>
        <v/>
      </c>
      <c r="Y304" s="9" t="e">
        <f>IF(#REF!=$X$3,1,"")</f>
        <v>#REF!</v>
      </c>
      <c r="Z304" s="9" t="str">
        <f t="shared" si="44"/>
        <v/>
      </c>
      <c r="AA304" s="9" t="str">
        <f t="shared" si="45"/>
        <v/>
      </c>
      <c r="AB304" s="9" t="str">
        <f t="shared" si="46"/>
        <v/>
      </c>
      <c r="AC304" s="9" t="str">
        <f t="shared" si="47"/>
        <v/>
      </c>
      <c r="AD304" s="9" t="str">
        <f t="shared" si="48"/>
        <v/>
      </c>
    </row>
    <row r="305" spans="1:30" ht="21" customHeight="1" x14ac:dyDescent="0.2">
      <c r="A305" s="241">
        <f t="shared" si="42"/>
        <v>297</v>
      </c>
      <c r="B305" s="240" t="s">
        <v>639</v>
      </c>
      <c r="C305" s="236" t="str">
        <f t="shared" si="41"/>
        <v>vs</v>
      </c>
      <c r="D305" s="237" t="s">
        <v>8</v>
      </c>
      <c r="E305" s="236">
        <v>2024</v>
      </c>
      <c r="F305" s="18" t="s">
        <v>23</v>
      </c>
      <c r="G305" s="9"/>
      <c r="H305" s="19" t="s">
        <v>640</v>
      </c>
      <c r="M305" s="9">
        <f>IF(D305=$M$3,1,"")</f>
        <v>1</v>
      </c>
      <c r="N305" s="9" t="str">
        <f>IF(D305=$N$3,1,"")</f>
        <v/>
      </c>
      <c r="O305" s="9" t="str">
        <f>IF(D305=$O$3,1,"")</f>
        <v/>
      </c>
      <c r="P305" s="9" t="str">
        <f>IF(D305=$P$3,1,"")</f>
        <v/>
      </c>
      <c r="Q305" s="9" t="str">
        <f>IF(D305=$Q$3,1,"")</f>
        <v/>
      </c>
      <c r="R305" s="9" t="str">
        <f>IF(D305=$R$3,1,"")</f>
        <v/>
      </c>
      <c r="S305" s="9" t="str">
        <f>IF(D305=$S$3,1,"")</f>
        <v/>
      </c>
      <c r="T305" s="9" t="str">
        <f>IF(D305=$T$3,1,"")</f>
        <v/>
      </c>
      <c r="U305" s="9" t="str">
        <f>IF(D305=$U$3,1,"")</f>
        <v/>
      </c>
      <c r="V305" s="9" t="str">
        <f>IF(D305=$V$3,1,"")</f>
        <v/>
      </c>
      <c r="W305" s="9" t="str">
        <f>IF(D305=$W$3,1,"")</f>
        <v/>
      </c>
      <c r="X305" s="9" t="str">
        <f>IF(D305=$X$3,1,"")</f>
        <v/>
      </c>
      <c r="Y305" s="9" t="e">
        <f>IF(#REF!=$X$3,1,"")</f>
        <v>#REF!</v>
      </c>
      <c r="Z305" s="9" t="str">
        <f t="shared" si="44"/>
        <v/>
      </c>
      <c r="AA305" s="9" t="str">
        <f t="shared" si="45"/>
        <v/>
      </c>
      <c r="AB305" s="9" t="str">
        <f t="shared" si="46"/>
        <v/>
      </c>
      <c r="AC305" s="9" t="str">
        <f t="shared" si="47"/>
        <v/>
      </c>
      <c r="AD305" s="9" t="str">
        <f t="shared" si="48"/>
        <v/>
      </c>
    </row>
    <row r="306" spans="1:30" ht="21" customHeight="1" x14ac:dyDescent="0.2">
      <c r="A306" s="241">
        <f t="shared" si="42"/>
        <v>298</v>
      </c>
      <c r="B306" s="240" t="s">
        <v>641</v>
      </c>
      <c r="C306" s="236" t="str">
        <f t="shared" si="41"/>
        <v>vs</v>
      </c>
      <c r="D306" s="237" t="s">
        <v>13</v>
      </c>
      <c r="E306" s="236">
        <v>2024</v>
      </c>
      <c r="F306" s="18" t="s">
        <v>23</v>
      </c>
      <c r="G306" s="9"/>
      <c r="H306" s="19" t="s">
        <v>642</v>
      </c>
      <c r="M306" s="9" t="str">
        <f>IF(D306=$M$3,1,"")</f>
        <v/>
      </c>
      <c r="N306" s="9" t="str">
        <f>IF(D306=$N$3,1,"")</f>
        <v/>
      </c>
      <c r="O306" s="9" t="str">
        <f>IF(D306=$O$3,1,"")</f>
        <v/>
      </c>
      <c r="P306" s="9" t="str">
        <f>IF(D306=$P$3,1,"")</f>
        <v/>
      </c>
      <c r="Q306" s="9" t="str">
        <f>IF(D306=$Q$3,1,"")</f>
        <v/>
      </c>
      <c r="R306" s="9">
        <f>IF(D306=$R$3,1,"")</f>
        <v>1</v>
      </c>
      <c r="S306" s="9" t="str">
        <f>IF(D306=$S$3,1,"")</f>
        <v/>
      </c>
      <c r="T306" s="9" t="str">
        <f>IF(D306=$T$3,1,"")</f>
        <v/>
      </c>
      <c r="U306" s="9" t="str">
        <f>IF(D306=$U$3,1,"")</f>
        <v/>
      </c>
      <c r="V306" s="9" t="str">
        <f>IF(D306=$V$3,1,"")</f>
        <v/>
      </c>
      <c r="W306" s="9" t="str">
        <f>IF(D306=$W$3,1,"")</f>
        <v/>
      </c>
      <c r="X306" s="9" t="str">
        <f>IF(D306=$X$3,1,"")</f>
        <v/>
      </c>
      <c r="Y306" s="9" t="e">
        <f>IF(#REF!=$X$3,1,"")</f>
        <v>#REF!</v>
      </c>
      <c r="Z306" s="9" t="str">
        <f t="shared" si="44"/>
        <v/>
      </c>
      <c r="AA306" s="9" t="str">
        <f t="shared" si="45"/>
        <v/>
      </c>
      <c r="AB306" s="9" t="str">
        <f t="shared" si="46"/>
        <v/>
      </c>
      <c r="AC306" s="9" t="str">
        <f t="shared" si="47"/>
        <v/>
      </c>
      <c r="AD306" s="9" t="str">
        <f t="shared" si="48"/>
        <v/>
      </c>
    </row>
    <row r="307" spans="1:30" ht="21" customHeight="1" x14ac:dyDescent="0.2">
      <c r="A307" s="15"/>
      <c r="B307" s="34" t="s">
        <v>643</v>
      </c>
      <c r="C307" s="20" t="str">
        <f t="shared" si="41"/>
        <v>vs</v>
      </c>
      <c r="D307" s="21" t="s">
        <v>13</v>
      </c>
      <c r="E307" s="233"/>
      <c r="F307" s="18"/>
      <c r="G307" s="9"/>
      <c r="H307" s="19" t="s">
        <v>644</v>
      </c>
      <c r="M307" s="9" t="str">
        <f>IF(D307=$M$3,1,"")</f>
        <v/>
      </c>
      <c r="N307" s="9" t="str">
        <f>IF(D307=$N$3,1,"")</f>
        <v/>
      </c>
      <c r="O307" s="9" t="str">
        <f>IF(D307=$O$3,1,"")</f>
        <v/>
      </c>
      <c r="P307" s="9" t="str">
        <f>IF(D307=$P$3,1,"")</f>
        <v/>
      </c>
      <c r="Q307" s="9" t="str">
        <f>IF(D307=$Q$3,1,"")</f>
        <v/>
      </c>
      <c r="R307" s="9">
        <f>IF(D307=$R$3,1,"")</f>
        <v>1</v>
      </c>
      <c r="S307" s="9" t="str">
        <f>IF(D307=$S$3,1,"")</f>
        <v/>
      </c>
      <c r="T307" s="9" t="str">
        <f>IF(D307=$T$3,1,"")</f>
        <v/>
      </c>
      <c r="U307" s="9" t="str">
        <f>IF(D307=$U$3,1,"")</f>
        <v/>
      </c>
      <c r="V307" s="9" t="str">
        <f>IF(D307=$V$3,1,"")</f>
        <v/>
      </c>
      <c r="W307" s="9" t="str">
        <f>IF(D307=$W$3,1,"")</f>
        <v/>
      </c>
      <c r="X307" s="9" t="str">
        <f>IF(D307=$X$3,1,"")</f>
        <v/>
      </c>
      <c r="Y307" s="9" t="e">
        <f>IF(#REF!=$X$3,1,"")</f>
        <v>#REF!</v>
      </c>
      <c r="Z307" s="9">
        <f t="shared" si="44"/>
        <v>1</v>
      </c>
      <c r="AA307" s="9">
        <f t="shared" si="45"/>
        <v>1</v>
      </c>
      <c r="AB307" s="9">
        <f t="shared" si="46"/>
        <v>1</v>
      </c>
      <c r="AC307" s="9">
        <f t="shared" si="47"/>
        <v>1</v>
      </c>
      <c r="AD307" s="9">
        <f t="shared" si="48"/>
        <v>1</v>
      </c>
    </row>
    <row r="308" spans="1:30" ht="21" customHeight="1" thickBot="1" x14ac:dyDescent="0.25">
      <c r="A308" s="54"/>
      <c r="B308" s="34" t="s">
        <v>645</v>
      </c>
      <c r="C308" s="20" t="str">
        <f t="shared" si="41"/>
        <v>vs</v>
      </c>
      <c r="D308" s="21" t="s">
        <v>11</v>
      </c>
      <c r="E308" s="233"/>
      <c r="F308" s="55"/>
      <c r="G308" s="9"/>
      <c r="H308" s="19" t="s">
        <v>646</v>
      </c>
      <c r="M308" s="9" t="str">
        <f>IF(D308=$M$3,1,"")</f>
        <v/>
      </c>
      <c r="N308" s="9" t="str">
        <f>IF(D308=$N$3,1,"")</f>
        <v/>
      </c>
      <c r="O308" s="9" t="str">
        <f>IF(D308=$O$3,1,"")</f>
        <v/>
      </c>
      <c r="P308" s="9">
        <f>IF(D308=$P$3,1,"")</f>
        <v>1</v>
      </c>
      <c r="Q308" s="9" t="str">
        <f>IF(D308=$Q$3,1,"")</f>
        <v/>
      </c>
      <c r="R308" s="9" t="str">
        <f>IF(D308=$R$3,1,"")</f>
        <v/>
      </c>
      <c r="S308" s="9" t="str">
        <f>IF(D308=$S$3,1,"")</f>
        <v/>
      </c>
      <c r="T308" s="9" t="str">
        <f>IF(D308=$T$3,1,"")</f>
        <v/>
      </c>
      <c r="U308" s="9" t="str">
        <f>IF(D308=$U$3,1,"")</f>
        <v/>
      </c>
      <c r="V308" s="9" t="str">
        <f>IF(D308=$V$3,1,"")</f>
        <v/>
      </c>
      <c r="W308" s="9" t="str">
        <f>IF(D308=$W$3,1,"")</f>
        <v/>
      </c>
      <c r="X308" s="9" t="str">
        <f>IF(D308=$X$3,1,"")</f>
        <v/>
      </c>
      <c r="Y308" s="9" t="e">
        <f>IF(#REF!=$X$3,1,"")</f>
        <v>#REF!</v>
      </c>
      <c r="Z308" s="9">
        <f t="shared" si="44"/>
        <v>1</v>
      </c>
      <c r="AA308" s="9">
        <f t="shared" si="45"/>
        <v>1</v>
      </c>
      <c r="AB308" s="9">
        <f t="shared" si="46"/>
        <v>1</v>
      </c>
      <c r="AC308" s="9">
        <f t="shared" si="47"/>
        <v>1</v>
      </c>
      <c r="AD308" s="9">
        <f t="shared" si="48"/>
        <v>1</v>
      </c>
    </row>
    <row r="309" spans="1:30" ht="21" customHeight="1" x14ac:dyDescent="0.2">
      <c r="A309" s="169">
        <v>299</v>
      </c>
      <c r="B309" s="281" t="s">
        <v>647</v>
      </c>
      <c r="C309" s="282" t="str">
        <f t="shared" si="41"/>
        <v>vs</v>
      </c>
      <c r="D309" s="283" t="s">
        <v>12</v>
      </c>
      <c r="E309" s="282">
        <v>2024</v>
      </c>
      <c r="F309" s="119" t="s">
        <v>23</v>
      </c>
      <c r="G309" s="9"/>
      <c r="H309" s="19" t="s">
        <v>648</v>
      </c>
      <c r="M309" s="9" t="str">
        <f>IF(D309=$M$3,1,"")</f>
        <v/>
      </c>
      <c r="N309" s="9" t="str">
        <f>IF(D309=$N$3,1,"")</f>
        <v/>
      </c>
      <c r="O309" s="9" t="str">
        <f>IF(D309=$O$3,1,"")</f>
        <v/>
      </c>
      <c r="P309" s="9" t="str">
        <f>IF(D309=$P$3,1,"")</f>
        <v/>
      </c>
      <c r="Q309" s="9">
        <f>IF(D309=$Q$3,1,"")</f>
        <v>1</v>
      </c>
      <c r="R309" s="9" t="str">
        <f>IF(D309=$R$3,1,"")</f>
        <v/>
      </c>
      <c r="S309" s="9" t="str">
        <f>IF(D309=$S$3,1,"")</f>
        <v/>
      </c>
      <c r="T309" s="9" t="str">
        <f>IF(D309=$T$3,1,"")</f>
        <v/>
      </c>
      <c r="U309" s="9" t="str">
        <f>IF(D309=$U$3,1,"")</f>
        <v/>
      </c>
      <c r="V309" s="9" t="str">
        <f>IF(D309=$V$3,1,"")</f>
        <v/>
      </c>
      <c r="W309" s="9" t="str">
        <f>IF(D309=$W$3,1,"")</f>
        <v/>
      </c>
      <c r="X309" s="9" t="str">
        <f>IF(D309=$X$3,1,"")</f>
        <v/>
      </c>
      <c r="Y309" s="9" t="e">
        <f>IF(#REF!=$X$3,1,"")</f>
        <v>#REF!</v>
      </c>
      <c r="Z309" s="9" t="str">
        <f t="shared" si="44"/>
        <v/>
      </c>
      <c r="AA309" s="9" t="str">
        <f t="shared" si="45"/>
        <v/>
      </c>
      <c r="AB309" s="9" t="str">
        <f t="shared" si="46"/>
        <v/>
      </c>
      <c r="AC309" s="9" t="str">
        <f t="shared" si="47"/>
        <v/>
      </c>
      <c r="AD309" s="9" t="str">
        <f t="shared" si="48"/>
        <v/>
      </c>
    </row>
    <row r="310" spans="1:30" ht="21" customHeight="1" x14ac:dyDescent="0.2">
      <c r="A310" s="174">
        <f t="shared" si="42"/>
        <v>300</v>
      </c>
      <c r="B310" s="244" t="s">
        <v>635</v>
      </c>
      <c r="C310" s="242" t="str">
        <f t="shared" si="41"/>
        <v>vs</v>
      </c>
      <c r="D310" s="243" t="s">
        <v>9</v>
      </c>
      <c r="E310" s="242">
        <v>2024</v>
      </c>
      <c r="F310" s="18" t="s">
        <v>23</v>
      </c>
      <c r="G310" s="9"/>
      <c r="H310" s="19" t="s">
        <v>649</v>
      </c>
      <c r="M310" s="9" t="str">
        <f>IF(D310=$M$3,1,"")</f>
        <v/>
      </c>
      <c r="N310" s="9">
        <f>IF(D310=$N$3,1,"")</f>
        <v>1</v>
      </c>
      <c r="O310" s="9" t="str">
        <f>IF(D310=$O$3,1,"")</f>
        <v/>
      </c>
      <c r="P310" s="9" t="str">
        <f>IF(D310=$P$3,1,"")</f>
        <v/>
      </c>
      <c r="Q310" s="9" t="str">
        <f>IF(D310=$Q$3,1,"")</f>
        <v/>
      </c>
      <c r="R310" s="9" t="str">
        <f>IF(D310=$R$3,1,"")</f>
        <v/>
      </c>
      <c r="S310" s="9" t="str">
        <f>IF(D310=$S$3,1,"")</f>
        <v/>
      </c>
      <c r="T310" s="9" t="str">
        <f>IF(D310=$T$3,1,"")</f>
        <v/>
      </c>
      <c r="U310" s="9" t="str">
        <f>IF(D310=$U$3,1,"")</f>
        <v/>
      </c>
      <c r="V310" s="9" t="str">
        <f>IF(D310=$V$3,1,"")</f>
        <v/>
      </c>
      <c r="W310" s="9" t="str">
        <f>IF(D310=$W$3,1,"")</f>
        <v/>
      </c>
      <c r="X310" s="9" t="str">
        <f>IF(D310=$X$3,1,"")</f>
        <v/>
      </c>
      <c r="Y310" s="9" t="e">
        <f>IF(#REF!=$X$3,1,"")</f>
        <v>#REF!</v>
      </c>
      <c r="Z310" s="9" t="str">
        <f t="shared" si="44"/>
        <v/>
      </c>
      <c r="AA310" s="9" t="str">
        <f t="shared" si="45"/>
        <v/>
      </c>
      <c r="AB310" s="9" t="str">
        <f t="shared" si="46"/>
        <v/>
      </c>
      <c r="AC310" s="9" t="str">
        <f t="shared" si="47"/>
        <v/>
      </c>
      <c r="AD310" s="9" t="str">
        <f t="shared" si="48"/>
        <v/>
      </c>
    </row>
    <row r="311" spans="1:30" ht="21" customHeight="1" thickBot="1" x14ac:dyDescent="0.25">
      <c r="A311" s="181">
        <f t="shared" si="42"/>
        <v>301</v>
      </c>
      <c r="B311" s="182" t="s">
        <v>650</v>
      </c>
      <c r="C311" s="183" t="str">
        <f t="shared" si="41"/>
        <v>vs</v>
      </c>
      <c r="D311" s="184" t="s">
        <v>15</v>
      </c>
      <c r="E311" s="183">
        <v>2024</v>
      </c>
      <c r="F311" s="11" t="s">
        <v>23</v>
      </c>
      <c r="G311" s="9"/>
      <c r="H311" s="19" t="s">
        <v>651</v>
      </c>
      <c r="M311" s="9" t="str">
        <f>IF(D311=$M$3,1,"")</f>
        <v/>
      </c>
      <c r="N311" s="9" t="str">
        <f>IF(D311=$N$3,1,"")</f>
        <v/>
      </c>
      <c r="O311" s="9" t="str">
        <f>IF(D311=$O$3,1,"")</f>
        <v/>
      </c>
      <c r="P311" s="9" t="str">
        <f>IF(D311=$P$3,1,"")</f>
        <v/>
      </c>
      <c r="Q311" s="9" t="str">
        <f>IF(D311=$Q$3,1,"")</f>
        <v/>
      </c>
      <c r="R311" s="9" t="str">
        <f>IF(D311=$R$3,1,"")</f>
        <v/>
      </c>
      <c r="S311" s="9" t="str">
        <f>IF(D311=$S$3,1,"")</f>
        <v/>
      </c>
      <c r="T311" s="9">
        <f>IF(D311=$T$3,1,"")</f>
        <v>1</v>
      </c>
      <c r="U311" s="9" t="str">
        <f>IF(D311=$U$3,1,"")</f>
        <v/>
      </c>
      <c r="V311" s="9" t="str">
        <f>IF(D311=$V$3,1,"")</f>
        <v/>
      </c>
      <c r="W311" s="9" t="str">
        <f>IF(D311=$W$3,1,"")</f>
        <v/>
      </c>
      <c r="X311" s="9" t="str">
        <f>IF(D311=$X$3,1,"")</f>
        <v/>
      </c>
      <c r="Y311" s="9" t="e">
        <f>IF(#REF!=$X$3,1,"")</f>
        <v>#REF!</v>
      </c>
      <c r="Z311" s="9" t="str">
        <f t="shared" si="44"/>
        <v/>
      </c>
      <c r="AA311" s="9" t="str">
        <f t="shared" si="45"/>
        <v/>
      </c>
      <c r="AB311" s="9" t="str">
        <f t="shared" si="46"/>
        <v/>
      </c>
      <c r="AC311" s="9" t="str">
        <f t="shared" si="47"/>
        <v/>
      </c>
      <c r="AD311" s="9" t="str">
        <f t="shared" si="48"/>
        <v/>
      </c>
    </row>
    <row r="312" spans="1:30" ht="21" customHeight="1" x14ac:dyDescent="0.2">
      <c r="A312" s="186">
        <f>IF(B312="","",A311+1)</f>
        <v>302</v>
      </c>
      <c r="B312" s="277" t="s">
        <v>652</v>
      </c>
      <c r="C312" s="278" t="str">
        <f t="shared" si="41"/>
        <v>vs</v>
      </c>
      <c r="D312" s="279" t="s">
        <v>16</v>
      </c>
      <c r="E312" s="278">
        <v>2024</v>
      </c>
      <c r="F312" s="119" t="s">
        <v>23</v>
      </c>
      <c r="G312" s="9"/>
      <c r="H312" s="19" t="s">
        <v>653</v>
      </c>
      <c r="M312" s="9" t="str">
        <f>IF(D312=$M$3,1,"")</f>
        <v/>
      </c>
      <c r="N312" s="9" t="str">
        <f>IF(D312=$N$3,1,"")</f>
        <v/>
      </c>
      <c r="O312" s="9" t="str">
        <f>IF(D312=$O$3,1,"")</f>
        <v/>
      </c>
      <c r="P312" s="9" t="str">
        <f>IF(D312=$P$3,1,"")</f>
        <v/>
      </c>
      <c r="Q312" s="9" t="str">
        <f>IF(D312=$Q$3,1,"")</f>
        <v/>
      </c>
      <c r="R312" s="9" t="str">
        <f>IF(D312=$R$3,1,"")</f>
        <v/>
      </c>
      <c r="S312" s="9" t="str">
        <f>IF(D312=$S$3,1,"")</f>
        <v/>
      </c>
      <c r="T312" s="9" t="str">
        <f>IF(D312=$T$3,1,"")</f>
        <v/>
      </c>
      <c r="U312" s="9">
        <f>IF(D312=$U$3,1,"")</f>
        <v>1</v>
      </c>
      <c r="V312" s="9" t="str">
        <f>IF(D312=$V$3,1,"")</f>
        <v/>
      </c>
      <c r="W312" s="9" t="str">
        <f>IF(D312=$W$3,1,"")</f>
        <v/>
      </c>
      <c r="X312" s="9" t="str">
        <f>IF(D312=$X$3,1,"")</f>
        <v/>
      </c>
      <c r="Y312" s="9" t="e">
        <f>IF(#REF!=$X$3,1,"")</f>
        <v>#REF!</v>
      </c>
      <c r="Z312" s="9" t="str">
        <f t="shared" si="44"/>
        <v/>
      </c>
      <c r="AA312" s="9" t="str">
        <f t="shared" si="45"/>
        <v/>
      </c>
      <c r="AB312" s="9" t="str">
        <f t="shared" si="46"/>
        <v/>
      </c>
      <c r="AC312" s="9" t="str">
        <f t="shared" si="47"/>
        <v/>
      </c>
      <c r="AD312" s="9" t="str">
        <f t="shared" si="48"/>
        <v/>
      </c>
    </row>
    <row r="313" spans="1:30" ht="21" customHeight="1" x14ac:dyDescent="0.2">
      <c r="A313" s="190">
        <f t="shared" si="42"/>
        <v>303</v>
      </c>
      <c r="B313" s="247" t="s">
        <v>654</v>
      </c>
      <c r="C313" s="245" t="str">
        <f t="shared" si="41"/>
        <v>vs</v>
      </c>
      <c r="D313" s="246" t="s">
        <v>9</v>
      </c>
      <c r="E313" s="245">
        <v>2024</v>
      </c>
      <c r="F313" s="18" t="s">
        <v>23</v>
      </c>
      <c r="G313" s="9"/>
      <c r="H313" s="19" t="s">
        <v>655</v>
      </c>
      <c r="M313" s="9" t="str">
        <f>IF(D313=$M$3,1,"")</f>
        <v/>
      </c>
      <c r="N313" s="9">
        <f>IF(D313=$N$3,1,"")</f>
        <v>1</v>
      </c>
      <c r="O313" s="9" t="str">
        <f>IF(D313=$O$3,1,"")</f>
        <v/>
      </c>
      <c r="P313" s="9" t="str">
        <f>IF(D313=$P$3,1,"")</f>
        <v/>
      </c>
      <c r="Q313" s="9" t="str">
        <f>IF(D313=$Q$3,1,"")</f>
        <v/>
      </c>
      <c r="R313" s="9" t="str">
        <f>IF(D313=$R$3,1,"")</f>
        <v/>
      </c>
      <c r="S313" s="9" t="str">
        <f>IF(D313=$S$3,1,"")</f>
        <v/>
      </c>
      <c r="T313" s="9" t="str">
        <f>IF(D313=$T$3,1,"")</f>
        <v/>
      </c>
      <c r="U313" s="9" t="str">
        <f>IF(D313=$U$3,1,"")</f>
        <v/>
      </c>
      <c r="V313" s="9" t="str">
        <f>IF(D313=$V$3,1,"")</f>
        <v/>
      </c>
      <c r="W313" s="9" t="str">
        <f>IF(D313=$W$3,1,"")</f>
        <v/>
      </c>
      <c r="X313" s="9" t="str">
        <f>IF(D313=$X$3,1,"")</f>
        <v/>
      </c>
      <c r="Y313" s="9" t="e">
        <f>IF(#REF!=$X$3,1,"")</f>
        <v>#REF!</v>
      </c>
      <c r="Z313" s="9" t="str">
        <f t="shared" si="44"/>
        <v/>
      </c>
      <c r="AA313" s="9" t="str">
        <f t="shared" si="45"/>
        <v/>
      </c>
      <c r="AB313" s="9" t="str">
        <f t="shared" si="46"/>
        <v/>
      </c>
      <c r="AC313" s="9" t="str">
        <f t="shared" si="47"/>
        <v/>
      </c>
      <c r="AD313" s="9" t="str">
        <f t="shared" si="48"/>
        <v/>
      </c>
    </row>
    <row r="314" spans="1:30" ht="21" customHeight="1" thickBot="1" x14ac:dyDescent="0.25">
      <c r="A314" s="194">
        <f t="shared" si="42"/>
        <v>304</v>
      </c>
      <c r="B314" s="280" t="s">
        <v>656</v>
      </c>
      <c r="C314" s="196" t="str">
        <f t="shared" si="41"/>
        <v>vs</v>
      </c>
      <c r="D314" s="197" t="s">
        <v>16</v>
      </c>
      <c r="E314" s="196">
        <v>2024</v>
      </c>
      <c r="F314" s="11" t="s">
        <v>23</v>
      </c>
      <c r="G314" s="9"/>
      <c r="H314" s="19" t="s">
        <v>657</v>
      </c>
      <c r="M314" s="9" t="str">
        <f>IF(D314=$M$3,1,"")</f>
        <v/>
      </c>
      <c r="N314" s="9" t="str">
        <f>IF(D314=$N$3,1,"")</f>
        <v/>
      </c>
      <c r="O314" s="9" t="str">
        <f>IF(D314=$O$3,1,"")</f>
        <v/>
      </c>
      <c r="P314" s="9" t="str">
        <f>IF(D314=$P$3,1,"")</f>
        <v/>
      </c>
      <c r="Q314" s="9" t="str">
        <f>IF(D314=$Q$3,1,"")</f>
        <v/>
      </c>
      <c r="R314" s="9" t="str">
        <f>IF(D314=$R$3,1,"")</f>
        <v/>
      </c>
      <c r="S314" s="9" t="str">
        <f>IF(D314=$S$3,1,"")</f>
        <v/>
      </c>
      <c r="T314" s="9" t="str">
        <f>IF(D314=$T$3,1,"")</f>
        <v/>
      </c>
      <c r="U314" s="9">
        <f>IF(D314=$U$3,1,"")</f>
        <v>1</v>
      </c>
      <c r="V314" s="9" t="str">
        <f>IF(D314=$V$3,1,"")</f>
        <v/>
      </c>
      <c r="W314" s="9" t="str">
        <f>IF(D314=$W$3,1,"")</f>
        <v/>
      </c>
      <c r="X314" s="9" t="str">
        <f>IF(D314=$X$3,1,"")</f>
        <v/>
      </c>
      <c r="Y314" s="9" t="e">
        <f>IF(#REF!=$X$3,1,"")</f>
        <v>#REF!</v>
      </c>
      <c r="Z314" s="9" t="str">
        <f t="shared" si="44"/>
        <v/>
      </c>
      <c r="AA314" s="9" t="str">
        <f t="shared" si="45"/>
        <v/>
      </c>
      <c r="AB314" s="9" t="str">
        <f t="shared" si="46"/>
        <v/>
      </c>
      <c r="AC314" s="9" t="str">
        <f t="shared" si="47"/>
        <v/>
      </c>
      <c r="AD314" s="9" t="str">
        <f t="shared" si="48"/>
        <v/>
      </c>
    </row>
    <row r="315" spans="1:30" ht="21" customHeight="1" x14ac:dyDescent="0.2">
      <c r="A315" s="151">
        <f t="shared" si="42"/>
        <v>305</v>
      </c>
      <c r="B315" s="274" t="s">
        <v>658</v>
      </c>
      <c r="C315" s="275" t="str">
        <f t="shared" si="41"/>
        <v>vs</v>
      </c>
      <c r="D315" s="276" t="s">
        <v>13</v>
      </c>
      <c r="E315" s="275">
        <v>2025</v>
      </c>
      <c r="F315" s="119" t="s">
        <v>23</v>
      </c>
      <c r="G315" s="9"/>
      <c r="H315" s="19" t="s">
        <v>659</v>
      </c>
      <c r="M315" s="9" t="str">
        <f>IF(D315=$M$3,1,"")</f>
        <v/>
      </c>
      <c r="N315" s="9" t="str">
        <f>IF(D315=$N$3,1,"")</f>
        <v/>
      </c>
      <c r="O315" s="9" t="str">
        <f>IF(D315=$O$3,1,"")</f>
        <v/>
      </c>
      <c r="P315" s="9" t="str">
        <f>IF(D315=$P$3,1,"")</f>
        <v/>
      </c>
      <c r="Q315" s="9" t="str">
        <f>IF(D315=$Q$3,1,"")</f>
        <v/>
      </c>
      <c r="R315" s="9">
        <f>IF(D315=$R$3,1,"")</f>
        <v>1</v>
      </c>
      <c r="S315" s="9" t="str">
        <f>IF(D315=$S$3,1,"")</f>
        <v/>
      </c>
      <c r="T315" s="9" t="str">
        <f>IF(D315=$T$3,1,"")</f>
        <v/>
      </c>
      <c r="U315" s="9" t="str">
        <f>IF(D315=$U$3,1,"")</f>
        <v/>
      </c>
      <c r="V315" s="9" t="str">
        <f>IF(D315=$V$3,1,"")</f>
        <v/>
      </c>
      <c r="W315" s="9" t="str">
        <f>IF(D315=$W$3,1,"")</f>
        <v/>
      </c>
      <c r="X315" s="9" t="str">
        <f>IF(D315=$X$3,1,"")</f>
        <v/>
      </c>
      <c r="Y315" s="9" t="e">
        <f>IF(#REF!=$X$3,1,"")</f>
        <v>#REF!</v>
      </c>
      <c r="Z315" s="9" t="str">
        <f t="shared" si="44"/>
        <v/>
      </c>
      <c r="AA315" s="9" t="str">
        <f t="shared" si="45"/>
        <v/>
      </c>
      <c r="AB315" s="9" t="str">
        <f t="shared" si="46"/>
        <v/>
      </c>
      <c r="AC315" s="9" t="str">
        <f t="shared" si="47"/>
        <v/>
      </c>
      <c r="AD315" s="9" t="str">
        <f t="shared" si="48"/>
        <v/>
      </c>
    </row>
    <row r="316" spans="1:30" ht="21" customHeight="1" x14ac:dyDescent="0.2">
      <c r="A316" s="156">
        <f t="shared" si="42"/>
        <v>306</v>
      </c>
      <c r="B316" s="161" t="s">
        <v>660</v>
      </c>
      <c r="C316" s="162" t="str">
        <f t="shared" ref="C316:C380" si="56">IF(B316="","","vs")</f>
        <v>vs</v>
      </c>
      <c r="D316" s="163" t="s">
        <v>13</v>
      </c>
      <c r="E316" s="162">
        <v>2025</v>
      </c>
      <c r="F316" s="18" t="s">
        <v>23</v>
      </c>
      <c r="G316" s="9"/>
      <c r="H316" s="19" t="s">
        <v>661</v>
      </c>
      <c r="M316" s="9" t="str">
        <f>IF(D316=$M$3,1,"")</f>
        <v/>
      </c>
      <c r="N316" s="9" t="str">
        <f>IF(D316=$N$3,1,"")</f>
        <v/>
      </c>
      <c r="O316" s="9" t="str">
        <f>IF(D316=$O$3,1,"")</f>
        <v/>
      </c>
      <c r="P316" s="9" t="str">
        <f>IF(D316=$P$3,1,"")</f>
        <v/>
      </c>
      <c r="Q316" s="9" t="str">
        <f>IF(D316=$Q$3,1,"")</f>
        <v/>
      </c>
      <c r="R316" s="9">
        <f>IF(D316=$R$3,1,"")</f>
        <v>1</v>
      </c>
      <c r="S316" s="9" t="str">
        <f>IF(D316=$S$3,1,"")</f>
        <v/>
      </c>
      <c r="T316" s="9" t="str">
        <f>IF(D316=$T$3,1,"")</f>
        <v/>
      </c>
      <c r="U316" s="9" t="str">
        <f>IF(D316=$U$3,1,"")</f>
        <v/>
      </c>
      <c r="V316" s="9" t="str">
        <f>IF(D316=$V$3,1,"")</f>
        <v/>
      </c>
      <c r="W316" s="9" t="str">
        <f>IF(D316=$W$3,1,"")</f>
        <v/>
      </c>
      <c r="X316" s="9" t="str">
        <f>IF(D316=$X$3,1,"")</f>
        <v/>
      </c>
      <c r="Y316" s="9" t="e">
        <f>IF(#REF!=$X$3,1,"")</f>
        <v>#REF!</v>
      </c>
      <c r="Z316" s="9" t="str">
        <f t="shared" si="44"/>
        <v/>
      </c>
      <c r="AA316" s="9" t="str">
        <f t="shared" si="45"/>
        <v/>
      </c>
      <c r="AB316" s="9" t="str">
        <f t="shared" si="46"/>
        <v/>
      </c>
      <c r="AC316" s="9" t="str">
        <f t="shared" si="47"/>
        <v/>
      </c>
      <c r="AD316" s="9" t="str">
        <f t="shared" si="48"/>
        <v/>
      </c>
    </row>
    <row r="317" spans="1:30" ht="21" customHeight="1" thickBot="1" x14ac:dyDescent="0.25">
      <c r="A317" s="164">
        <f t="shared" si="42"/>
        <v>307</v>
      </c>
      <c r="B317" s="165" t="s">
        <v>662</v>
      </c>
      <c r="C317" s="166" t="str">
        <f t="shared" si="56"/>
        <v>vs</v>
      </c>
      <c r="D317" s="167" t="s">
        <v>11</v>
      </c>
      <c r="E317" s="166">
        <v>2025</v>
      </c>
      <c r="F317" s="11" t="s">
        <v>23</v>
      </c>
      <c r="G317" s="9"/>
      <c r="H317" s="19" t="s">
        <v>663</v>
      </c>
      <c r="M317" s="9" t="str">
        <f>IF(D317=$M$3,1,"")</f>
        <v/>
      </c>
      <c r="N317" s="9" t="str">
        <f>IF(D317=$N$3,1,"")</f>
        <v/>
      </c>
      <c r="O317" s="9" t="str">
        <f>IF(D317=$O$3,1,"")</f>
        <v/>
      </c>
      <c r="P317" s="9">
        <f>IF(D317=$P$3,1,"")</f>
        <v>1</v>
      </c>
      <c r="Q317" s="9" t="str">
        <f>IF(D317=$Q$3,1,"")</f>
        <v/>
      </c>
      <c r="R317" s="9" t="str">
        <f>IF(D317=$R$3,1,"")</f>
        <v/>
      </c>
      <c r="S317" s="9" t="str">
        <f>IF(D317=$S$3,1,"")</f>
        <v/>
      </c>
      <c r="T317" s="9" t="str">
        <f>IF(D317=$T$3,1,"")</f>
        <v/>
      </c>
      <c r="U317" s="9" t="str">
        <f>IF(D317=$U$3,1,"")</f>
        <v/>
      </c>
      <c r="V317" s="9" t="str">
        <f>IF(D317=$V$3,1,"")</f>
        <v/>
      </c>
      <c r="W317" s="9" t="str">
        <f>IF(D317=$W$3,1,"")</f>
        <v/>
      </c>
      <c r="X317" s="9" t="str">
        <f>IF(D317=$X$3,1,"")</f>
        <v/>
      </c>
      <c r="Y317" s="9" t="e">
        <f>IF(#REF!=$X$3,1,"")</f>
        <v>#REF!</v>
      </c>
      <c r="Z317" s="9" t="str">
        <f t="shared" si="44"/>
        <v/>
      </c>
      <c r="AA317" s="9" t="str">
        <f t="shared" si="45"/>
        <v/>
      </c>
      <c r="AB317" s="9" t="str">
        <f t="shared" si="46"/>
        <v/>
      </c>
      <c r="AC317" s="9" t="str">
        <f t="shared" si="47"/>
        <v/>
      </c>
      <c r="AD317" s="9" t="str">
        <f t="shared" si="48"/>
        <v/>
      </c>
    </row>
    <row r="318" spans="1:30" ht="21" customHeight="1" x14ac:dyDescent="0.2">
      <c r="A318" s="262">
        <f t="shared" si="42"/>
        <v>308</v>
      </c>
      <c r="B318" s="263" t="s">
        <v>664</v>
      </c>
      <c r="C318" s="264" t="str">
        <f t="shared" si="56"/>
        <v>vs</v>
      </c>
      <c r="D318" s="265" t="s">
        <v>15</v>
      </c>
      <c r="E318" s="264">
        <v>2025</v>
      </c>
      <c r="F318" s="119" t="s">
        <v>47</v>
      </c>
      <c r="G318" s="9"/>
      <c r="H318" s="19" t="s">
        <v>665</v>
      </c>
      <c r="M318" s="9" t="str">
        <f>IF(D318=$M$3,1,"")</f>
        <v/>
      </c>
      <c r="N318" s="9" t="str">
        <f>IF(D318=$N$3,1,"")</f>
        <v/>
      </c>
      <c r="O318" s="9" t="str">
        <f>IF(D318=$O$3,1,"")</f>
        <v/>
      </c>
      <c r="P318" s="9" t="str">
        <f>IF(D318=$P$3,1,"")</f>
        <v/>
      </c>
      <c r="Q318" s="9" t="str">
        <f>IF(D318=$Q$3,1,"")</f>
        <v/>
      </c>
      <c r="R318" s="9" t="str">
        <f>IF(D318=$R$3,1,"")</f>
        <v/>
      </c>
      <c r="S318" s="9" t="str">
        <f>IF(D318=$S$3,1,"")</f>
        <v/>
      </c>
      <c r="T318" s="9">
        <f>IF(D318=$T$3,1,"")</f>
        <v>1</v>
      </c>
      <c r="U318" s="9" t="str">
        <f>IF(D318=$U$3,1,"")</f>
        <v/>
      </c>
      <c r="V318" s="9" t="str">
        <f>IF(D318=$V$3,1,"")</f>
        <v/>
      </c>
      <c r="W318" s="9" t="str">
        <f>IF(D318=$W$3,1,"")</f>
        <v/>
      </c>
      <c r="X318" s="9" t="str">
        <f>IF(D318=$X$3,1,"")</f>
        <v/>
      </c>
      <c r="Y318" s="9" t="e">
        <f>IF(#REF!=$X$3,1,"")</f>
        <v>#REF!</v>
      </c>
      <c r="Z318" s="9" t="str">
        <f t="shared" ref="Z318:Z319" si="57">IF(F318=$Z$3,1,"")</f>
        <v/>
      </c>
      <c r="AA318" s="9" t="str">
        <f t="shared" ref="AA318:AA319" si="58">IF(F318=$AA$3,1,"")</f>
        <v/>
      </c>
      <c r="AB318" s="9" t="str">
        <f t="shared" ref="AB318:AB319" si="59">IF(F318=$AB$3,1,"")</f>
        <v/>
      </c>
      <c r="AC318" s="9" t="str">
        <f t="shared" ref="AC318:AC319" si="60">IF(F318=$AC$3,1,"")</f>
        <v/>
      </c>
      <c r="AD318" s="9" t="str">
        <f t="shared" ref="AD318:AD319" si="61">IF(F318=$AE$3,1,"")</f>
        <v/>
      </c>
    </row>
    <row r="319" spans="1:30" ht="21" customHeight="1" x14ac:dyDescent="0.2">
      <c r="A319" s="252">
        <f>IF(B319="","",A318+1)</f>
        <v>309</v>
      </c>
      <c r="B319" s="256" t="s">
        <v>666</v>
      </c>
      <c r="C319" s="254" t="str">
        <f t="shared" si="56"/>
        <v>vs</v>
      </c>
      <c r="D319" s="255" t="s">
        <v>9</v>
      </c>
      <c r="E319" s="254">
        <v>2025</v>
      </c>
      <c r="F319" s="18" t="s">
        <v>23</v>
      </c>
      <c r="G319" s="9"/>
      <c r="H319" s="19" t="s">
        <v>667</v>
      </c>
      <c r="M319" s="9" t="str">
        <f>IF(D319=$M$3,1,"")</f>
        <v/>
      </c>
      <c r="N319" s="9">
        <f>IF(D319=$N$3,1,"")</f>
        <v>1</v>
      </c>
      <c r="O319" s="9" t="str">
        <f>IF(D319=$O$3,1,"")</f>
        <v/>
      </c>
      <c r="P319" s="9" t="str">
        <f>IF(D319=$P$3,1,"")</f>
        <v/>
      </c>
      <c r="Q319" s="9" t="str">
        <f>IF(D319=$Q$3,1,"")</f>
        <v/>
      </c>
      <c r="R319" s="9" t="str">
        <f>IF(D319=$R$3,1,"")</f>
        <v/>
      </c>
      <c r="S319" s="9" t="str">
        <f>IF(D319=$S$3,1,"")</f>
        <v/>
      </c>
      <c r="T319" s="9" t="str">
        <f>IF(D319=$T$3,1,"")</f>
        <v/>
      </c>
      <c r="U319" s="9" t="str">
        <f>IF(D319=$U$3,1,"")</f>
        <v/>
      </c>
      <c r="V319" s="9" t="str">
        <f>IF(D319=$V$3,1,"")</f>
        <v/>
      </c>
      <c r="W319" s="9" t="str">
        <f>IF(D319=$W$3,1,"")</f>
        <v/>
      </c>
      <c r="X319" s="9" t="str">
        <f>IF(D319=$X$3,1,"")</f>
        <v/>
      </c>
      <c r="Y319" s="9" t="e">
        <f>IF(#REF!=$X$3,1,"")</f>
        <v>#REF!</v>
      </c>
      <c r="Z319" s="9" t="str">
        <f t="shared" si="57"/>
        <v/>
      </c>
      <c r="AA319" s="9" t="str">
        <f t="shared" si="58"/>
        <v/>
      </c>
      <c r="AB319" s="9" t="str">
        <f t="shared" si="59"/>
        <v/>
      </c>
      <c r="AC319" s="9" t="str">
        <f t="shared" si="60"/>
        <v/>
      </c>
      <c r="AD319" s="9" t="str">
        <f t="shared" si="61"/>
        <v/>
      </c>
    </row>
    <row r="320" spans="1:30" s="251" customFormat="1" ht="21" customHeight="1" x14ac:dyDescent="0.2">
      <c r="A320" s="252">
        <f t="shared" si="42"/>
        <v>310</v>
      </c>
      <c r="B320" s="253" t="s">
        <v>668</v>
      </c>
      <c r="C320" s="254" t="str">
        <f t="shared" si="56"/>
        <v>vs</v>
      </c>
      <c r="D320" s="255" t="s">
        <v>8</v>
      </c>
      <c r="E320" s="254">
        <v>2025</v>
      </c>
      <c r="F320" s="248" t="s">
        <v>23</v>
      </c>
      <c r="G320" s="249"/>
      <c r="H320" s="250" t="s">
        <v>669</v>
      </c>
      <c r="M320" s="249">
        <f>IF(D320=$M$3,1,"")</f>
        <v>1</v>
      </c>
      <c r="N320" s="249" t="str">
        <f>IF(D320=$N$3,1,"")</f>
        <v/>
      </c>
      <c r="O320" s="249" t="str">
        <f>IF(D320=$O$3,1,"")</f>
        <v/>
      </c>
      <c r="P320" s="249" t="str">
        <f>IF(D320=$P$3,1,"")</f>
        <v/>
      </c>
      <c r="Q320" s="249" t="str">
        <f>IF(D320=$Q$3,1,"")</f>
        <v/>
      </c>
      <c r="R320" s="249" t="str">
        <f>IF(D320=$R$3,1,"")</f>
        <v/>
      </c>
      <c r="S320" s="249" t="str">
        <f>IF(D320=$S$3,1,"")</f>
        <v/>
      </c>
      <c r="T320" s="249" t="str">
        <f>IF(D320=$T$3,1,"")</f>
        <v/>
      </c>
      <c r="U320" s="249" t="str">
        <f>IF(D320=$U$3,1,"")</f>
        <v/>
      </c>
      <c r="V320" s="249" t="str">
        <f>IF(D320=$V$3,1,"")</f>
        <v/>
      </c>
      <c r="W320" s="249" t="str">
        <f>IF(D320=$W$3,1,"")</f>
        <v/>
      </c>
      <c r="X320" s="249" t="str">
        <f>IF(D320=$X$3,1,"")</f>
        <v/>
      </c>
      <c r="Y320" s="249" t="e">
        <f>IF(#REF!=$X$3,1,"")</f>
        <v>#REF!</v>
      </c>
      <c r="Z320" s="249" t="str">
        <f t="shared" si="44"/>
        <v/>
      </c>
      <c r="AA320" s="249" t="str">
        <f t="shared" si="45"/>
        <v/>
      </c>
      <c r="AB320" s="249" t="str">
        <f t="shared" si="46"/>
        <v/>
      </c>
      <c r="AC320" s="249" t="str">
        <f t="shared" si="47"/>
        <v/>
      </c>
      <c r="AD320" s="249" t="str">
        <f t="shared" si="48"/>
        <v/>
      </c>
    </row>
    <row r="321" spans="1:30" ht="21" customHeight="1" x14ac:dyDescent="0.2">
      <c r="A321" s="252">
        <f t="shared" si="42"/>
        <v>311</v>
      </c>
      <c r="B321" s="253" t="s">
        <v>670</v>
      </c>
      <c r="C321" s="254" t="str">
        <f t="shared" si="56"/>
        <v>vs</v>
      </c>
      <c r="D321" s="255" t="s">
        <v>16</v>
      </c>
      <c r="E321" s="254">
        <v>2025</v>
      </c>
      <c r="F321" s="18" t="s">
        <v>47</v>
      </c>
      <c r="G321" s="9"/>
      <c r="H321" s="19" t="s">
        <v>671</v>
      </c>
      <c r="M321" s="9" t="str">
        <f>IF(D321=$M$3,1,"")</f>
        <v/>
      </c>
      <c r="N321" s="9" t="str">
        <f>IF(D321=$N$3,1,"")</f>
        <v/>
      </c>
      <c r="O321" s="9" t="str">
        <f>IF(D321=$O$3,1,"")</f>
        <v/>
      </c>
      <c r="P321" s="9" t="str">
        <f>IF(D321=$P$3,1,"")</f>
        <v/>
      </c>
      <c r="Q321" s="9" t="str">
        <f>IF(D321=$Q$3,1,"")</f>
        <v/>
      </c>
      <c r="R321" s="9" t="str">
        <f>IF(D321=$R$3,1,"")</f>
        <v/>
      </c>
      <c r="S321" s="9" t="str">
        <f>IF(D321=$S$3,1,"")</f>
        <v/>
      </c>
      <c r="T321" s="9" t="str">
        <f>IF(D321=$T$3,1,"")</f>
        <v/>
      </c>
      <c r="U321" s="9">
        <f>IF(D321=$U$3,1,"")</f>
        <v>1</v>
      </c>
      <c r="V321" s="9" t="str">
        <f>IF(D321=$V$3,1,"")</f>
        <v/>
      </c>
      <c r="W321" s="9" t="str">
        <f>IF(D321=$W$3,1,"")</f>
        <v/>
      </c>
      <c r="X321" s="9" t="str">
        <f>IF(D321=$X$3,1,"")</f>
        <v/>
      </c>
      <c r="Y321" s="9" t="e">
        <f>IF(#REF!=$X$3,1,"")</f>
        <v>#REF!</v>
      </c>
      <c r="Z321" s="9" t="str">
        <f t="shared" si="44"/>
        <v/>
      </c>
      <c r="AA321" s="9" t="str">
        <f t="shared" si="45"/>
        <v/>
      </c>
      <c r="AB321" s="9" t="str">
        <f t="shared" si="46"/>
        <v/>
      </c>
      <c r="AC321" s="9" t="str">
        <f t="shared" si="47"/>
        <v/>
      </c>
      <c r="AD321" s="9" t="str">
        <f t="shared" si="48"/>
        <v/>
      </c>
    </row>
    <row r="322" spans="1:30" ht="19.5" customHeight="1" x14ac:dyDescent="0.2">
      <c r="A322" s="252">
        <f t="shared" si="42"/>
        <v>312</v>
      </c>
      <c r="B322" s="253" t="s">
        <v>672</v>
      </c>
      <c r="C322" s="254" t="str">
        <f t="shared" ref="C322" si="62">IF(B322="","","vs")</f>
        <v>vs</v>
      </c>
      <c r="D322" s="255" t="s">
        <v>13</v>
      </c>
      <c r="E322" s="254">
        <v>2025</v>
      </c>
      <c r="F322" s="18" t="s">
        <v>23</v>
      </c>
      <c r="H322" s="19" t="s">
        <v>673</v>
      </c>
      <c r="I322" s="257"/>
    </row>
    <row r="323" spans="1:30" ht="21" customHeight="1" thickBot="1" x14ac:dyDescent="0.25">
      <c r="A323" s="232">
        <f t="shared" si="42"/>
        <v>313</v>
      </c>
      <c r="B323" s="227" t="s">
        <v>672</v>
      </c>
      <c r="C323" s="228" t="str">
        <f t="shared" si="56"/>
        <v>vs</v>
      </c>
      <c r="D323" s="229" t="s">
        <v>12</v>
      </c>
      <c r="E323" s="228">
        <v>2025</v>
      </c>
      <c r="F323" s="11" t="s">
        <v>23</v>
      </c>
      <c r="G323" s="9"/>
      <c r="H323" s="257" t="s">
        <v>674</v>
      </c>
      <c r="M323" s="9" t="str">
        <f>IF(D323=$M$3,1,"")</f>
        <v/>
      </c>
      <c r="N323" s="9" t="str">
        <f>IF(D323=$N$3,1,"")</f>
        <v/>
      </c>
      <c r="O323" s="9" t="str">
        <f>IF(D323=$O$3,1,"")</f>
        <v/>
      </c>
      <c r="P323" s="9" t="str">
        <f>IF(D323=$P$3,1,"")</f>
        <v/>
      </c>
      <c r="Q323" s="9">
        <f>IF(D323=$Q$3,1,"")</f>
        <v>1</v>
      </c>
      <c r="R323" s="9" t="str">
        <f>IF(D323=$R$3,1,"")</f>
        <v/>
      </c>
      <c r="S323" s="9" t="str">
        <f>IF(D323=$S$3,1,"")</f>
        <v/>
      </c>
      <c r="T323" s="9" t="str">
        <f>IF(D323=$T$3,1,"")</f>
        <v/>
      </c>
      <c r="U323" s="9" t="str">
        <f>IF(D323=$U$3,1,"")</f>
        <v/>
      </c>
      <c r="V323" s="9" t="str">
        <f>IF(D323=$V$3,1,"")</f>
        <v/>
      </c>
      <c r="W323" s="9" t="str">
        <f>IF(D323=$W$3,1,"")</f>
        <v/>
      </c>
      <c r="X323" s="9" t="str">
        <f>IF(D323=$X$3,1,"")</f>
        <v/>
      </c>
      <c r="Y323" s="9" t="e">
        <f>IF(#REF!=$X$3,1,"")</f>
        <v>#REF!</v>
      </c>
      <c r="Z323" s="9" t="str">
        <f t="shared" si="44"/>
        <v/>
      </c>
      <c r="AA323" s="9" t="str">
        <f t="shared" si="45"/>
        <v/>
      </c>
      <c r="AB323" s="9" t="str">
        <f t="shared" si="46"/>
        <v/>
      </c>
      <c r="AC323" s="9" t="str">
        <f t="shared" si="47"/>
        <v/>
      </c>
      <c r="AD323" s="9" t="str">
        <f t="shared" si="48"/>
        <v/>
      </c>
    </row>
    <row r="324" spans="1:30" ht="21" customHeight="1" x14ac:dyDescent="0.2">
      <c r="A324" s="266">
        <f t="shared" si="42"/>
        <v>314</v>
      </c>
      <c r="B324" s="267" t="s">
        <v>675</v>
      </c>
      <c r="C324" s="268" t="str">
        <f t="shared" si="56"/>
        <v>vs</v>
      </c>
      <c r="D324" s="269" t="s">
        <v>15</v>
      </c>
      <c r="E324" s="268">
        <v>2025</v>
      </c>
      <c r="F324" s="119" t="s">
        <v>23</v>
      </c>
      <c r="G324" s="9"/>
      <c r="H324" s="19" t="s">
        <v>676</v>
      </c>
      <c r="M324" s="9" t="str">
        <f>IF(D324=$M$3,1,"")</f>
        <v/>
      </c>
      <c r="N324" s="9" t="str">
        <f>IF(D324=$N$3,1,"")</f>
        <v/>
      </c>
      <c r="O324" s="9" t="str">
        <f>IF(D324=$O$3,1,"")</f>
        <v/>
      </c>
      <c r="P324" s="9" t="str">
        <f>IF(D324=$P$3,1,"")</f>
        <v/>
      </c>
      <c r="Q324" s="9" t="str">
        <f>IF(D324=$Q$3,1,"")</f>
        <v/>
      </c>
      <c r="R324" s="9" t="str">
        <f>IF(D324=$R$3,1,"")</f>
        <v/>
      </c>
      <c r="S324" s="9" t="str">
        <f>IF(D324=$S$3,1,"")</f>
        <v/>
      </c>
      <c r="T324" s="9">
        <f>IF(D324=$T$3,1,"")</f>
        <v>1</v>
      </c>
      <c r="U324" s="9" t="str">
        <f>IF(D324=$U$3,1,"")</f>
        <v/>
      </c>
      <c r="V324" s="9" t="str">
        <f>IF(D324=$V$3,1,"")</f>
        <v/>
      </c>
      <c r="W324" s="9" t="str">
        <f>IF(D324=$W$3,1,"")</f>
        <v/>
      </c>
      <c r="X324" s="9" t="str">
        <f>IF(D324=$X$3,1,"")</f>
        <v/>
      </c>
      <c r="Y324" s="9" t="e">
        <f>IF(#REF!=$X$3,1,"")</f>
        <v>#REF!</v>
      </c>
      <c r="Z324" s="9" t="str">
        <f t="shared" si="44"/>
        <v/>
      </c>
      <c r="AA324" s="9" t="str">
        <f t="shared" si="45"/>
        <v/>
      </c>
      <c r="AB324" s="9" t="str">
        <f t="shared" si="46"/>
        <v/>
      </c>
      <c r="AC324" s="9" t="str">
        <f t="shared" si="47"/>
        <v/>
      </c>
      <c r="AD324" s="9" t="str">
        <f t="shared" si="48"/>
        <v/>
      </c>
    </row>
    <row r="325" spans="1:30" ht="21" customHeight="1" x14ac:dyDescent="0.2">
      <c r="A325" s="258">
        <f t="shared" si="42"/>
        <v>315</v>
      </c>
      <c r="B325" s="261" t="s">
        <v>677</v>
      </c>
      <c r="C325" s="259" t="str">
        <f t="shared" si="56"/>
        <v>vs</v>
      </c>
      <c r="D325" s="260" t="s">
        <v>15</v>
      </c>
      <c r="E325" s="259">
        <v>2025</v>
      </c>
      <c r="F325" s="18" t="s">
        <v>47</v>
      </c>
      <c r="G325" s="9"/>
      <c r="H325" s="19" t="s">
        <v>678</v>
      </c>
      <c r="M325" s="9" t="str">
        <f>IF(D325=$M$3,1,"")</f>
        <v/>
      </c>
      <c r="N325" s="9" t="str">
        <f>IF(D325=$N$3,1,"")</f>
        <v/>
      </c>
      <c r="O325" s="9" t="str">
        <f>IF(D325=$O$3,1,"")</f>
        <v/>
      </c>
      <c r="P325" s="9" t="str">
        <f>IF(D325=$P$3,1,"")</f>
        <v/>
      </c>
      <c r="Q325" s="9" t="str">
        <f>IF(D325=$Q$3,1,"")</f>
        <v/>
      </c>
      <c r="R325" s="9" t="str">
        <f>IF(D325=$R$3,1,"")</f>
        <v/>
      </c>
      <c r="S325" s="9" t="str">
        <f>IF(D325=$S$3,1,"")</f>
        <v/>
      </c>
      <c r="T325" s="9">
        <f>IF(D325=$T$3,1,"")</f>
        <v>1</v>
      </c>
      <c r="U325" s="9" t="str">
        <f>IF(D325=$U$3,1,"")</f>
        <v/>
      </c>
      <c r="V325" s="9" t="str">
        <f>IF(D325=$V$3,1,"")</f>
        <v/>
      </c>
      <c r="W325" s="9" t="str">
        <f>IF(D325=$W$3,1,"")</f>
        <v/>
      </c>
      <c r="X325" s="9" t="str">
        <f>IF(D325=$X$3,1,"")</f>
        <v/>
      </c>
      <c r="Y325" s="9" t="e">
        <f>IF(#REF!=$X$3,1,"")</f>
        <v>#REF!</v>
      </c>
      <c r="Z325" s="9" t="str">
        <f t="shared" si="44"/>
        <v/>
      </c>
      <c r="AA325" s="9" t="str">
        <f t="shared" si="45"/>
        <v/>
      </c>
      <c r="AB325" s="9" t="str">
        <f t="shared" si="46"/>
        <v/>
      </c>
      <c r="AC325" s="9" t="str">
        <f t="shared" si="47"/>
        <v/>
      </c>
      <c r="AD325" s="9" t="str">
        <f t="shared" si="48"/>
        <v/>
      </c>
    </row>
    <row r="326" spans="1:30" ht="21" customHeight="1" x14ac:dyDescent="0.2">
      <c r="A326" s="258">
        <f t="shared" si="42"/>
        <v>316</v>
      </c>
      <c r="B326" s="261" t="s">
        <v>679</v>
      </c>
      <c r="C326" s="259" t="str">
        <f t="shared" si="56"/>
        <v>vs</v>
      </c>
      <c r="D326" s="260" t="s">
        <v>12</v>
      </c>
      <c r="E326" s="259">
        <v>2025</v>
      </c>
      <c r="F326" s="18" t="s">
        <v>23</v>
      </c>
      <c r="G326" s="9"/>
      <c r="H326" s="19" t="s">
        <v>680</v>
      </c>
      <c r="M326" s="9" t="str">
        <f>IF(D326=$M$3,1,"")</f>
        <v/>
      </c>
      <c r="N326" s="9" t="str">
        <f>IF(D326=$N$3,1,"")</f>
        <v/>
      </c>
      <c r="O326" s="9" t="str">
        <f>IF(D326=$O$3,1,"")</f>
        <v/>
      </c>
      <c r="P326" s="9" t="str">
        <f>IF(D326=$P$3,1,"")</f>
        <v/>
      </c>
      <c r="Q326" s="9">
        <f>IF(D326=$Q$3,1,"")</f>
        <v>1</v>
      </c>
      <c r="R326" s="9" t="str">
        <f>IF(D326=$R$3,1,"")</f>
        <v/>
      </c>
      <c r="S326" s="9" t="str">
        <f>IF(D326=$S$3,1,"")</f>
        <v/>
      </c>
      <c r="T326" s="9" t="str">
        <f>IF(D326=$T$3,1,"")</f>
        <v/>
      </c>
      <c r="U326" s="9" t="str">
        <f>IF(D326=$U$3,1,"")</f>
        <v/>
      </c>
      <c r="V326" s="9" t="str">
        <f>IF(D326=$V$3,1,"")</f>
        <v/>
      </c>
      <c r="W326" s="9" t="str">
        <f>IF(D326=$W$3,1,"")</f>
        <v/>
      </c>
      <c r="X326" s="9" t="str">
        <f>IF(D326=$X$3,1,"")</f>
        <v/>
      </c>
      <c r="Y326" s="9" t="e">
        <f>IF(#REF!=$X$3,1,"")</f>
        <v>#REF!</v>
      </c>
      <c r="Z326" s="9" t="str">
        <f t="shared" si="44"/>
        <v/>
      </c>
      <c r="AA326" s="9" t="str">
        <f t="shared" si="45"/>
        <v/>
      </c>
      <c r="AB326" s="9" t="str">
        <f t="shared" si="46"/>
        <v/>
      </c>
      <c r="AC326" s="9" t="str">
        <f t="shared" si="47"/>
        <v/>
      </c>
      <c r="AD326" s="9" t="str">
        <f t="shared" si="48"/>
        <v/>
      </c>
    </row>
    <row r="327" spans="1:30" ht="21" customHeight="1" thickBot="1" x14ac:dyDescent="0.25">
      <c r="A327" s="270">
        <f t="shared" si="42"/>
        <v>317</v>
      </c>
      <c r="B327" s="271" t="s">
        <v>681</v>
      </c>
      <c r="C327" s="272" t="str">
        <f t="shared" si="56"/>
        <v>vs</v>
      </c>
      <c r="D327" s="273" t="s">
        <v>15</v>
      </c>
      <c r="E327" s="272">
        <v>2025</v>
      </c>
      <c r="F327" s="11" t="s">
        <v>23</v>
      </c>
      <c r="G327" s="9"/>
      <c r="H327" s="19" t="s">
        <v>682</v>
      </c>
      <c r="M327" s="9" t="str">
        <f>IF(D327=$M$3,1,"")</f>
        <v/>
      </c>
      <c r="N327" s="9" t="str">
        <f>IF(D327=$N$3,1,"")</f>
        <v/>
      </c>
      <c r="O327" s="9" t="str">
        <f>IF(D327=$O$3,1,"")</f>
        <v/>
      </c>
      <c r="P327" s="9" t="str">
        <f>IF(D327=$P$3,1,"")</f>
        <v/>
      </c>
      <c r="Q327" s="9" t="str">
        <f>IF(D327=$Q$3,1,"")</f>
        <v/>
      </c>
      <c r="R327" s="9" t="str">
        <f>IF(D327=$R$3,1,"")</f>
        <v/>
      </c>
      <c r="S327" s="9" t="str">
        <f>IF(D327=$S$3,1,"")</f>
        <v/>
      </c>
      <c r="T327" s="9">
        <f>IF(D327=$T$3,1,"")</f>
        <v>1</v>
      </c>
      <c r="U327" s="9" t="str">
        <f>IF(D327=$U$3,1,"")</f>
        <v/>
      </c>
      <c r="V327" s="9" t="str">
        <f>IF(D327=$V$3,1,"")</f>
        <v/>
      </c>
      <c r="W327" s="9" t="str">
        <f>IF(D327=$W$3,1,"")</f>
        <v/>
      </c>
      <c r="X327" s="9" t="str">
        <f>IF(D327=$X$3,1,"")</f>
        <v/>
      </c>
      <c r="Y327" s="9" t="e">
        <f>IF(#REF!=$X$3,1,"")</f>
        <v>#REF!</v>
      </c>
      <c r="Z327" s="9" t="str">
        <f t="shared" si="44"/>
        <v/>
      </c>
      <c r="AA327" s="9" t="str">
        <f t="shared" si="45"/>
        <v/>
      </c>
      <c r="AB327" s="9" t="str">
        <f t="shared" si="46"/>
        <v/>
      </c>
      <c r="AC327" s="9" t="str">
        <f t="shared" si="47"/>
        <v/>
      </c>
      <c r="AD327" s="9" t="str">
        <f t="shared" si="48"/>
        <v/>
      </c>
    </row>
    <row r="328" spans="1:30" ht="21" customHeight="1" x14ac:dyDescent="0.2">
      <c r="A328" s="284"/>
      <c r="B328" s="285" t="s">
        <v>683</v>
      </c>
      <c r="C328" s="286" t="str">
        <f>IF(B328="","","vs")</f>
        <v>vs</v>
      </c>
      <c r="D328" s="287" t="s">
        <v>8</v>
      </c>
      <c r="E328" s="286"/>
      <c r="F328" s="288"/>
      <c r="G328" s="9"/>
      <c r="H328" s="19" t="s">
        <v>684</v>
      </c>
      <c r="M328" s="9">
        <f>IF(D328=$M$3,1,"")</f>
        <v>1</v>
      </c>
      <c r="N328" s="9" t="str">
        <f>IF(D328=$N$3,1,"")</f>
        <v/>
      </c>
      <c r="O328" s="9" t="str">
        <f>IF(D328=$O$3,1,"")</f>
        <v/>
      </c>
      <c r="P328" s="9" t="str">
        <f>IF(D328=$P$3,1,"")</f>
        <v/>
      </c>
      <c r="Q328" s="9" t="str">
        <f>IF(D328=$Q$3,1,"")</f>
        <v/>
      </c>
      <c r="R328" s="9" t="str">
        <f>IF(D328=$R$3,1,"")</f>
        <v/>
      </c>
      <c r="S328" s="9" t="str">
        <f>IF(D328=$S$3,1,"")</f>
        <v/>
      </c>
      <c r="T328" s="9" t="str">
        <f>IF(D328=$T$3,1,"")</f>
        <v/>
      </c>
      <c r="U328" s="9" t="str">
        <f>IF(D328=$U$3,1,"")</f>
        <v/>
      </c>
      <c r="V328" s="9" t="str">
        <f>IF(D328=$V$3,1,"")</f>
        <v/>
      </c>
      <c r="W328" s="9" t="str">
        <f>IF(D328=$W$3,1,"")</f>
        <v/>
      </c>
      <c r="X328" s="9" t="str">
        <f>IF(D328=$X$3,1,"")</f>
        <v/>
      </c>
      <c r="Y328" s="9" t="e">
        <f>IF(#REF!=$X$3,1,"")</f>
        <v>#REF!</v>
      </c>
      <c r="Z328" s="9">
        <f>IF(F328=$Z$3,1,"")</f>
        <v>1</v>
      </c>
      <c r="AA328" s="9">
        <f>IF(F328=$AA$3,1,"")</f>
        <v>1</v>
      </c>
      <c r="AB328" s="9">
        <f>IF(F328=$AB$3,1,"")</f>
        <v>1</v>
      </c>
      <c r="AC328" s="9">
        <f>IF(F328=$AC$3,1,"")</f>
        <v>1</v>
      </c>
      <c r="AD328" s="9">
        <f>IF(F328=$AE$3,1,"")</f>
        <v>1</v>
      </c>
    </row>
    <row r="329" spans="1:30" ht="21" customHeight="1" x14ac:dyDescent="0.2">
      <c r="A329" s="289"/>
      <c r="B329" s="290" t="s">
        <v>685</v>
      </c>
      <c r="C329" s="291" t="str">
        <f t="shared" ref="C329" si="63">IF(B329="","","vs")</f>
        <v>vs</v>
      </c>
      <c r="D329" s="292" t="s">
        <v>12</v>
      </c>
      <c r="E329" s="291"/>
      <c r="F329" s="18"/>
      <c r="G329" s="9"/>
      <c r="H329" s="19" t="s">
        <v>686</v>
      </c>
      <c r="M329" s="9" t="str">
        <f>IF(D329=$M$3,1,"")</f>
        <v/>
      </c>
      <c r="N329" s="9" t="str">
        <f>IF(D329=$N$3,1,"")</f>
        <v/>
      </c>
      <c r="O329" s="9" t="str">
        <f>IF(D329=$O$3,1,"")</f>
        <v/>
      </c>
      <c r="P329" s="9" t="str">
        <f>IF(D329=$P$3,1,"")</f>
        <v/>
      </c>
      <c r="Q329" s="9">
        <f>IF(D329=$Q$3,1,"")</f>
        <v>1</v>
      </c>
      <c r="R329" s="9" t="str">
        <f>IF(D329=$R$3,1,"")</f>
        <v/>
      </c>
      <c r="S329" s="9" t="str">
        <f>IF(D329=$S$3,1,"")</f>
        <v/>
      </c>
      <c r="T329" s="9" t="str">
        <f>IF(D329=$T$3,1,"")</f>
        <v/>
      </c>
      <c r="U329" s="9" t="str">
        <f>IF(D329=$U$3,1,"")</f>
        <v/>
      </c>
      <c r="V329" s="9" t="str">
        <f>IF(D329=$V$3,1,"")</f>
        <v/>
      </c>
      <c r="W329" s="9" t="str">
        <f>IF(D329=$W$3,1,"")</f>
        <v/>
      </c>
      <c r="X329" s="9" t="str">
        <f>IF(D329=$X$3,1,"")</f>
        <v/>
      </c>
      <c r="Y329" s="9" t="e">
        <f>IF(#REF!=$X$3,1,"")</f>
        <v>#REF!</v>
      </c>
      <c r="Z329" s="9">
        <f t="shared" ref="Z329" si="64">IF(F329=$Z$3,1,"")</f>
        <v>1</v>
      </c>
      <c r="AA329" s="9">
        <f t="shared" ref="AA329" si="65">IF(F329=$AA$3,1,"")</f>
        <v>1</v>
      </c>
      <c r="AB329" s="9">
        <f t="shared" ref="AB329" si="66">IF(F329=$AB$3,1,"")</f>
        <v>1</v>
      </c>
      <c r="AC329" s="9">
        <f t="shared" ref="AC329" si="67">IF(F329=$AC$3,1,"")</f>
        <v>1</v>
      </c>
      <c r="AD329" s="9">
        <f t="shared" ref="AD329" si="68">IF(F329=$AE$3,1,"")</f>
        <v>1</v>
      </c>
    </row>
    <row r="330" spans="1:30" ht="21" customHeight="1" x14ac:dyDescent="0.2">
      <c r="A330" s="15"/>
      <c r="B330" s="34" t="s">
        <v>687</v>
      </c>
      <c r="C330" s="20" t="str">
        <f t="shared" si="56"/>
        <v>vs</v>
      </c>
      <c r="D330" s="21" t="s">
        <v>18</v>
      </c>
      <c r="E330" s="20"/>
      <c r="F330" s="18"/>
      <c r="G330" s="9"/>
      <c r="H330" s="19" t="s">
        <v>688</v>
      </c>
      <c r="M330" s="9" t="str">
        <f>IF(D330=$M$3,1,"")</f>
        <v/>
      </c>
      <c r="N330" s="9" t="str">
        <f>IF(D330=$N$3,1,"")</f>
        <v/>
      </c>
      <c r="O330" s="9" t="str">
        <f>IF(D330=$O$3,1,"")</f>
        <v/>
      </c>
      <c r="P330" s="9" t="str">
        <f>IF(D330=$P$3,1,"")</f>
        <v/>
      </c>
      <c r="Q330" s="9" t="str">
        <f>IF(D330=$Q$3,1,"")</f>
        <v/>
      </c>
      <c r="R330" s="9" t="str">
        <f>IF(D330=$R$3,1,"")</f>
        <v/>
      </c>
      <c r="S330" s="9" t="str">
        <f>IF(D330=$S$3,1,"")</f>
        <v/>
      </c>
      <c r="T330" s="9" t="str">
        <f>IF(D330=$T$3,1,"")</f>
        <v/>
      </c>
      <c r="U330" s="9" t="str">
        <f>IF(D330=$U$3,1,"")</f>
        <v/>
      </c>
      <c r="V330" s="9" t="str">
        <f>IF(D330=$V$3,1,"")</f>
        <v/>
      </c>
      <c r="W330" s="9">
        <f>IF(D330=$W$3,1,"")</f>
        <v>1</v>
      </c>
      <c r="X330" s="9" t="str">
        <f>IF(D330=$X$3,1,"")</f>
        <v/>
      </c>
      <c r="Y330" s="9" t="e">
        <f>IF(#REF!=$X$3,1,"")</f>
        <v>#REF!</v>
      </c>
      <c r="Z330" s="9">
        <f t="shared" si="44"/>
        <v>1</v>
      </c>
      <c r="AA330" s="9">
        <f t="shared" si="45"/>
        <v>1</v>
      </c>
      <c r="AB330" s="9">
        <f t="shared" si="46"/>
        <v>1</v>
      </c>
      <c r="AC330" s="9">
        <f t="shared" si="47"/>
        <v>1</v>
      </c>
      <c r="AD330" s="9">
        <f t="shared" si="48"/>
        <v>1</v>
      </c>
    </row>
    <row r="331" spans="1:30" ht="21" customHeight="1" x14ac:dyDescent="0.2">
      <c r="A331" s="294">
        <f>IF(B332="","",A327+1)</f>
        <v>318</v>
      </c>
      <c r="B331" s="295" t="s">
        <v>689</v>
      </c>
      <c r="C331" s="296" t="str">
        <f t="shared" ref="C331" si="69">IF(B331="","","vs")</f>
        <v>vs</v>
      </c>
      <c r="D331" s="297" t="s">
        <v>15</v>
      </c>
      <c r="E331" s="296">
        <v>2025</v>
      </c>
      <c r="F331" s="298" t="s">
        <v>23</v>
      </c>
      <c r="G331" s="9"/>
      <c r="H331" s="19" t="s">
        <v>690</v>
      </c>
      <c r="M331" s="9" t="str">
        <f>IF(D332=$M$3,1,"")</f>
        <v/>
      </c>
      <c r="N331" s="9" t="str">
        <f>IF(D332=$N$3,1,"")</f>
        <v/>
      </c>
      <c r="O331" s="9" t="str">
        <f>IF(D332=$O$3,1,"")</f>
        <v/>
      </c>
      <c r="P331" s="9" t="str">
        <f>IF(D332=$P$3,1,"")</f>
        <v/>
      </c>
      <c r="Q331" s="9" t="str">
        <f>IF(D332=$Q$3,1,"")</f>
        <v/>
      </c>
      <c r="R331" s="9" t="str">
        <f>IF(D332=$R$3,1,"")</f>
        <v/>
      </c>
      <c r="S331" s="9" t="str">
        <f>IF(D332=$S$3,1,"")</f>
        <v/>
      </c>
      <c r="T331" s="9">
        <f>IF(D332=$T$3,1,"")</f>
        <v>1</v>
      </c>
      <c r="U331" s="9" t="str">
        <f>IF(D332=$U$3,1,"")</f>
        <v/>
      </c>
      <c r="V331" s="9" t="str">
        <f>IF(D332=$V$3,1,"")</f>
        <v/>
      </c>
      <c r="W331" s="9" t="str">
        <f>IF(D332=$W$3,1,"")</f>
        <v/>
      </c>
      <c r="X331" s="9" t="str">
        <f>IF(D332=$X$3,1,"")</f>
        <v/>
      </c>
      <c r="Y331" s="9" t="e">
        <f>IF(#REF!=$X$3,1,"")</f>
        <v>#REF!</v>
      </c>
      <c r="Z331" s="9" t="str">
        <f>IF(F332=$Z$3,1,"")</f>
        <v/>
      </c>
      <c r="AA331" s="9" t="str">
        <f>IF(F332=$AA$3,1,"")</f>
        <v/>
      </c>
      <c r="AB331" s="9" t="str">
        <f>IF(F332=$AB$3,1,"")</f>
        <v/>
      </c>
      <c r="AC331" s="9" t="str">
        <f>IF(F332=$AC$3,1,"")</f>
        <v/>
      </c>
      <c r="AD331" s="9" t="str">
        <f>IF(F332=$AE$3,1,"")</f>
        <v/>
      </c>
    </row>
    <row r="332" spans="1:30" ht="21" customHeight="1" x14ac:dyDescent="0.2">
      <c r="A332" s="294">
        <f>IF(B331="","",A331+1)</f>
        <v>319</v>
      </c>
      <c r="B332" s="295" t="s">
        <v>691</v>
      </c>
      <c r="C332" s="296" t="str">
        <f>IF(B332="","","vs")</f>
        <v>vs</v>
      </c>
      <c r="D332" s="297" t="s">
        <v>15</v>
      </c>
      <c r="E332" s="296">
        <v>2025</v>
      </c>
      <c r="F332" s="298" t="s">
        <v>23</v>
      </c>
      <c r="G332" s="9"/>
      <c r="H332" s="19" t="s">
        <v>692</v>
      </c>
      <c r="M332" s="9" t="str">
        <f>IF(D331=$M$3,1,"")</f>
        <v/>
      </c>
      <c r="N332" s="9" t="str">
        <f>IF(D331=$N$3,1,"")</f>
        <v/>
      </c>
      <c r="O332" s="9" t="str">
        <f>IF(D331=$O$3,1,"")</f>
        <v/>
      </c>
      <c r="P332" s="9" t="str">
        <f>IF(D331=$P$3,1,"")</f>
        <v/>
      </c>
      <c r="Q332" s="9" t="str">
        <f>IF(D331=$Q$3,1,"")</f>
        <v/>
      </c>
      <c r="R332" s="9" t="str">
        <f>IF(D331=$R$3,1,"")</f>
        <v/>
      </c>
      <c r="S332" s="9" t="str">
        <f>IF(D331=$S$3,1,"")</f>
        <v/>
      </c>
      <c r="T332" s="9">
        <f>IF(D331=$T$3,1,"")</f>
        <v>1</v>
      </c>
      <c r="U332" s="9" t="str">
        <f>IF(D331=$U$3,1,"")</f>
        <v/>
      </c>
      <c r="V332" s="9" t="str">
        <f>IF(D331=$V$3,1,"")</f>
        <v/>
      </c>
      <c r="W332" s="9" t="str">
        <f>IF(D331=$W$3,1,"")</f>
        <v/>
      </c>
      <c r="X332" s="9" t="str">
        <f>IF(D331=$X$3,1,"")</f>
        <v/>
      </c>
      <c r="Y332" s="9" t="e">
        <f>IF(#REF!=$X$3,1,"")</f>
        <v>#REF!</v>
      </c>
      <c r="Z332" s="9" t="str">
        <f>IF(F331=$Z$3,1,"")</f>
        <v/>
      </c>
      <c r="AA332" s="9" t="str">
        <f>IF(F331=$AA$3,1,"")</f>
        <v/>
      </c>
      <c r="AB332" s="9" t="str">
        <f>IF(F331=$AB$3,1,"")</f>
        <v/>
      </c>
      <c r="AC332" s="9" t="str">
        <f>IF(F331=$AC$3,1,"")</f>
        <v/>
      </c>
      <c r="AD332" s="9" t="str">
        <f>IF(F331=$AE$3,1,"")</f>
        <v/>
      </c>
    </row>
    <row r="333" spans="1:30" ht="21" customHeight="1" x14ac:dyDescent="0.2">
      <c r="A333" s="294">
        <f>IF(B324="","",A332+1)</f>
        <v>320</v>
      </c>
      <c r="B333" s="295" t="s">
        <v>693</v>
      </c>
      <c r="C333" s="296" t="str">
        <f>IF(B333="","","vs")</f>
        <v>vs</v>
      </c>
      <c r="D333" s="297" t="s">
        <v>9</v>
      </c>
      <c r="E333" s="296">
        <v>2025</v>
      </c>
      <c r="F333" s="298" t="s">
        <v>23</v>
      </c>
      <c r="G333" s="9"/>
      <c r="H333" s="19" t="s">
        <v>694</v>
      </c>
      <c r="M333" s="9" t="str">
        <f>IF(D332=$M$3,1,"")</f>
        <v/>
      </c>
      <c r="N333" s="9" t="str">
        <f>IF(D332=$N$3,1,"")</f>
        <v/>
      </c>
      <c r="O333" s="9" t="str">
        <f>IF(D332=$O$3,1,"")</f>
        <v/>
      </c>
      <c r="P333" s="9" t="str">
        <f>IF(D332=$P$3,1,"")</f>
        <v/>
      </c>
      <c r="Q333" s="9" t="str">
        <f>IF(D332=$Q$3,1,"")</f>
        <v/>
      </c>
      <c r="R333" s="9" t="str">
        <f>IF(D332=$R$3,1,"")</f>
        <v/>
      </c>
      <c r="S333" s="9" t="str">
        <f>IF(D332=$S$3,1,"")</f>
        <v/>
      </c>
      <c r="T333" s="9">
        <f>IF(D332=$T$3,1,"")</f>
        <v>1</v>
      </c>
      <c r="U333" s="9" t="str">
        <f>IF(D332=$U$3,1,"")</f>
        <v/>
      </c>
      <c r="V333" s="9" t="str">
        <f>IF(D332=$V$3,1,"")</f>
        <v/>
      </c>
      <c r="W333" s="9" t="str">
        <f>IF(D332=$W$3,1,"")</f>
        <v/>
      </c>
      <c r="X333" s="9" t="str">
        <f>IF(D332=$X$3,1,"")</f>
        <v/>
      </c>
      <c r="Y333" s="9" t="e">
        <f>IF(#REF!=$X$3,1,"")</f>
        <v>#REF!</v>
      </c>
      <c r="Z333" s="9" t="str">
        <f>IF(F332=$Z$3,1,"")</f>
        <v/>
      </c>
      <c r="AA333" s="9" t="str">
        <f>IF(F332=$AA$3,1,"")</f>
        <v/>
      </c>
      <c r="AB333" s="9" t="str">
        <f>IF(F332=$AB$3,1,"")</f>
        <v/>
      </c>
      <c r="AC333" s="9" t="str">
        <f>IF(F332=$AC$3,1,"")</f>
        <v/>
      </c>
      <c r="AD333" s="9" t="str">
        <f>IF(F332=$AE$3,1,"")</f>
        <v/>
      </c>
    </row>
    <row r="334" spans="1:30" ht="21" customHeight="1" x14ac:dyDescent="0.2">
      <c r="A334" s="299">
        <f t="shared" ref="A334:A381" si="70">IF(B334="","",A333+1)</f>
        <v>321</v>
      </c>
      <c r="B334" s="303" t="s">
        <v>695</v>
      </c>
      <c r="C334" s="300" t="str">
        <f t="shared" si="56"/>
        <v>vs</v>
      </c>
      <c r="D334" s="301" t="s">
        <v>14</v>
      </c>
      <c r="E334" s="300">
        <v>2025</v>
      </c>
      <c r="F334" s="302" t="s">
        <v>23</v>
      </c>
      <c r="G334" s="9"/>
      <c r="H334" s="19" t="s">
        <v>696</v>
      </c>
      <c r="M334" s="9" t="str">
        <f>IF(D334=$M$3,1,"")</f>
        <v/>
      </c>
      <c r="N334" s="9" t="str">
        <f>IF(D334=$N$3,1,"")</f>
        <v/>
      </c>
      <c r="O334" s="9" t="str">
        <f>IF(D334=$O$3,1,"")</f>
        <v/>
      </c>
      <c r="P334" s="9" t="str">
        <f>IF(D334=$P$3,1,"")</f>
        <v/>
      </c>
      <c r="Q334" s="9" t="str">
        <f>IF(D334=$Q$3,1,"")</f>
        <v/>
      </c>
      <c r="R334" s="9" t="str">
        <f>IF(D334=$R$3,1,"")</f>
        <v/>
      </c>
      <c r="S334" s="9">
        <f>IF(D334=$S$3,1,"")</f>
        <v>1</v>
      </c>
      <c r="T334" s="9" t="str">
        <f>IF(D334=$T$3,1,"")</f>
        <v/>
      </c>
      <c r="U334" s="9" t="str">
        <f>IF(D334=$U$3,1,"")</f>
        <v/>
      </c>
      <c r="V334" s="9" t="str">
        <f>IF(D334=$V$3,1,"")</f>
        <v/>
      </c>
      <c r="W334" s="9" t="str">
        <f>IF(D334=$W$3,1,"")</f>
        <v/>
      </c>
      <c r="X334" s="9" t="str">
        <f>IF(D334=$X$3,1,"")</f>
        <v/>
      </c>
      <c r="Y334" s="9" t="e">
        <f>IF(#REF!=$X$3,1,"")</f>
        <v>#REF!</v>
      </c>
      <c r="Z334" s="9" t="str">
        <f t="shared" si="44"/>
        <v/>
      </c>
      <c r="AA334" s="9" t="str">
        <f t="shared" si="45"/>
        <v/>
      </c>
      <c r="AB334" s="9" t="str">
        <f t="shared" si="46"/>
        <v/>
      </c>
      <c r="AC334" s="9" t="str">
        <f t="shared" si="47"/>
        <v/>
      </c>
      <c r="AD334" s="9" t="str">
        <f t="shared" si="48"/>
        <v/>
      </c>
    </row>
    <row r="335" spans="1:30" ht="21" customHeight="1" x14ac:dyDescent="0.2">
      <c r="A335" s="299">
        <f t="shared" si="70"/>
        <v>322</v>
      </c>
      <c r="B335" s="303" t="s">
        <v>697</v>
      </c>
      <c r="C335" s="300" t="str">
        <f>IF(B335="","","vs")</f>
        <v>vs</v>
      </c>
      <c r="D335" s="301" t="s">
        <v>16</v>
      </c>
      <c r="E335" s="300">
        <v>2025</v>
      </c>
      <c r="F335" s="302" t="s">
        <v>23</v>
      </c>
      <c r="G335" s="9"/>
      <c r="H335" s="19" t="s">
        <v>698</v>
      </c>
      <c r="M335" s="9" t="str">
        <f>IF(D335=$M$3,1,"")</f>
        <v/>
      </c>
      <c r="N335" s="9" t="str">
        <f>IF(D335=$N$3,1,"")</f>
        <v/>
      </c>
      <c r="O335" s="9" t="str">
        <f>IF(D335=$O$3,1,"")</f>
        <v/>
      </c>
      <c r="P335" s="9" t="str">
        <f>IF(D335=$P$3,1,"")</f>
        <v/>
      </c>
      <c r="Q335" s="9" t="str">
        <f>IF(D335=$Q$3,1,"")</f>
        <v/>
      </c>
      <c r="R335" s="9" t="str">
        <f>IF(D335=$R$3,1,"")</f>
        <v/>
      </c>
      <c r="S335" s="9" t="str">
        <f>IF(D335=$S$3,1,"")</f>
        <v/>
      </c>
      <c r="T335" s="9" t="str">
        <f>IF(D335=$T$3,1,"")</f>
        <v/>
      </c>
      <c r="U335" s="9">
        <f>IF(D335=$U$3,1,"")</f>
        <v>1</v>
      </c>
      <c r="V335" s="9" t="str">
        <f>IF(D335=$V$3,1,"")</f>
        <v/>
      </c>
      <c r="W335" s="9" t="str">
        <f>IF(D335=$W$3,1,"")</f>
        <v/>
      </c>
      <c r="X335" s="9" t="str">
        <f>IF(D335=$X$3,1,"")</f>
        <v/>
      </c>
      <c r="Y335" s="9" t="e">
        <f>IF(#REF!=$X$3,1,"")</f>
        <v>#REF!</v>
      </c>
      <c r="Z335" s="9" t="str">
        <f t="shared" si="44"/>
        <v/>
      </c>
      <c r="AA335" s="9" t="str">
        <f t="shared" si="45"/>
        <v/>
      </c>
      <c r="AB335" s="9" t="str">
        <f t="shared" si="46"/>
        <v/>
      </c>
      <c r="AC335" s="9" t="str">
        <f t="shared" si="47"/>
        <v/>
      </c>
      <c r="AD335" s="9" t="str">
        <f t="shared" si="48"/>
        <v/>
      </c>
    </row>
    <row r="336" spans="1:30" ht="21" customHeight="1" x14ac:dyDescent="0.2">
      <c r="A336" s="299">
        <f t="shared" si="70"/>
        <v>323</v>
      </c>
      <c r="B336" s="303" t="s">
        <v>699</v>
      </c>
      <c r="C336" s="300" t="str">
        <f>IF(B336="","","vs")</f>
        <v>vs</v>
      </c>
      <c r="D336" s="301" t="s">
        <v>16</v>
      </c>
      <c r="E336" s="300">
        <v>2025</v>
      </c>
      <c r="F336" s="302" t="s">
        <v>23</v>
      </c>
      <c r="G336" s="9"/>
      <c r="H336" s="19" t="s">
        <v>700</v>
      </c>
      <c r="M336" s="9" t="str">
        <f>IF(D336=$M$3,1,"")</f>
        <v/>
      </c>
      <c r="N336" s="9" t="str">
        <f>IF(D336=$N$3,1,"")</f>
        <v/>
      </c>
      <c r="O336" s="9" t="str">
        <f>IF(D336=$O$3,1,"")</f>
        <v/>
      </c>
      <c r="P336" s="9" t="str">
        <f>IF(D336=$P$3,1,"")</f>
        <v/>
      </c>
      <c r="Q336" s="9" t="str">
        <f>IF(D336=$Q$3,1,"")</f>
        <v/>
      </c>
      <c r="R336" s="9" t="str">
        <f>IF(D336=$R$3,1,"")</f>
        <v/>
      </c>
      <c r="S336" s="9" t="str">
        <f>IF(D336=$S$3,1,"")</f>
        <v/>
      </c>
      <c r="T336" s="9" t="str">
        <f>IF(D336=$T$3,1,"")</f>
        <v/>
      </c>
      <c r="U336" s="9">
        <f>IF(D336=$U$3,1,"")</f>
        <v>1</v>
      </c>
      <c r="V336" s="9" t="str">
        <f>IF(D336=$V$3,1,"")</f>
        <v/>
      </c>
      <c r="W336" s="9" t="str">
        <f>IF(D336=$W$3,1,"")</f>
        <v/>
      </c>
      <c r="X336" s="9" t="str">
        <f>IF(D336=$X$3,1,"")</f>
        <v/>
      </c>
      <c r="Y336" s="9" t="e">
        <f>IF(#REF!=$X$3,1,"")</f>
        <v>#REF!</v>
      </c>
      <c r="Z336" s="9" t="str">
        <f t="shared" si="44"/>
        <v/>
      </c>
      <c r="AA336" s="9" t="str">
        <f t="shared" si="45"/>
        <v/>
      </c>
      <c r="AB336" s="9" t="str">
        <f t="shared" si="46"/>
        <v/>
      </c>
      <c r="AC336" s="9" t="str">
        <f t="shared" si="47"/>
        <v/>
      </c>
      <c r="AD336" s="9" t="str">
        <f t="shared" si="48"/>
        <v/>
      </c>
    </row>
    <row r="337" spans="1:30" ht="21" customHeight="1" x14ac:dyDescent="0.2">
      <c r="A337" s="299">
        <f t="shared" si="70"/>
        <v>324</v>
      </c>
      <c r="B337" s="303" t="s">
        <v>701</v>
      </c>
      <c r="C337" s="300" t="str">
        <f>IF(B337="","","vs")</f>
        <v>vs</v>
      </c>
      <c r="D337" s="301" t="s">
        <v>11</v>
      </c>
      <c r="E337" s="300">
        <v>2025</v>
      </c>
      <c r="F337" s="302" t="s">
        <v>47</v>
      </c>
      <c r="G337" s="9"/>
      <c r="H337" s="19" t="s">
        <v>694</v>
      </c>
      <c r="M337" s="9" t="str">
        <f>IF(D337=$M$3,1,"")</f>
        <v/>
      </c>
      <c r="N337" s="9" t="str">
        <f>IF(D337=$N$3,1,"")</f>
        <v/>
      </c>
      <c r="O337" s="9" t="str">
        <f>IF(D337=$O$3,1,"")</f>
        <v/>
      </c>
      <c r="P337" s="9">
        <f>IF(D337=$P$3,1,"")</f>
        <v>1</v>
      </c>
      <c r="Q337" s="9" t="str">
        <f>IF(D337=$Q$3,1,"")</f>
        <v/>
      </c>
      <c r="R337" s="9" t="str">
        <f>IF(D337=$R$3,1,"")</f>
        <v/>
      </c>
      <c r="S337" s="9" t="str">
        <f>IF(D337=$S$3,1,"")</f>
        <v/>
      </c>
      <c r="T337" s="9" t="str">
        <f>IF(D337=$T$3,1,"")</f>
        <v/>
      </c>
      <c r="U337" s="9" t="str">
        <f>IF(D337=$U$3,1,"")</f>
        <v/>
      </c>
      <c r="V337" s="9" t="str">
        <f>IF(D337=$V$3,1,"")</f>
        <v/>
      </c>
      <c r="W337" s="9" t="str">
        <f>IF(D337=$W$3,1,"")</f>
        <v/>
      </c>
      <c r="X337" s="9" t="str">
        <f>IF(D337=$X$3,1,"")</f>
        <v/>
      </c>
      <c r="Y337" s="9" t="e">
        <f>IF(#REF!=$X$3,1,"")</f>
        <v>#REF!</v>
      </c>
      <c r="Z337" s="9" t="str">
        <f t="shared" si="44"/>
        <v/>
      </c>
      <c r="AA337" s="9" t="str">
        <f t="shared" si="45"/>
        <v/>
      </c>
      <c r="AB337" s="9" t="str">
        <f t="shared" si="46"/>
        <v/>
      </c>
      <c r="AC337" s="9" t="str">
        <f t="shared" si="47"/>
        <v/>
      </c>
      <c r="AD337" s="9" t="str">
        <f t="shared" si="48"/>
        <v/>
      </c>
    </row>
    <row r="338" spans="1:30" ht="21" customHeight="1" x14ac:dyDescent="0.2">
      <c r="A338" s="299">
        <f t="shared" si="70"/>
        <v>325</v>
      </c>
      <c r="B338" s="303" t="s">
        <v>702</v>
      </c>
      <c r="C338" s="300" t="str">
        <f t="shared" si="56"/>
        <v>vs</v>
      </c>
      <c r="D338" s="301" t="s">
        <v>11</v>
      </c>
      <c r="E338" s="300">
        <v>2025</v>
      </c>
      <c r="F338" s="302" t="s">
        <v>23</v>
      </c>
      <c r="G338" s="9"/>
      <c r="H338" s="19" t="s">
        <v>703</v>
      </c>
      <c r="M338" s="9" t="str">
        <f>IF(D338=$M$3,1,"")</f>
        <v/>
      </c>
      <c r="N338" s="9" t="str">
        <f>IF(D338=$N$3,1,"")</f>
        <v/>
      </c>
      <c r="O338" s="9" t="str">
        <f>IF(D338=$O$3,1,"")</f>
        <v/>
      </c>
      <c r="P338" s="9">
        <f>IF(D338=$P$3,1,"")</f>
        <v>1</v>
      </c>
      <c r="Q338" s="9" t="str">
        <f>IF(D338=$Q$3,1,"")</f>
        <v/>
      </c>
      <c r="R338" s="9" t="str">
        <f>IF(D338=$R$3,1,"")</f>
        <v/>
      </c>
      <c r="S338" s="9" t="str">
        <f>IF(D338=$S$3,1,"")</f>
        <v/>
      </c>
      <c r="T338" s="9" t="str">
        <f>IF(D338=$T$3,1,"")</f>
        <v/>
      </c>
      <c r="U338" s="9" t="str">
        <f>IF(D338=$U$3,1,"")</f>
        <v/>
      </c>
      <c r="V338" s="9" t="str">
        <f>IF(D338=$V$3,1,"")</f>
        <v/>
      </c>
      <c r="W338" s="9" t="str">
        <f>IF(D338=$W$3,1,"")</f>
        <v/>
      </c>
      <c r="X338" s="9" t="str">
        <f>IF(D338=$X$3,1,"")</f>
        <v/>
      </c>
      <c r="Y338" s="9" t="e">
        <f>IF(#REF!=$X$3,1,"")</f>
        <v>#REF!</v>
      </c>
      <c r="Z338" s="9" t="str">
        <f t="shared" si="44"/>
        <v/>
      </c>
      <c r="AA338" s="9" t="str">
        <f t="shared" si="45"/>
        <v/>
      </c>
      <c r="AB338" s="9" t="str">
        <f t="shared" si="46"/>
        <v/>
      </c>
      <c r="AC338" s="9" t="str">
        <f t="shared" si="47"/>
        <v/>
      </c>
      <c r="AD338" s="9" t="str">
        <f t="shared" si="48"/>
        <v/>
      </c>
    </row>
    <row r="339" spans="1:30" ht="21" customHeight="1" x14ac:dyDescent="0.2">
      <c r="A339" s="289">
        <f t="shared" si="70"/>
        <v>326</v>
      </c>
      <c r="B339" s="290" t="s">
        <v>704</v>
      </c>
      <c r="C339" s="291" t="str">
        <f t="shared" si="56"/>
        <v>vs</v>
      </c>
      <c r="D339" s="292" t="s">
        <v>9</v>
      </c>
      <c r="E339" s="291">
        <v>2025</v>
      </c>
      <c r="F339" s="18" t="s">
        <v>52</v>
      </c>
      <c r="G339" s="9" t="s">
        <v>705</v>
      </c>
      <c r="H339" s="19" t="s">
        <v>706</v>
      </c>
      <c r="M339" s="9" t="str">
        <f>IF(D339=$M$3,1,"")</f>
        <v/>
      </c>
      <c r="N339" s="9">
        <f>IF(D339=$N$3,1,"")</f>
        <v>1</v>
      </c>
      <c r="O339" s="9" t="str">
        <f>IF(D339=$O$3,1,"")</f>
        <v/>
      </c>
      <c r="P339" s="9" t="str">
        <f>IF(D339=$P$3,1,"")</f>
        <v/>
      </c>
      <c r="Q339" s="9" t="str">
        <f>IF(D339=$Q$3,1,"")</f>
        <v/>
      </c>
      <c r="R339" s="9" t="str">
        <f>IF(D339=$R$3,1,"")</f>
        <v/>
      </c>
      <c r="S339" s="9" t="str">
        <f>IF(D339=$S$3,1,"")</f>
        <v/>
      </c>
      <c r="T339" s="9" t="str">
        <f>IF(D339=$T$3,1,"")</f>
        <v/>
      </c>
      <c r="U339" s="9" t="str">
        <f>IF(D339=$U$3,1,"")</f>
        <v/>
      </c>
      <c r="V339" s="9" t="str">
        <f>IF(D339=$V$3,1,"")</f>
        <v/>
      </c>
      <c r="W339" s="9" t="str">
        <f>IF(D339=$W$3,1,"")</f>
        <v/>
      </c>
      <c r="X339" s="9" t="str">
        <f>IF(D339=$X$3,1,"")</f>
        <v/>
      </c>
      <c r="Y339" s="9" t="e">
        <f>IF(#REF!=$X$3,1,"")</f>
        <v>#REF!</v>
      </c>
      <c r="Z339" s="9" t="str">
        <f t="shared" ref="Z339:Z407" si="71">IF(F339=$Z$3,1,"")</f>
        <v/>
      </c>
      <c r="AA339" s="9" t="str">
        <f t="shared" ref="AA339:AA407" si="72">IF(F339=$AA$3,1,"")</f>
        <v/>
      </c>
      <c r="AB339" s="9" t="str">
        <f t="shared" ref="AB339:AB407" si="73">IF(F339=$AB$3,1,"")</f>
        <v/>
      </c>
      <c r="AC339" s="9">
        <v>1</v>
      </c>
      <c r="AD339" s="9" t="str">
        <f t="shared" ref="AD339:AD407" si="74">IF(F339=$AE$3,1,"")</f>
        <v/>
      </c>
    </row>
    <row r="340" spans="1:30" ht="21" customHeight="1" x14ac:dyDescent="0.2">
      <c r="A340" s="174">
        <f t="shared" si="70"/>
        <v>327</v>
      </c>
      <c r="B340" s="304" t="s">
        <v>707</v>
      </c>
      <c r="C340" s="242" t="str">
        <f t="shared" si="56"/>
        <v>vs</v>
      </c>
      <c r="D340" s="243" t="s">
        <v>9</v>
      </c>
      <c r="E340" s="242">
        <v>2025</v>
      </c>
      <c r="F340" s="18" t="s">
        <v>33</v>
      </c>
      <c r="G340" s="9" t="s">
        <v>708</v>
      </c>
      <c r="H340" s="19" t="s">
        <v>709</v>
      </c>
      <c r="M340" s="9" t="str">
        <f>IF(D340=$M$3,1,"")</f>
        <v/>
      </c>
      <c r="N340" s="9">
        <f>IF(D340=$N$3,1,"")</f>
        <v>1</v>
      </c>
      <c r="O340" s="9" t="str">
        <f>IF(D340=$O$3,1,"")</f>
        <v/>
      </c>
      <c r="P340" s="9" t="str">
        <f>IF(D340=$P$3,1,"")</f>
        <v/>
      </c>
      <c r="Q340" s="9" t="str">
        <f>IF(D340=$Q$3,1,"")</f>
        <v/>
      </c>
      <c r="R340" s="9" t="str">
        <f>IF(D340=$R$3,1,"")</f>
        <v/>
      </c>
      <c r="S340" s="9" t="str">
        <f>IF(D340=$S$3,1,"")</f>
        <v/>
      </c>
      <c r="T340" s="9" t="str">
        <f>IF(D340=$T$3,1,"")</f>
        <v/>
      </c>
      <c r="U340" s="9" t="str">
        <f>IF(D340=$U$3,1,"")</f>
        <v/>
      </c>
      <c r="V340" s="9" t="str">
        <f>IF(D340=$V$3,1,"")</f>
        <v/>
      </c>
      <c r="W340" s="9" t="str">
        <f>IF(D340=$W$3,1,"")</f>
        <v/>
      </c>
      <c r="X340" s="9" t="str">
        <f>IF(D340=$X$3,1,"")</f>
        <v/>
      </c>
      <c r="Y340" s="9" t="e">
        <f>IF(#REF!=$X$3,1,"")</f>
        <v>#REF!</v>
      </c>
      <c r="Z340" s="9" t="str">
        <f t="shared" si="71"/>
        <v/>
      </c>
      <c r="AA340" s="9" t="str">
        <f t="shared" si="72"/>
        <v/>
      </c>
      <c r="AB340" s="9" t="str">
        <f t="shared" si="73"/>
        <v/>
      </c>
      <c r="AC340" s="9" t="str">
        <f t="shared" ref="AC340:AC407" si="75">IF(F340=$AC$3,1,"")</f>
        <v/>
      </c>
      <c r="AD340" s="9" t="str">
        <f t="shared" si="74"/>
        <v/>
      </c>
    </row>
    <row r="341" spans="1:30" ht="21" customHeight="1" x14ac:dyDescent="0.2">
      <c r="A341" s="174">
        <f t="shared" si="70"/>
        <v>328</v>
      </c>
      <c r="B341" s="304" t="s">
        <v>701</v>
      </c>
      <c r="C341" s="242"/>
      <c r="D341" s="243" t="s">
        <v>11</v>
      </c>
      <c r="E341" s="242">
        <v>2025</v>
      </c>
      <c r="F341" s="18" t="s">
        <v>23</v>
      </c>
      <c r="G341" s="9" t="s">
        <v>708</v>
      </c>
      <c r="H341" s="19" t="s">
        <v>694</v>
      </c>
      <c r="M341" s="9" t="str">
        <f>IF(D340=$M$3,1,"")</f>
        <v/>
      </c>
      <c r="N341" s="9">
        <f>IF(D340=$N$3,1,"")</f>
        <v>1</v>
      </c>
      <c r="O341" s="9" t="str">
        <f>IF(D340=$O$3,1,"")</f>
        <v/>
      </c>
      <c r="P341" s="9" t="str">
        <f>IF(D340=$P$3,1,"")</f>
        <v/>
      </c>
      <c r="Q341" s="9" t="str">
        <f>IF(D340=$Q$3,1,"")</f>
        <v/>
      </c>
      <c r="R341" s="9" t="str">
        <f>IF(D340=$R$3,1,"")</f>
        <v/>
      </c>
      <c r="S341" s="9" t="str">
        <f>IF(D340=$S$3,1,"")</f>
        <v/>
      </c>
      <c r="T341" s="9" t="str">
        <f>IF(D340=$T$3,1,"")</f>
        <v/>
      </c>
      <c r="U341" s="9" t="str">
        <f>IF(D340=$U$3,1,"")</f>
        <v/>
      </c>
      <c r="V341" s="9" t="str">
        <f>IF(D340=$V$3,1,"")</f>
        <v/>
      </c>
      <c r="W341" s="9" t="str">
        <f>IF(D340=$W$3,1,"")</f>
        <v/>
      </c>
      <c r="X341" s="9" t="str">
        <f>IF(D340=$X$3,1,"")</f>
        <v/>
      </c>
      <c r="Y341" s="9" t="e">
        <f>IF(#REF!=$X$3,1,"")</f>
        <v>#REF!</v>
      </c>
      <c r="Z341" s="9" t="str">
        <f>IF(F340=$Z$3,1,"")</f>
        <v/>
      </c>
      <c r="AA341" s="9" t="str">
        <f>IF(F340=$AA$3,1,"")</f>
        <v/>
      </c>
      <c r="AB341" s="9" t="str">
        <f>IF(F340=$AB$3,1,"")</f>
        <v/>
      </c>
      <c r="AC341" s="9" t="str">
        <f>IF(F340=$AC$3,1,"")</f>
        <v/>
      </c>
      <c r="AD341" s="9" t="str">
        <f>IF(F340=$AE$3,1,"")</f>
        <v/>
      </c>
    </row>
    <row r="342" spans="1:30" ht="21" customHeight="1" x14ac:dyDescent="0.2">
      <c r="A342" s="174">
        <f t="shared" si="70"/>
        <v>329</v>
      </c>
      <c r="B342" s="304" t="s">
        <v>710</v>
      </c>
      <c r="C342" s="242" t="str">
        <f t="shared" ref="C342:C343" si="76">IF(B342="","","vs")</f>
        <v>vs</v>
      </c>
      <c r="D342" s="243" t="s">
        <v>11</v>
      </c>
      <c r="E342" s="242">
        <v>2025</v>
      </c>
      <c r="F342" s="18" t="s">
        <v>23</v>
      </c>
      <c r="G342" s="9" t="s">
        <v>711</v>
      </c>
      <c r="H342" s="19" t="s">
        <v>712</v>
      </c>
      <c r="I342" s="7" t="s">
        <v>713</v>
      </c>
      <c r="M342" s="9" t="str">
        <f>IF(D341=$M$3,1,"")</f>
        <v/>
      </c>
      <c r="N342" s="9" t="str">
        <f>IF(D341=$N$3,1,"")</f>
        <v/>
      </c>
      <c r="O342" s="9" t="str">
        <f>IF(D341=$O$3,1,"")</f>
        <v/>
      </c>
      <c r="P342" s="9">
        <f>IF(D341=$P$3,1,"")</f>
        <v>1</v>
      </c>
      <c r="Q342" s="9" t="str">
        <f>IF(D341=$Q$3,1,"")</f>
        <v/>
      </c>
      <c r="R342" s="9" t="str">
        <f>IF(D341=$R$3,1,"")</f>
        <v/>
      </c>
      <c r="S342" s="9" t="str">
        <f>IF(D341=$S$3,1,"")</f>
        <v/>
      </c>
      <c r="T342" s="9" t="str">
        <f>IF(D341=$T$3,1,"")</f>
        <v/>
      </c>
      <c r="U342" s="9" t="str">
        <f>IF(D341=$U$3,1,"")</f>
        <v/>
      </c>
      <c r="V342" s="9" t="str">
        <f>IF(D341=$V$3,1,"")</f>
        <v/>
      </c>
      <c r="W342" s="9" t="str">
        <f>IF(D341=$W$3,1,"")</f>
        <v/>
      </c>
      <c r="X342" s="9" t="str">
        <f>IF(D341=$X$3,1,"")</f>
        <v/>
      </c>
      <c r="Y342" s="9" t="e">
        <f>IF(#REF!=$X$3,1,"")</f>
        <v>#REF!</v>
      </c>
      <c r="Z342" s="9" t="str">
        <f>IF(F341=$Z$3,1,"")</f>
        <v/>
      </c>
      <c r="AA342" s="9" t="str">
        <f>IF(F341=$AA$3,1,"")</f>
        <v/>
      </c>
      <c r="AB342" s="9" t="str">
        <f>IF(F341=$AB$3,1,"")</f>
        <v/>
      </c>
      <c r="AC342" s="9" t="str">
        <f>IF(F341=$AC$3,1,"")</f>
        <v/>
      </c>
      <c r="AD342" s="9" t="str">
        <f>IF(F341=$AE$3,1,"")</f>
        <v/>
      </c>
    </row>
    <row r="343" spans="1:30" ht="21" customHeight="1" x14ac:dyDescent="0.2">
      <c r="A343" s="174">
        <f t="shared" si="70"/>
        <v>330</v>
      </c>
      <c r="B343" s="304" t="s">
        <v>714</v>
      </c>
      <c r="C343" s="242" t="str">
        <f t="shared" si="76"/>
        <v>vs</v>
      </c>
      <c r="D343" s="243" t="s">
        <v>9</v>
      </c>
      <c r="E343" s="242">
        <v>2025</v>
      </c>
      <c r="F343" s="18" t="s">
        <v>23</v>
      </c>
      <c r="G343" s="9"/>
      <c r="H343" s="19" t="s">
        <v>715</v>
      </c>
      <c r="M343" s="9" t="str">
        <f>IF(D342=$M$3,1,"")</f>
        <v/>
      </c>
      <c r="N343" s="9" t="str">
        <f>IF(D342=$N$3,1,"")</f>
        <v/>
      </c>
      <c r="O343" s="9" t="str">
        <f>IF(D342=$O$3,1,"")</f>
        <v/>
      </c>
      <c r="P343" s="9">
        <f>IF(D342=$P$3,1,"")</f>
        <v>1</v>
      </c>
      <c r="Q343" s="9" t="str">
        <f>IF(D342=$Q$3,1,"")</f>
        <v/>
      </c>
      <c r="R343" s="9" t="str">
        <f>IF(D342=$R$3,1,"")</f>
        <v/>
      </c>
      <c r="S343" s="9" t="str">
        <f>IF(D342=$S$3,1,"")</f>
        <v/>
      </c>
      <c r="T343" s="9" t="str">
        <f>IF(D342=$T$3,1,"")</f>
        <v/>
      </c>
      <c r="U343" s="9" t="str">
        <f>IF(D342=$U$3,1,"")</f>
        <v/>
      </c>
      <c r="V343" s="9" t="str">
        <f>IF(D342=$V$3,1,"")</f>
        <v/>
      </c>
      <c r="W343" s="9" t="str">
        <f>IF(D342=$W$3,1,"")</f>
        <v/>
      </c>
      <c r="X343" s="9" t="str">
        <f>IF(D342=$X$3,1,"")</f>
        <v/>
      </c>
      <c r="Y343" s="9" t="e">
        <f>IF(#REF!=$X$3,1,"")</f>
        <v>#REF!</v>
      </c>
      <c r="Z343" s="9" t="str">
        <f>IF(F342=$Z$3,1,"")</f>
        <v/>
      </c>
      <c r="AA343" s="9" t="str">
        <f>IF(F342=$AA$3,1,"")</f>
        <v/>
      </c>
      <c r="AB343" s="9" t="str">
        <f>IF(F342=$AB$3,1,"")</f>
        <v/>
      </c>
      <c r="AC343" s="9" t="str">
        <f>IF(F342=$AC$3,1,"")</f>
        <v/>
      </c>
      <c r="AD343" s="9" t="str">
        <f>IF(F342=$AE$3,1,"")</f>
        <v/>
      </c>
    </row>
    <row r="344" spans="1:30" ht="21" customHeight="1" x14ac:dyDescent="0.2">
      <c r="A344" s="190">
        <f t="shared" si="70"/>
        <v>331</v>
      </c>
      <c r="B344" s="305" t="s">
        <v>716</v>
      </c>
      <c r="C344" s="245" t="str">
        <f t="shared" si="56"/>
        <v>vs</v>
      </c>
      <c r="D344" s="246" t="s">
        <v>17</v>
      </c>
      <c r="E344" s="245">
        <v>2025</v>
      </c>
      <c r="F344" s="18" t="s">
        <v>23</v>
      </c>
      <c r="G344" s="9"/>
      <c r="H344" s="19" t="s">
        <v>717</v>
      </c>
      <c r="M344" s="9" t="str">
        <f>IF(D344=$M$3,1,"")</f>
        <v/>
      </c>
      <c r="N344" s="9" t="str">
        <f>IF(D344=$N$3,1,"")</f>
        <v/>
      </c>
      <c r="O344" s="9" t="str">
        <f>IF(D344=$O$3,1,"")</f>
        <v/>
      </c>
      <c r="P344" s="9" t="str">
        <f>IF(D344=$P$3,1,"")</f>
        <v/>
      </c>
      <c r="Q344" s="9" t="str">
        <f>IF(D344=$Q$3,1,"")</f>
        <v/>
      </c>
      <c r="R344" s="9" t="str">
        <f>IF(D344=$R$3,1,"")</f>
        <v/>
      </c>
      <c r="S344" s="9" t="str">
        <f>IF(D344=$S$3,1,"")</f>
        <v/>
      </c>
      <c r="T344" s="9" t="str">
        <f>IF(D344=$T$3,1,"")</f>
        <v/>
      </c>
      <c r="U344" s="9" t="str">
        <f>IF(D344=$U$3,1,"")</f>
        <v/>
      </c>
      <c r="V344" s="9">
        <f>IF(D344=$V$3,1,"")</f>
        <v>1</v>
      </c>
      <c r="W344" s="9" t="str">
        <f>IF(D344=$W$3,1,"")</f>
        <v/>
      </c>
      <c r="X344" s="9" t="str">
        <f>IF(D344=$X$3,1,"")</f>
        <v/>
      </c>
      <c r="Y344" s="9" t="e">
        <f>IF(#REF!=$X$3,1,"")</f>
        <v>#REF!</v>
      </c>
      <c r="Z344" s="9" t="str">
        <f t="shared" si="71"/>
        <v/>
      </c>
      <c r="AA344" s="9" t="str">
        <f t="shared" si="72"/>
        <v/>
      </c>
      <c r="AB344" s="9" t="str">
        <f t="shared" si="73"/>
        <v/>
      </c>
      <c r="AC344" s="9" t="str">
        <f t="shared" si="75"/>
        <v/>
      </c>
      <c r="AD344" s="9" t="str">
        <f t="shared" si="74"/>
        <v/>
      </c>
    </row>
    <row r="345" spans="1:30" ht="21" customHeight="1" x14ac:dyDescent="0.2">
      <c r="A345" s="190">
        <f t="shared" si="70"/>
        <v>332</v>
      </c>
      <c r="B345" s="305" t="s">
        <v>718</v>
      </c>
      <c r="C345" s="245" t="str">
        <f t="shared" si="56"/>
        <v>vs</v>
      </c>
      <c r="D345" s="246" t="s">
        <v>18</v>
      </c>
      <c r="E345" s="245">
        <v>2025</v>
      </c>
      <c r="F345" s="18" t="s">
        <v>33</v>
      </c>
      <c r="G345" s="9" t="s">
        <v>719</v>
      </c>
      <c r="H345" s="19" t="s">
        <v>720</v>
      </c>
      <c r="M345" s="9" t="str">
        <f>IF(D345=$M$3,1,"")</f>
        <v/>
      </c>
      <c r="N345" s="9" t="str">
        <f>IF(D345=$N$3,1,"")</f>
        <v/>
      </c>
      <c r="O345" s="9" t="str">
        <f>IF(D345=$O$3,1,"")</f>
        <v/>
      </c>
      <c r="P345" s="9" t="str">
        <f>IF(D345=$P$3,1,"")</f>
        <v/>
      </c>
      <c r="Q345" s="9" t="str">
        <f>IF(D345=$Q$3,1,"")</f>
        <v/>
      </c>
      <c r="R345" s="9" t="str">
        <f>IF(D345=$R$3,1,"")</f>
        <v/>
      </c>
      <c r="S345" s="9" t="str">
        <f>IF(D345=$S$3,1,"")</f>
        <v/>
      </c>
      <c r="T345" s="9" t="str">
        <f>IF(D345=$T$3,1,"")</f>
        <v/>
      </c>
      <c r="U345" s="9" t="str">
        <f>IF(D345=$U$3,1,"")</f>
        <v/>
      </c>
      <c r="V345" s="9" t="str">
        <f>IF(D345=$V$3,1,"")</f>
        <v/>
      </c>
      <c r="W345" s="9">
        <f>IF(D345=$W$3,1,"")</f>
        <v>1</v>
      </c>
      <c r="X345" s="9" t="str">
        <f>IF(D345=$X$3,1,"")</f>
        <v/>
      </c>
      <c r="Y345" s="9" t="e">
        <f>IF(#REF!=$X$3,1,"")</f>
        <v>#REF!</v>
      </c>
      <c r="Z345" s="9" t="str">
        <f t="shared" si="71"/>
        <v/>
      </c>
      <c r="AA345" s="9" t="str">
        <f t="shared" si="72"/>
        <v/>
      </c>
      <c r="AB345" s="9" t="str">
        <f t="shared" si="73"/>
        <v/>
      </c>
      <c r="AC345" s="9" t="str">
        <f t="shared" si="75"/>
        <v/>
      </c>
      <c r="AD345" s="9" t="str">
        <f t="shared" si="74"/>
        <v/>
      </c>
    </row>
    <row r="346" spans="1:30" s="251" customFormat="1" ht="21" customHeight="1" x14ac:dyDescent="0.2">
      <c r="A346" s="190">
        <f t="shared" si="70"/>
        <v>333</v>
      </c>
      <c r="B346" s="305" t="s">
        <v>721</v>
      </c>
      <c r="C346" s="245" t="str">
        <f t="shared" si="56"/>
        <v>vs</v>
      </c>
      <c r="D346" s="246" t="s">
        <v>8</v>
      </c>
      <c r="E346" s="245">
        <v>2025</v>
      </c>
      <c r="F346" s="248" t="s">
        <v>23</v>
      </c>
      <c r="G346" s="249"/>
      <c r="H346" s="306" t="s">
        <v>722</v>
      </c>
      <c r="M346" s="249">
        <f>IF(D346=$M$3,1,"")</f>
        <v>1</v>
      </c>
      <c r="N346" s="249" t="str">
        <f>IF(D346=$N$3,1,"")</f>
        <v/>
      </c>
      <c r="O346" s="249" t="str">
        <f>IF(D346=$O$3,1,"")</f>
        <v/>
      </c>
      <c r="P346" s="249" t="str">
        <f>IF(D346=$P$3,1,"")</f>
        <v/>
      </c>
      <c r="Q346" s="249" t="str">
        <f>IF(D346=$Q$3,1,"")</f>
        <v/>
      </c>
      <c r="R346" s="249" t="str">
        <f>IF(D346=$R$3,1,"")</f>
        <v/>
      </c>
      <c r="S346" s="249" t="str">
        <f>IF(D346=$S$3,1,"")</f>
        <v/>
      </c>
      <c r="T346" s="249" t="str">
        <f>IF(D346=$T$3,1,"")</f>
        <v/>
      </c>
      <c r="U346" s="249" t="str">
        <f>IF(D346=$U$3,1,"")</f>
        <v/>
      </c>
      <c r="V346" s="249" t="str">
        <f>IF(D346=$V$3,1,"")</f>
        <v/>
      </c>
      <c r="W346" s="249" t="str">
        <f>IF(D346=$W$3,1,"")</f>
        <v/>
      </c>
      <c r="X346" s="249" t="str">
        <f>IF(D346=$X$3,1,"")</f>
        <v/>
      </c>
      <c r="Y346" s="249" t="e">
        <f>IF(#REF!=$X$3,1,"")</f>
        <v>#REF!</v>
      </c>
      <c r="Z346" s="249" t="str">
        <f t="shared" si="71"/>
        <v/>
      </c>
      <c r="AA346" s="249" t="str">
        <f t="shared" si="72"/>
        <v/>
      </c>
      <c r="AB346" s="249" t="str">
        <f t="shared" si="73"/>
        <v/>
      </c>
      <c r="AC346" s="249" t="str">
        <f t="shared" si="75"/>
        <v/>
      </c>
      <c r="AD346" s="249" t="str">
        <f t="shared" si="74"/>
        <v/>
      </c>
    </row>
    <row r="347" spans="1:30" ht="21" customHeight="1" x14ac:dyDescent="0.2">
      <c r="A347" s="190">
        <f t="shared" si="70"/>
        <v>334</v>
      </c>
      <c r="B347" s="305" t="s">
        <v>723</v>
      </c>
      <c r="C347" s="245" t="str">
        <f t="shared" si="56"/>
        <v>vs</v>
      </c>
      <c r="D347" s="246" t="s">
        <v>9</v>
      </c>
      <c r="E347" s="245">
        <v>2025</v>
      </c>
      <c r="F347" s="18" t="s">
        <v>23</v>
      </c>
      <c r="G347" s="9"/>
      <c r="H347" s="19" t="s">
        <v>724</v>
      </c>
      <c r="M347" s="9" t="str">
        <f>IF(D347=$M$3,1,"")</f>
        <v/>
      </c>
      <c r="N347" s="9">
        <f>IF(D347=$N$3,1,"")</f>
        <v>1</v>
      </c>
      <c r="O347" s="9" t="str">
        <f>IF(D347=$O$3,1,"")</f>
        <v/>
      </c>
      <c r="P347" s="9" t="str">
        <f>IF(D347=$P$3,1,"")</f>
        <v/>
      </c>
      <c r="Q347" s="9" t="str">
        <f>IF(D347=$Q$3,1,"")</f>
        <v/>
      </c>
      <c r="R347" s="9" t="str">
        <f>IF(D347=$R$3,1,"")</f>
        <v/>
      </c>
      <c r="S347" s="9" t="str">
        <f>IF(D347=$S$3,1,"")</f>
        <v/>
      </c>
      <c r="T347" s="9" t="str">
        <f>IF(D347=$T$3,1,"")</f>
        <v/>
      </c>
      <c r="U347" s="9" t="str">
        <f>IF(D347=$U$3,1,"")</f>
        <v/>
      </c>
      <c r="V347" s="9" t="str">
        <f>IF(D347=$V$3,1,"")</f>
        <v/>
      </c>
      <c r="W347" s="9" t="str">
        <f>IF(D347=$W$3,1,"")</f>
        <v/>
      </c>
      <c r="X347" s="9" t="str">
        <f>IF(D347=$X$3,1,"")</f>
        <v/>
      </c>
      <c r="Y347" s="9" t="e">
        <f>IF(#REF!=$X$3,1,"")</f>
        <v>#REF!</v>
      </c>
      <c r="Z347" s="9" t="str">
        <f t="shared" si="71"/>
        <v/>
      </c>
      <c r="AA347" s="9" t="str">
        <f t="shared" si="72"/>
        <v/>
      </c>
      <c r="AB347" s="9" t="str">
        <f t="shared" si="73"/>
        <v/>
      </c>
      <c r="AC347" s="9" t="str">
        <f t="shared" si="75"/>
        <v/>
      </c>
      <c r="AD347" s="9" t="str">
        <f t="shared" si="74"/>
        <v/>
      </c>
    </row>
    <row r="348" spans="1:30" ht="21" customHeight="1" x14ac:dyDescent="0.2">
      <c r="A348" s="190">
        <f t="shared" si="70"/>
        <v>335</v>
      </c>
      <c r="B348" s="305" t="s">
        <v>725</v>
      </c>
      <c r="C348" s="245" t="str">
        <f t="shared" si="56"/>
        <v>vs</v>
      </c>
      <c r="D348" s="246" t="s">
        <v>15</v>
      </c>
      <c r="E348" s="245">
        <v>2025</v>
      </c>
      <c r="F348" s="18" t="s">
        <v>23</v>
      </c>
      <c r="G348" s="9"/>
      <c r="H348" s="19" t="s">
        <v>726</v>
      </c>
      <c r="M348" s="9" t="str">
        <f>IF(D348=$M$3,1,"")</f>
        <v/>
      </c>
      <c r="N348" s="9" t="str">
        <f>IF(D348=$N$3,1,"")</f>
        <v/>
      </c>
      <c r="O348" s="9" t="str">
        <f>IF(D348=$O$3,1,"")</f>
        <v/>
      </c>
      <c r="P348" s="9" t="str">
        <f>IF(D348=$P$3,1,"")</f>
        <v/>
      </c>
      <c r="Q348" s="9" t="str">
        <f>IF(D348=$Q$3,1,"")</f>
        <v/>
      </c>
      <c r="R348" s="9" t="str">
        <f>IF(D348=$R$3,1,"")</f>
        <v/>
      </c>
      <c r="S348" s="9" t="str">
        <f>IF(D348=$S$3,1,"")</f>
        <v/>
      </c>
      <c r="T348" s="9">
        <f>IF(D348=$T$3,1,"")</f>
        <v>1</v>
      </c>
      <c r="U348" s="9" t="str">
        <f>IF(D348=$U$3,1,"")</f>
        <v/>
      </c>
      <c r="V348" s="9" t="str">
        <f>IF(D348=$V$3,1,"")</f>
        <v/>
      </c>
      <c r="W348" s="9" t="str">
        <f>IF(D348=$W$3,1,"")</f>
        <v/>
      </c>
      <c r="X348" s="9" t="str">
        <f>IF(D348=$X$3,1,"")</f>
        <v/>
      </c>
      <c r="Y348" s="9" t="e">
        <f>IF(#REF!=$X$3,1,"")</f>
        <v>#REF!</v>
      </c>
      <c r="Z348" s="9" t="str">
        <f t="shared" si="71"/>
        <v/>
      </c>
      <c r="AA348" s="9" t="str">
        <f t="shared" si="72"/>
        <v/>
      </c>
      <c r="AB348" s="9" t="str">
        <f t="shared" si="73"/>
        <v/>
      </c>
      <c r="AC348" s="9" t="str">
        <f t="shared" si="75"/>
        <v/>
      </c>
      <c r="AD348" s="9" t="str">
        <f t="shared" si="74"/>
        <v/>
      </c>
    </row>
    <row r="349" spans="1:30" ht="21" customHeight="1" x14ac:dyDescent="0.2">
      <c r="A349" s="252">
        <f t="shared" si="70"/>
        <v>336</v>
      </c>
      <c r="B349" s="253" t="s">
        <v>677</v>
      </c>
      <c r="C349" s="254" t="str">
        <f t="shared" si="56"/>
        <v>vs</v>
      </c>
      <c r="D349" s="255" t="s">
        <v>15</v>
      </c>
      <c r="E349" s="254">
        <v>2025</v>
      </c>
      <c r="F349" s="18" t="s">
        <v>23</v>
      </c>
      <c r="G349" s="9"/>
      <c r="H349" s="19" t="s">
        <v>727</v>
      </c>
      <c r="M349" s="9" t="str">
        <f>IF(D349=$M$3,1,"")</f>
        <v/>
      </c>
      <c r="N349" s="9" t="str">
        <f>IF(D349=$N$3,1,"")</f>
        <v/>
      </c>
      <c r="O349" s="9" t="str">
        <f>IF(D349=$O$3,1,"")</f>
        <v/>
      </c>
      <c r="P349" s="9" t="str">
        <f>IF(D349=$P$3,1,"")</f>
        <v/>
      </c>
      <c r="Q349" s="9" t="str">
        <f>IF(D349=$Q$3,1,"")</f>
        <v/>
      </c>
      <c r="R349" s="9" t="str">
        <f>IF(D349=$R$3,1,"")</f>
        <v/>
      </c>
      <c r="S349" s="9" t="str">
        <f>IF(D349=$S$3,1,"")</f>
        <v/>
      </c>
      <c r="T349" s="9">
        <f>IF(D349=$T$3,1,"")</f>
        <v>1</v>
      </c>
      <c r="U349" s="9" t="str">
        <f>IF(D349=$U$3,1,"")</f>
        <v/>
      </c>
      <c r="V349" s="9" t="str">
        <f>IF(D349=$V$3,1,"")</f>
        <v/>
      </c>
      <c r="W349" s="9" t="str">
        <f>IF(D349=$W$3,1,"")</f>
        <v/>
      </c>
      <c r="X349" s="9" t="str">
        <f>IF(D349=$X$3,1,"")</f>
        <v/>
      </c>
      <c r="Y349" s="9" t="e">
        <f>IF(#REF!=$X$3,1,"")</f>
        <v>#REF!</v>
      </c>
      <c r="Z349" s="9" t="str">
        <f t="shared" si="71"/>
        <v/>
      </c>
      <c r="AA349" s="9" t="str">
        <f t="shared" si="72"/>
        <v/>
      </c>
      <c r="AB349" s="9" t="str">
        <f t="shared" si="73"/>
        <v/>
      </c>
      <c r="AC349" s="9" t="str">
        <f t="shared" si="75"/>
        <v/>
      </c>
      <c r="AD349" s="9" t="str">
        <f t="shared" si="74"/>
        <v/>
      </c>
    </row>
    <row r="350" spans="1:30" ht="21" customHeight="1" x14ac:dyDescent="0.2">
      <c r="A350" s="252">
        <f t="shared" si="70"/>
        <v>337</v>
      </c>
      <c r="B350" s="253" t="s">
        <v>704</v>
      </c>
      <c r="C350" s="254" t="str">
        <f t="shared" si="56"/>
        <v>vs</v>
      </c>
      <c r="D350" s="255" t="s">
        <v>9</v>
      </c>
      <c r="E350" s="254">
        <v>2025</v>
      </c>
      <c r="F350" s="18" t="s">
        <v>23</v>
      </c>
      <c r="G350" s="9"/>
      <c r="H350" s="19" t="s">
        <v>728</v>
      </c>
      <c r="M350" s="9" t="str">
        <f>IF(D350=$M$3,1,"")</f>
        <v/>
      </c>
      <c r="N350" s="9">
        <f>IF(D350=$N$3,1,"")</f>
        <v>1</v>
      </c>
      <c r="O350" s="9" t="str">
        <f>IF(D350=$O$3,1,"")</f>
        <v/>
      </c>
      <c r="P350" s="9" t="str">
        <f>IF(D350=$P$3,1,"")</f>
        <v/>
      </c>
      <c r="Q350" s="9" t="str">
        <f>IF(D350=$Q$3,1,"")</f>
        <v/>
      </c>
      <c r="R350" s="9" t="str">
        <f>IF(D350=$R$3,1,"")</f>
        <v/>
      </c>
      <c r="S350" s="9" t="str">
        <f>IF(D350=$S$3,1,"")</f>
        <v/>
      </c>
      <c r="T350" s="9" t="str">
        <f>IF(D350=$T$3,1,"")</f>
        <v/>
      </c>
      <c r="U350" s="9" t="str">
        <f>IF(D350=$U$3,1,"")</f>
        <v/>
      </c>
      <c r="V350" s="9" t="str">
        <f>IF(D350=$V$3,1,"")</f>
        <v/>
      </c>
      <c r="W350" s="9" t="str">
        <f>IF(D350=$W$3,1,"")</f>
        <v/>
      </c>
      <c r="X350" s="9" t="str">
        <f>IF(D350=$X$3,1,"")</f>
        <v/>
      </c>
      <c r="Y350" s="9" t="e">
        <f>IF(#REF!=$X$3,1,"")</f>
        <v>#REF!</v>
      </c>
      <c r="Z350" s="9" t="str">
        <f t="shared" si="71"/>
        <v/>
      </c>
      <c r="AA350" s="9" t="str">
        <f t="shared" si="72"/>
        <v/>
      </c>
      <c r="AB350" s="9" t="str">
        <f t="shared" si="73"/>
        <v/>
      </c>
      <c r="AC350" s="9" t="str">
        <f t="shared" si="75"/>
        <v/>
      </c>
      <c r="AD350" s="9" t="str">
        <f t="shared" si="74"/>
        <v/>
      </c>
    </row>
    <row r="351" spans="1:30" ht="21" customHeight="1" x14ac:dyDescent="0.2">
      <c r="A351" s="252">
        <f t="shared" si="70"/>
        <v>338</v>
      </c>
      <c r="B351" s="253" t="s">
        <v>729</v>
      </c>
      <c r="C351" s="254" t="str">
        <f t="shared" si="56"/>
        <v>vs</v>
      </c>
      <c r="D351" s="255" t="s">
        <v>9</v>
      </c>
      <c r="E351" s="254">
        <v>2025</v>
      </c>
      <c r="F351" s="18" t="s">
        <v>47</v>
      </c>
      <c r="G351" s="9"/>
      <c r="H351" s="19" t="s">
        <v>730</v>
      </c>
      <c r="M351" s="9" t="str">
        <f>IF(D351=$M$3,1,"")</f>
        <v/>
      </c>
      <c r="N351" s="9">
        <f>IF(D351=$N$3,1,"")</f>
        <v>1</v>
      </c>
      <c r="O351" s="9" t="str">
        <f>IF(D351=$O$3,1,"")</f>
        <v/>
      </c>
      <c r="P351" s="9" t="str">
        <f>IF(D351=$P$3,1,"")</f>
        <v/>
      </c>
      <c r="Q351" s="9" t="str">
        <f>IF(D351=$Q$3,1,"")</f>
        <v/>
      </c>
      <c r="R351" s="9" t="str">
        <f>IF(D351=$R$3,1,"")</f>
        <v/>
      </c>
      <c r="S351" s="9" t="str">
        <f>IF(D351=$S$3,1,"")</f>
        <v/>
      </c>
      <c r="T351" s="9" t="str">
        <f>IF(D351=$T$3,1,"")</f>
        <v/>
      </c>
      <c r="U351" s="9" t="str">
        <f>IF(D351=$U$3,1,"")</f>
        <v/>
      </c>
      <c r="V351" s="9" t="str">
        <f>IF(D351=$V$3,1,"")</f>
        <v/>
      </c>
      <c r="W351" s="9" t="str">
        <f>IF(D351=$W$3,1,"")</f>
        <v/>
      </c>
      <c r="X351" s="9" t="str">
        <f>IF(D351=$X$3,1,"")</f>
        <v/>
      </c>
      <c r="Y351" s="9" t="e">
        <f>IF(#REF!=$X$3,1,"")</f>
        <v>#REF!</v>
      </c>
      <c r="Z351" s="9" t="str">
        <f t="shared" si="71"/>
        <v/>
      </c>
      <c r="AA351" s="9" t="str">
        <f t="shared" si="72"/>
        <v/>
      </c>
      <c r="AB351" s="9" t="str">
        <f t="shared" si="73"/>
        <v/>
      </c>
      <c r="AC351" s="9" t="str">
        <f t="shared" si="75"/>
        <v/>
      </c>
      <c r="AD351" s="9" t="str">
        <f t="shared" si="74"/>
        <v/>
      </c>
    </row>
    <row r="352" spans="1:30" ht="21" customHeight="1" x14ac:dyDescent="0.2">
      <c r="A352" s="338">
        <f t="shared" si="70"/>
        <v>339</v>
      </c>
      <c r="B352" s="339" t="s">
        <v>731</v>
      </c>
      <c r="C352" s="340" t="str">
        <f t="shared" si="56"/>
        <v>vs</v>
      </c>
      <c r="D352" s="341" t="s">
        <v>18</v>
      </c>
      <c r="E352" s="340">
        <v>2025</v>
      </c>
      <c r="F352" s="18" t="s">
        <v>23</v>
      </c>
      <c r="G352" s="9"/>
      <c r="H352" s="19" t="s">
        <v>732</v>
      </c>
      <c r="M352" s="9" t="str">
        <f>IF(D352=$M$3,1,"")</f>
        <v/>
      </c>
      <c r="N352" s="9" t="str">
        <f>IF(D352=$N$3,1,"")</f>
        <v/>
      </c>
      <c r="O352" s="9" t="str">
        <f>IF(D352=$O$3,1,"")</f>
        <v/>
      </c>
      <c r="P352" s="9" t="str">
        <f>IF(D352=$P$3,1,"")</f>
        <v/>
      </c>
      <c r="Q352" s="9" t="str">
        <f>IF(D352=$Q$3,1,"")</f>
        <v/>
      </c>
      <c r="R352" s="9" t="str">
        <f>IF(D352=$R$3,1,"")</f>
        <v/>
      </c>
      <c r="S352" s="9" t="str">
        <f>IF(D352=$S$3,1,"")</f>
        <v/>
      </c>
      <c r="T352" s="9" t="str">
        <f>IF(D352=$T$3,1,"")</f>
        <v/>
      </c>
      <c r="U352" s="9" t="str">
        <f>IF(D352=$U$3,1,"")</f>
        <v/>
      </c>
      <c r="V352" s="9" t="str">
        <f>IF(D352=$V$3,1,"")</f>
        <v/>
      </c>
      <c r="W352" s="9">
        <f>IF(D352=$W$3,1,"")</f>
        <v>1</v>
      </c>
      <c r="X352" s="9" t="str">
        <f>IF(D352=$X$3,1,"")</f>
        <v/>
      </c>
      <c r="Y352" s="9" t="e">
        <f>IF(#REF!=$X$3,1,"")</f>
        <v>#REF!</v>
      </c>
      <c r="Z352" s="9" t="str">
        <f t="shared" si="71"/>
        <v/>
      </c>
      <c r="AA352" s="9" t="str">
        <f t="shared" si="72"/>
        <v/>
      </c>
      <c r="AB352" s="9" t="str">
        <f t="shared" si="73"/>
        <v/>
      </c>
      <c r="AC352" s="9" t="str">
        <f t="shared" si="75"/>
        <v/>
      </c>
      <c r="AD352" s="9" t="str">
        <f t="shared" si="74"/>
        <v/>
      </c>
    </row>
    <row r="353" spans="1:30" ht="21" customHeight="1" x14ac:dyDescent="0.2">
      <c r="A353" s="338">
        <f t="shared" si="70"/>
        <v>340</v>
      </c>
      <c r="B353" s="339" t="s">
        <v>729</v>
      </c>
      <c r="C353" s="340" t="str">
        <f t="shared" si="56"/>
        <v>vs</v>
      </c>
      <c r="D353" s="341" t="s">
        <v>9</v>
      </c>
      <c r="E353" s="340">
        <v>2025</v>
      </c>
      <c r="F353" s="18" t="s">
        <v>23</v>
      </c>
      <c r="G353" s="9"/>
      <c r="H353" s="19" t="s">
        <v>730</v>
      </c>
      <c r="M353" s="9" t="str">
        <f>IF(D353=$M$3,1,"")</f>
        <v/>
      </c>
      <c r="N353" s="9">
        <f>IF(D353=$N$3,1,"")</f>
        <v>1</v>
      </c>
      <c r="O353" s="9" t="str">
        <f>IF(D353=$O$3,1,"")</f>
        <v/>
      </c>
      <c r="P353" s="9" t="str">
        <f>IF(D353=$P$3,1,"")</f>
        <v/>
      </c>
      <c r="Q353" s="9" t="str">
        <f>IF(D353=$Q$3,1,"")</f>
        <v/>
      </c>
      <c r="R353" s="9" t="str">
        <f>IF(D353=$R$3,1,"")</f>
        <v/>
      </c>
      <c r="S353" s="9" t="str">
        <f>IF(D353=$S$3,1,"")</f>
        <v/>
      </c>
      <c r="T353" s="9" t="str">
        <f>IF(D353=$T$3,1,"")</f>
        <v/>
      </c>
      <c r="U353" s="9" t="str">
        <f>IF(D353=$U$3,1,"")</f>
        <v/>
      </c>
      <c r="V353" s="9" t="str">
        <f>IF(D353=$V$3,1,"")</f>
        <v/>
      </c>
      <c r="W353" s="9" t="str">
        <f>IF(D353=$W$3,1,"")</f>
        <v/>
      </c>
      <c r="X353" s="9" t="str">
        <f>IF(D353=$X$3,1,"")</f>
        <v/>
      </c>
      <c r="Y353" s="9" t="e">
        <f>IF(#REF!=$X$3,1,"")</f>
        <v>#REF!</v>
      </c>
      <c r="Z353" s="9" t="str">
        <f t="shared" si="71"/>
        <v/>
      </c>
      <c r="AA353" s="9" t="str">
        <f t="shared" si="72"/>
        <v/>
      </c>
      <c r="AB353" s="9" t="str">
        <f t="shared" si="73"/>
        <v/>
      </c>
      <c r="AC353" s="9" t="str">
        <f t="shared" si="75"/>
        <v/>
      </c>
      <c r="AD353" s="9" t="str">
        <f t="shared" si="74"/>
        <v/>
      </c>
    </row>
    <row r="354" spans="1:30" ht="21" customHeight="1" x14ac:dyDescent="0.2">
      <c r="A354" s="338"/>
      <c r="B354" s="339" t="s">
        <v>704</v>
      </c>
      <c r="C354" s="340"/>
      <c r="D354" s="341" t="s">
        <v>9</v>
      </c>
      <c r="E354" s="340"/>
      <c r="F354" s="18" t="s">
        <v>23</v>
      </c>
      <c r="G354" s="9"/>
      <c r="H354" s="19"/>
      <c r="Z354" s="9"/>
      <c r="AA354" s="9"/>
      <c r="AB354" s="9"/>
      <c r="AC354" s="9"/>
      <c r="AD354" s="9"/>
    </row>
    <row r="355" spans="1:30" ht="21" customHeight="1" x14ac:dyDescent="0.2">
      <c r="A355" s="15"/>
      <c r="B355" s="34" t="s">
        <v>733</v>
      </c>
      <c r="C355" s="20" t="str">
        <f t="shared" si="56"/>
        <v>vs</v>
      </c>
      <c r="D355" s="21" t="s">
        <v>12</v>
      </c>
      <c r="E355" s="20"/>
      <c r="F355" s="18"/>
      <c r="G355" s="9"/>
      <c r="H355" s="19" t="s">
        <v>734</v>
      </c>
      <c r="M355" s="9" t="str">
        <f>IF(D355=$M$3,1,"")</f>
        <v/>
      </c>
      <c r="N355" s="9" t="str">
        <f>IF(D355=$N$3,1,"")</f>
        <v/>
      </c>
      <c r="O355" s="9" t="str">
        <f>IF(D355=$O$3,1,"")</f>
        <v/>
      </c>
      <c r="P355" s="9" t="str">
        <f>IF(D355=$P$3,1,"")</f>
        <v/>
      </c>
      <c r="Q355" s="9">
        <f>IF(D355=$Q$3,1,"")</f>
        <v>1</v>
      </c>
      <c r="R355" s="9" t="str">
        <f>IF(D355=$R$3,1,"")</f>
        <v/>
      </c>
      <c r="S355" s="9" t="str">
        <f>IF(D355=$S$3,1,"")</f>
        <v/>
      </c>
      <c r="T355" s="9" t="str">
        <f>IF(D355=$T$3,1,"")</f>
        <v/>
      </c>
      <c r="U355" s="9" t="str">
        <f>IF(D355=$U$3,1,"")</f>
        <v/>
      </c>
      <c r="V355" s="9" t="str">
        <f>IF(D355=$V$3,1,"")</f>
        <v/>
      </c>
      <c r="W355" s="9" t="str">
        <f>IF(D355=$W$3,1,"")</f>
        <v/>
      </c>
      <c r="X355" s="9" t="str">
        <f>IF(D355=$X$3,1,"")</f>
        <v/>
      </c>
      <c r="Y355" s="9" t="e">
        <f>IF(#REF!=$X$3,1,"")</f>
        <v>#REF!</v>
      </c>
      <c r="Z355" s="9">
        <f t="shared" si="71"/>
        <v>1</v>
      </c>
      <c r="AA355" s="9">
        <f t="shared" si="72"/>
        <v>1</v>
      </c>
      <c r="AB355" s="9">
        <f t="shared" si="73"/>
        <v>1</v>
      </c>
      <c r="AC355" s="9">
        <f t="shared" si="75"/>
        <v>1</v>
      </c>
      <c r="AD355" s="9">
        <f t="shared" si="74"/>
        <v>1</v>
      </c>
    </row>
    <row r="356" spans="1:30" ht="21" customHeight="1" x14ac:dyDescent="0.2">
      <c r="A356" s="15"/>
      <c r="B356" s="34" t="s">
        <v>735</v>
      </c>
      <c r="C356" s="20" t="str">
        <f t="shared" ref="C356:C360" si="77">IF(B356="","","vs")</f>
        <v>vs</v>
      </c>
      <c r="D356" s="21" t="s">
        <v>8</v>
      </c>
      <c r="E356" s="20"/>
      <c r="F356" s="18"/>
      <c r="G356" s="9"/>
      <c r="H356" s="19" t="s">
        <v>736</v>
      </c>
      <c r="M356" s="9">
        <f>IF(D356=$M$3,1,"")</f>
        <v>1</v>
      </c>
      <c r="N356" s="9" t="str">
        <f>IF(D356=$N$3,1,"")</f>
        <v/>
      </c>
      <c r="O356" s="9" t="str">
        <f>IF(D356=$O$3,1,"")</f>
        <v/>
      </c>
      <c r="P356" s="9" t="str">
        <f>IF(D356=$P$3,1,"")</f>
        <v/>
      </c>
      <c r="Q356" s="9" t="str">
        <f>IF(D356=$Q$3,1,"")</f>
        <v/>
      </c>
      <c r="R356" s="9" t="str">
        <f>IF(D356=$R$3,1,"")</f>
        <v/>
      </c>
      <c r="S356" s="9" t="str">
        <f>IF(D356=$S$3,1,"")</f>
        <v/>
      </c>
      <c r="T356" s="9" t="str">
        <f>IF(D356=$T$3,1,"")</f>
        <v/>
      </c>
      <c r="U356" s="9" t="str">
        <f>IF(D356=$U$3,1,"")</f>
        <v/>
      </c>
      <c r="V356" s="9" t="str">
        <f>IF(D356=$V$3,1,"")</f>
        <v/>
      </c>
      <c r="W356" s="9" t="str">
        <f>IF(D356=$W$3,1,"")</f>
        <v/>
      </c>
      <c r="X356" s="9" t="str">
        <f>IF(D356=$X$3,1,"")</f>
        <v/>
      </c>
      <c r="Y356" s="9" t="e">
        <f>IF(#REF!=$X$3,1,"")</f>
        <v>#REF!</v>
      </c>
      <c r="Z356" s="9">
        <f t="shared" si="71"/>
        <v>1</v>
      </c>
      <c r="AA356" s="9">
        <f t="shared" si="72"/>
        <v>1</v>
      </c>
      <c r="AB356" s="9">
        <f t="shared" si="73"/>
        <v>1</v>
      </c>
      <c r="AC356" s="9">
        <f t="shared" si="75"/>
        <v>1</v>
      </c>
      <c r="AD356" s="9">
        <f t="shared" si="74"/>
        <v>1</v>
      </c>
    </row>
    <row r="357" spans="1:30" ht="21" customHeight="1" x14ac:dyDescent="0.2">
      <c r="A357" s="15"/>
      <c r="B357" s="34" t="s">
        <v>737</v>
      </c>
      <c r="C357" s="20" t="str">
        <f t="shared" si="77"/>
        <v>vs</v>
      </c>
      <c r="D357" s="21" t="s">
        <v>15</v>
      </c>
      <c r="E357" s="20"/>
      <c r="F357" s="18"/>
      <c r="G357" s="9"/>
      <c r="H357" s="19" t="s">
        <v>738</v>
      </c>
      <c r="M357" s="9" t="str">
        <f>IF(D357=$M$3,1,"")</f>
        <v/>
      </c>
      <c r="N357" s="9" t="str">
        <f>IF(D357=$N$3,1,"")</f>
        <v/>
      </c>
      <c r="O357" s="9" t="str">
        <f>IF(D357=$O$3,1,"")</f>
        <v/>
      </c>
      <c r="P357" s="9" t="str">
        <f>IF(D357=$P$3,1,"")</f>
        <v/>
      </c>
      <c r="Q357" s="9" t="str">
        <f>IF(D357=$Q$3,1,"")</f>
        <v/>
      </c>
      <c r="R357" s="9" t="str">
        <f>IF(D357=$R$3,1,"")</f>
        <v/>
      </c>
      <c r="S357" s="9" t="str">
        <f>IF(D357=$S$3,1,"")</f>
        <v/>
      </c>
      <c r="T357" s="9">
        <f>IF(D357=$T$3,1,"")</f>
        <v>1</v>
      </c>
      <c r="U357" s="9" t="str">
        <f>IF(D357=$U$3,1,"")</f>
        <v/>
      </c>
      <c r="V357" s="9" t="str">
        <f>IF(D357=$V$3,1,"")</f>
        <v/>
      </c>
      <c r="W357" s="9" t="str">
        <f>IF(D357=$W$3,1,"")</f>
        <v/>
      </c>
      <c r="X357" s="9" t="str">
        <f>IF(D357=$X$3,1,"")</f>
        <v/>
      </c>
      <c r="Y357" s="9" t="e">
        <f>IF(#REF!=$X$3,1,"")</f>
        <v>#REF!</v>
      </c>
      <c r="Z357" s="9">
        <f t="shared" si="71"/>
        <v>1</v>
      </c>
      <c r="AA357" s="9">
        <f t="shared" si="72"/>
        <v>1</v>
      </c>
      <c r="AB357" s="9">
        <f t="shared" si="73"/>
        <v>1</v>
      </c>
      <c r="AC357" s="9">
        <f t="shared" si="75"/>
        <v>1</v>
      </c>
      <c r="AD357" s="9">
        <f t="shared" si="74"/>
        <v>1</v>
      </c>
    </row>
    <row r="358" spans="1:30" ht="21" customHeight="1" x14ac:dyDescent="0.2">
      <c r="A358" s="15"/>
      <c r="B358" s="34" t="s">
        <v>739</v>
      </c>
      <c r="C358" s="20" t="str">
        <f t="shared" si="77"/>
        <v>vs</v>
      </c>
      <c r="D358" s="21" t="s">
        <v>9</v>
      </c>
      <c r="E358" s="20"/>
      <c r="F358" s="18"/>
      <c r="G358" s="9"/>
      <c r="H358" s="19" t="s">
        <v>738</v>
      </c>
      <c r="M358" s="9" t="str">
        <f>IF(D358=$M$3,1,"")</f>
        <v/>
      </c>
      <c r="N358" s="9">
        <f>IF(D358=$N$3,1,"")</f>
        <v>1</v>
      </c>
      <c r="O358" s="9" t="str">
        <f>IF(D358=$O$3,1,"")</f>
        <v/>
      </c>
      <c r="P358" s="9" t="str">
        <f>IF(D358=$P$3,1,"")</f>
        <v/>
      </c>
      <c r="Q358" s="9" t="str">
        <f>IF(D358=$Q$3,1,"")</f>
        <v/>
      </c>
      <c r="R358" s="9" t="str">
        <f>IF(D358=$R$3,1,"")</f>
        <v/>
      </c>
      <c r="S358" s="9" t="str">
        <f>IF(D358=$S$3,1,"")</f>
        <v/>
      </c>
      <c r="T358" s="9" t="str">
        <f>IF(D358=$T$3,1,"")</f>
        <v/>
      </c>
      <c r="U358" s="9" t="str">
        <f>IF(D358=$U$3,1,"")</f>
        <v/>
      </c>
      <c r="V358" s="9" t="str">
        <f>IF(D358=$V$3,1,"")</f>
        <v/>
      </c>
      <c r="W358" s="9" t="str">
        <f>IF(D358=$W$3,1,"")</f>
        <v/>
      </c>
      <c r="X358" s="9" t="str">
        <f>IF(D358=$X$3,1,"")</f>
        <v/>
      </c>
      <c r="Y358" s="9" t="e">
        <f>IF(#REF!=$X$3,1,"")</f>
        <v>#REF!</v>
      </c>
      <c r="Z358" s="9">
        <f t="shared" si="71"/>
        <v>1</v>
      </c>
      <c r="AA358" s="9">
        <f t="shared" si="72"/>
        <v>1</v>
      </c>
      <c r="AB358" s="9">
        <f t="shared" si="73"/>
        <v>1</v>
      </c>
      <c r="AC358" s="9">
        <f t="shared" si="75"/>
        <v>1</v>
      </c>
      <c r="AD358" s="9">
        <f t="shared" si="74"/>
        <v>1</v>
      </c>
    </row>
    <row r="359" spans="1:30" ht="21" customHeight="1" thickBot="1" x14ac:dyDescent="0.25">
      <c r="A359" s="54"/>
      <c r="B359" s="34" t="s">
        <v>739</v>
      </c>
      <c r="C359" s="20" t="str">
        <f t="shared" si="77"/>
        <v>vs</v>
      </c>
      <c r="D359" s="21" t="s">
        <v>9</v>
      </c>
      <c r="E359" s="20"/>
      <c r="F359" s="55"/>
      <c r="G359" s="9"/>
      <c r="H359" s="19" t="s">
        <v>740</v>
      </c>
      <c r="M359" s="9" t="str">
        <f>IF(D359=$M$3,1,"")</f>
        <v/>
      </c>
      <c r="N359" s="9">
        <f>IF(D359=$N$3,1,"")</f>
        <v>1</v>
      </c>
      <c r="O359" s="9" t="str">
        <f>IF(D359=$O$3,1,"")</f>
        <v/>
      </c>
      <c r="P359" s="9" t="str">
        <f>IF(D359=$P$3,1,"")</f>
        <v/>
      </c>
      <c r="Q359" s="9" t="str">
        <f>IF(D359=$Q$3,1,"")</f>
        <v/>
      </c>
      <c r="R359" s="9" t="str">
        <f>IF(D359=$R$3,1,"")</f>
        <v/>
      </c>
      <c r="S359" s="9" t="str">
        <f>IF(D359=$S$3,1,"")</f>
        <v/>
      </c>
      <c r="T359" s="9" t="str">
        <f>IF(D359=$T$3,1,"")</f>
        <v/>
      </c>
      <c r="U359" s="9" t="str">
        <f>IF(D359=$U$3,1,"")</f>
        <v/>
      </c>
      <c r="V359" s="9" t="str">
        <f>IF(D359=$V$3,1,"")</f>
        <v/>
      </c>
      <c r="W359" s="9" t="str">
        <f>IF(D359=$W$3,1,"")</f>
        <v/>
      </c>
      <c r="X359" s="9" t="str">
        <f>IF(D359=$X$3,1,"")</f>
        <v/>
      </c>
      <c r="Y359" s="9" t="e">
        <f>IF(#REF!=$X$3,1,"")</f>
        <v>#REF!</v>
      </c>
      <c r="Z359" s="9">
        <f t="shared" si="71"/>
        <v>1</v>
      </c>
      <c r="AA359" s="9">
        <f t="shared" si="72"/>
        <v>1</v>
      </c>
      <c r="AB359" s="9">
        <f t="shared" si="73"/>
        <v>1</v>
      </c>
      <c r="AC359" s="9">
        <f t="shared" si="75"/>
        <v>1</v>
      </c>
      <c r="AD359" s="9">
        <f t="shared" si="74"/>
        <v>1</v>
      </c>
    </row>
    <row r="360" spans="1:30" ht="21" customHeight="1" x14ac:dyDescent="0.2">
      <c r="A360" s="344"/>
      <c r="B360" s="345" t="s">
        <v>729</v>
      </c>
      <c r="C360" s="346" t="str">
        <f t="shared" si="77"/>
        <v>vs</v>
      </c>
      <c r="D360" s="347" t="s">
        <v>9</v>
      </c>
      <c r="E360" s="346"/>
      <c r="F360" s="348" t="s">
        <v>23</v>
      </c>
      <c r="G360" s="9"/>
      <c r="H360" s="19"/>
      <c r="M360" s="9" t="str">
        <f>IF(D360=$M$3,1,"")</f>
        <v/>
      </c>
      <c r="N360" s="9">
        <f>IF(D360=$N$3,1,"")</f>
        <v>1</v>
      </c>
      <c r="O360" s="9" t="str">
        <f>IF(D360=$O$3,1,"")</f>
        <v/>
      </c>
      <c r="P360" s="9" t="str">
        <f>IF(D360=$P$3,1,"")</f>
        <v/>
      </c>
      <c r="Q360" s="9" t="str">
        <f>IF(D360=$Q$3,1,"")</f>
        <v/>
      </c>
      <c r="R360" s="9" t="str">
        <f>IF(D360=$R$3,1,"")</f>
        <v/>
      </c>
      <c r="S360" s="9" t="str">
        <f>IF(D360=$S$3,1,"")</f>
        <v/>
      </c>
      <c r="T360" s="9" t="str">
        <f>IF(D360=$T$3,1,"")</f>
        <v/>
      </c>
      <c r="U360" s="9" t="str">
        <f>IF(D360=$U$3,1,"")</f>
        <v/>
      </c>
      <c r="V360" s="9" t="str">
        <f>IF(D360=$V$3,1,"")</f>
        <v/>
      </c>
      <c r="W360" s="9" t="str">
        <f>IF(D360=$W$3,1,"")</f>
        <v/>
      </c>
      <c r="X360" s="9" t="str">
        <f>IF(D360=$X$3,1,"")</f>
        <v/>
      </c>
      <c r="Y360" s="9" t="e">
        <f>IF(#REF!=$X$3,1,"")</f>
        <v>#REF!</v>
      </c>
      <c r="Z360" s="9" t="str">
        <f t="shared" si="71"/>
        <v/>
      </c>
      <c r="AA360" s="9" t="str">
        <f t="shared" si="72"/>
        <v/>
      </c>
      <c r="AB360" s="9" t="str">
        <f t="shared" si="73"/>
        <v/>
      </c>
      <c r="AC360" s="9" t="str">
        <f t="shared" si="75"/>
        <v/>
      </c>
      <c r="AD360" s="9" t="str">
        <f t="shared" si="74"/>
        <v/>
      </c>
    </row>
    <row r="361" spans="1:30" ht="21" customHeight="1" x14ac:dyDescent="0.2">
      <c r="A361" s="198">
        <f>A353+1</f>
        <v>341</v>
      </c>
      <c r="B361" s="342" t="s">
        <v>685</v>
      </c>
      <c r="C361" s="200" t="str">
        <f t="shared" si="56"/>
        <v>vs</v>
      </c>
      <c r="D361" s="201" t="s">
        <v>12</v>
      </c>
      <c r="E361" s="200">
        <v>2026</v>
      </c>
      <c r="F361" s="343" t="s">
        <v>23</v>
      </c>
      <c r="G361" s="9"/>
      <c r="H361" s="19" t="s">
        <v>686</v>
      </c>
      <c r="M361" s="9" t="str">
        <f>IF(D361=$M$3,1,"")</f>
        <v/>
      </c>
      <c r="N361" s="9" t="str">
        <f>IF(D361=$N$3,1,"")</f>
        <v/>
      </c>
      <c r="O361" s="9" t="str">
        <f>IF(D361=$O$3,1,"")</f>
        <v/>
      </c>
      <c r="P361" s="9" t="str">
        <f>IF(D361=$P$3,1,"")</f>
        <v/>
      </c>
      <c r="Q361" s="9">
        <f>IF(D361=$Q$3,1,"")</f>
        <v>1</v>
      </c>
      <c r="R361" s="9" t="str">
        <f>IF(D361=$R$3,1,"")</f>
        <v/>
      </c>
      <c r="S361" s="9" t="str">
        <f>IF(D361=$S$3,1,"")</f>
        <v/>
      </c>
      <c r="T361" s="9" t="str">
        <f>IF(D361=$T$3,1,"")</f>
        <v/>
      </c>
      <c r="U361" s="9" t="str">
        <f>IF(D361=$U$3,1,"")</f>
        <v/>
      </c>
      <c r="V361" s="9" t="str">
        <f>IF(D361=$V$3,1,"")</f>
        <v/>
      </c>
      <c r="W361" s="9" t="str">
        <f>IF(D361=$W$3,1,"")</f>
        <v/>
      </c>
      <c r="X361" s="9" t="str">
        <f>IF(D361=$X$3,1,"")</f>
        <v/>
      </c>
      <c r="Y361" s="9" t="e">
        <f>IF(#REF!=$X$3,1,"")</f>
        <v>#REF!</v>
      </c>
      <c r="Z361" s="9" t="str">
        <f t="shared" si="71"/>
        <v/>
      </c>
      <c r="AA361" s="9" t="str">
        <f t="shared" si="72"/>
        <v/>
      </c>
      <c r="AB361" s="9" t="str">
        <f t="shared" si="73"/>
        <v/>
      </c>
      <c r="AC361" s="9" t="str">
        <f t="shared" si="75"/>
        <v/>
      </c>
      <c r="AD361" s="9" t="str">
        <f t="shared" si="74"/>
        <v/>
      </c>
    </row>
    <row r="362" spans="1:30" ht="21" customHeight="1" x14ac:dyDescent="0.2">
      <c r="A362" s="198"/>
      <c r="B362" s="342" t="s">
        <v>731</v>
      </c>
      <c r="C362" s="200" t="s">
        <v>741</v>
      </c>
      <c r="D362" s="201" t="s">
        <v>18</v>
      </c>
      <c r="E362" s="200"/>
      <c r="F362" s="343" t="s">
        <v>23</v>
      </c>
      <c r="G362" s="9"/>
      <c r="H362" s="19"/>
      <c r="Z362" s="9"/>
      <c r="AA362" s="9"/>
      <c r="AB362" s="9"/>
      <c r="AC362" s="9"/>
      <c r="AD362" s="9"/>
    </row>
    <row r="363" spans="1:30" ht="21" customHeight="1" x14ac:dyDescent="0.2">
      <c r="A363" s="198">
        <f>IF(B363="","",A361+1)</f>
        <v>342</v>
      </c>
      <c r="B363" s="342" t="s">
        <v>742</v>
      </c>
      <c r="C363" s="200" t="str">
        <f t="shared" si="56"/>
        <v>vs</v>
      </c>
      <c r="D363" s="201" t="s">
        <v>16</v>
      </c>
      <c r="E363" s="200">
        <v>2026</v>
      </c>
      <c r="F363" s="343" t="s">
        <v>23</v>
      </c>
      <c r="G363" s="9"/>
      <c r="H363" s="19" t="s">
        <v>743</v>
      </c>
      <c r="M363" s="9" t="str">
        <f>IF(D363=$M$3,1,"")</f>
        <v/>
      </c>
      <c r="N363" s="9" t="str">
        <f>IF(D363=$N$3,1,"")</f>
        <v/>
      </c>
      <c r="O363" s="9" t="str">
        <f>IF(D363=$O$3,1,"")</f>
        <v/>
      </c>
      <c r="P363" s="9" t="str">
        <f>IF(D363=$P$3,1,"")</f>
        <v/>
      </c>
      <c r="Q363" s="9" t="str">
        <f>IF(D363=$Q$3,1,"")</f>
        <v/>
      </c>
      <c r="R363" s="9" t="str">
        <f>IF(D363=$R$3,1,"")</f>
        <v/>
      </c>
      <c r="S363" s="9" t="str">
        <f>IF(D363=$S$3,1,"")</f>
        <v/>
      </c>
      <c r="T363" s="9" t="str">
        <f>IF(D363=$T$3,1,"")</f>
        <v/>
      </c>
      <c r="U363" s="9">
        <f>IF(D363=$U$3,1,"")</f>
        <v>1</v>
      </c>
      <c r="V363" s="9" t="str">
        <f>IF(D363=$V$3,1,"")</f>
        <v/>
      </c>
      <c r="W363" s="9" t="str">
        <f>IF(D363=$W$3,1,"")</f>
        <v/>
      </c>
      <c r="X363" s="9" t="str">
        <f>IF(D363=$X$3,1,"")</f>
        <v/>
      </c>
      <c r="Y363" s="9" t="e">
        <f>IF(#REF!=$X$3,1,"")</f>
        <v>#REF!</v>
      </c>
      <c r="Z363" s="9" t="str">
        <f t="shared" si="71"/>
        <v/>
      </c>
      <c r="AA363" s="9" t="str">
        <f t="shared" si="72"/>
        <v/>
      </c>
      <c r="AB363" s="9" t="str">
        <f t="shared" si="73"/>
        <v/>
      </c>
      <c r="AC363" s="9" t="str">
        <f t="shared" si="75"/>
        <v/>
      </c>
      <c r="AD363" s="9" t="str">
        <f t="shared" si="74"/>
        <v/>
      </c>
    </row>
    <row r="364" spans="1:30" ht="21" customHeight="1" thickBot="1" x14ac:dyDescent="0.25">
      <c r="A364" s="349">
        <f t="shared" si="70"/>
        <v>343</v>
      </c>
      <c r="B364" s="350" t="s">
        <v>744</v>
      </c>
      <c r="C364" s="351" t="str">
        <f t="shared" si="56"/>
        <v>vs</v>
      </c>
      <c r="D364" s="352" t="s">
        <v>20</v>
      </c>
      <c r="E364" s="351">
        <v>2026</v>
      </c>
      <c r="F364" s="353" t="s">
        <v>23</v>
      </c>
      <c r="G364" s="9"/>
      <c r="H364" s="19" t="s">
        <v>745</v>
      </c>
      <c r="M364" s="9" t="str">
        <f>IF(D364=$M$3,1,"")</f>
        <v/>
      </c>
      <c r="N364" s="9" t="str">
        <f>IF(D364=$N$3,1,"")</f>
        <v/>
      </c>
      <c r="O364" s="9" t="str">
        <f>IF(D364=$O$3,1,"")</f>
        <v/>
      </c>
      <c r="P364" s="9" t="str">
        <f>IF(D364=$P$3,1,"")</f>
        <v/>
      </c>
      <c r="Q364" s="9" t="str">
        <f>IF(D364=$Q$3,1,"")</f>
        <v/>
      </c>
      <c r="R364" s="9" t="str">
        <f>IF(D364=$R$3,1,"")</f>
        <v/>
      </c>
      <c r="S364" s="9" t="str">
        <f>IF(D364=$S$3,1,"")</f>
        <v/>
      </c>
      <c r="T364" s="9" t="str">
        <f>IF(D364=$T$3,1,"")</f>
        <v/>
      </c>
      <c r="U364" s="9" t="str">
        <f>IF(D364=$U$3,1,"")</f>
        <v/>
      </c>
      <c r="V364" s="9" t="str">
        <f>IF(D364=$V$3,1,"")</f>
        <v/>
      </c>
      <c r="W364" s="9" t="str">
        <f>IF(D364=$W$3,1,"")</f>
        <v/>
      </c>
      <c r="X364" s="9" t="str">
        <f>IF(D364=$X$3,1,"")</f>
        <v/>
      </c>
      <c r="Y364" s="9" t="e">
        <f>IF(#REF!=$X$3,1,"")</f>
        <v>#REF!</v>
      </c>
      <c r="Z364" s="9" t="str">
        <f t="shared" si="71"/>
        <v/>
      </c>
      <c r="AA364" s="9" t="str">
        <f t="shared" si="72"/>
        <v/>
      </c>
      <c r="AB364" s="9" t="str">
        <f t="shared" si="73"/>
        <v/>
      </c>
      <c r="AC364" s="9" t="str">
        <f t="shared" si="75"/>
        <v/>
      </c>
      <c r="AD364" s="9" t="str">
        <f t="shared" si="74"/>
        <v/>
      </c>
    </row>
    <row r="365" spans="1:30" ht="21" customHeight="1" x14ac:dyDescent="0.2">
      <c r="A365" s="169"/>
      <c r="B365" s="170" t="s">
        <v>707</v>
      </c>
      <c r="C365" s="171" t="str">
        <f t="shared" ref="C365" si="78">IF(B365="","","vs")</f>
        <v>vs</v>
      </c>
      <c r="D365" s="172" t="s">
        <v>9</v>
      </c>
      <c r="E365" s="171">
        <v>2026</v>
      </c>
      <c r="F365" s="178" t="s">
        <v>23</v>
      </c>
      <c r="G365" s="9"/>
      <c r="H365" s="19" t="s">
        <v>709</v>
      </c>
      <c r="M365" s="9" t="str">
        <f>IF(D365=$M$3,1,"")</f>
        <v/>
      </c>
      <c r="N365" s="9">
        <f>IF(D365=$N$3,1,"")</f>
        <v>1</v>
      </c>
      <c r="O365" s="9" t="str">
        <f>IF(D365=$O$3,1,"")</f>
        <v/>
      </c>
      <c r="P365" s="9" t="str">
        <f>IF(D365=$P$3,1,"")</f>
        <v/>
      </c>
      <c r="Q365" s="9" t="str">
        <f>IF(D365=$Q$3,1,"")</f>
        <v/>
      </c>
      <c r="R365" s="9" t="str">
        <f>IF(D365=$R$3,1,"")</f>
        <v/>
      </c>
      <c r="S365" s="9" t="str">
        <f>IF(D365=$S$3,1,"")</f>
        <v/>
      </c>
      <c r="T365" s="9" t="str">
        <f>IF(D365=$T$3,1,"")</f>
        <v/>
      </c>
      <c r="U365" s="9" t="str">
        <f>IF(D365=$U$3,1,"")</f>
        <v/>
      </c>
      <c r="V365" s="9" t="str">
        <f>IF(D365=$V$3,1,"")</f>
        <v/>
      </c>
      <c r="W365" s="9" t="str">
        <f>IF(D365=$W$3,1,"")</f>
        <v/>
      </c>
      <c r="X365" s="9" t="str">
        <f>IF(D365=$X$3,1,"")</f>
        <v/>
      </c>
      <c r="Y365" s="9" t="e">
        <f>IF(#REF!=$X$3,1,"")</f>
        <v>#REF!</v>
      </c>
      <c r="Z365" s="9" t="str">
        <f t="shared" ref="Z365" si="79">IF(F365=$Z$3,1,"")</f>
        <v/>
      </c>
      <c r="AA365" s="9" t="str">
        <f t="shared" ref="AA365" si="80">IF(F365=$AA$3,1,"")</f>
        <v/>
      </c>
      <c r="AB365" s="9" t="str">
        <f t="shared" ref="AB365" si="81">IF(F365=$AB$3,1,"")</f>
        <v/>
      </c>
      <c r="AC365" s="9" t="str">
        <f t="shared" ref="AC365" si="82">IF(F365=$AC$3,1,"")</f>
        <v/>
      </c>
      <c r="AD365" s="9" t="str">
        <f t="shared" ref="AD365" si="83">IF(F365=$AE$3,1,"")</f>
        <v/>
      </c>
    </row>
    <row r="366" spans="1:30" ht="21" customHeight="1" x14ac:dyDescent="0.2">
      <c r="A366" s="355">
        <f>IF(B364="","",A364+1)</f>
        <v>344</v>
      </c>
      <c r="B366" s="356" t="s">
        <v>683</v>
      </c>
      <c r="C366" s="357" t="str">
        <f>IF(B366="","","vs")</f>
        <v>vs</v>
      </c>
      <c r="D366" s="354" t="s">
        <v>8</v>
      </c>
      <c r="E366" s="357">
        <v>2026</v>
      </c>
      <c r="F366" s="358" t="s">
        <v>23</v>
      </c>
      <c r="G366" s="9"/>
      <c r="H366" s="19" t="s">
        <v>684</v>
      </c>
      <c r="M366" s="9">
        <f>IF(D366=$M$3,1,"")</f>
        <v>1</v>
      </c>
      <c r="N366" s="9" t="str">
        <f>IF(D366=$N$3,1,"")</f>
        <v/>
      </c>
      <c r="O366" s="9" t="str">
        <f>IF(D366=$O$3,1,"")</f>
        <v/>
      </c>
      <c r="P366" s="9" t="str">
        <f>IF(D366=$P$3,1,"")</f>
        <v/>
      </c>
      <c r="Q366" s="9" t="str">
        <f>IF(D366=$Q$3,1,"")</f>
        <v/>
      </c>
      <c r="R366" s="9" t="str">
        <f>IF(D366=$R$3,1,"")</f>
        <v/>
      </c>
      <c r="S366" s="9" t="str">
        <f>IF(D366=$S$3,1,"")</f>
        <v/>
      </c>
      <c r="T366" s="9" t="str">
        <f>IF(D366=$T$3,1,"")</f>
        <v/>
      </c>
      <c r="U366" s="9" t="str">
        <f>IF(D366=$U$3,1,"")</f>
        <v/>
      </c>
      <c r="V366" s="9" t="str">
        <f>IF(D366=$V$3,1,"")</f>
        <v/>
      </c>
      <c r="W366" s="9" t="str">
        <f>IF(D366=$W$3,1,"")</f>
        <v/>
      </c>
      <c r="X366" s="9" t="str">
        <f>IF(D366=$X$3,1,"")</f>
        <v/>
      </c>
      <c r="Y366" s="9" t="e">
        <f>IF(#REF!=$X$3,1,"")</f>
        <v>#REF!</v>
      </c>
      <c r="Z366" s="9" t="str">
        <f t="shared" si="71"/>
        <v/>
      </c>
      <c r="AA366" s="9" t="str">
        <f t="shared" si="72"/>
        <v/>
      </c>
      <c r="AB366" s="9" t="str">
        <f t="shared" si="73"/>
        <v/>
      </c>
      <c r="AC366" s="9" t="str">
        <f t="shared" si="75"/>
        <v/>
      </c>
      <c r="AD366" s="9" t="str">
        <f t="shared" si="74"/>
        <v/>
      </c>
    </row>
    <row r="367" spans="1:30" ht="21" customHeight="1" x14ac:dyDescent="0.2">
      <c r="A367" s="174"/>
      <c r="B367" s="180" t="s">
        <v>594</v>
      </c>
      <c r="C367" s="176" t="str">
        <f t="shared" ref="C367" si="84">IF(B367="","","vs")</f>
        <v>vs</v>
      </c>
      <c r="D367" s="177" t="s">
        <v>15</v>
      </c>
      <c r="E367" s="176">
        <v>2026</v>
      </c>
      <c r="F367" s="178" t="s">
        <v>23</v>
      </c>
      <c r="G367" s="9"/>
      <c r="H367" s="150" t="s">
        <v>595</v>
      </c>
      <c r="M367" s="9" t="str">
        <f>IF(D367=$M$3,1,"")</f>
        <v/>
      </c>
      <c r="N367" s="9" t="str">
        <f>IF(D367=$N$3,1,"")</f>
        <v/>
      </c>
      <c r="O367" s="9" t="str">
        <f>IF(D367=$O$3,1,"")</f>
        <v/>
      </c>
      <c r="P367" s="9" t="str">
        <f>IF(D367=$P$3,1,"")</f>
        <v/>
      </c>
      <c r="Q367" s="9" t="str">
        <f>IF(D367=$Q$3,1,"")</f>
        <v/>
      </c>
      <c r="R367" s="9" t="str">
        <f>IF(D367=$R$3,1,"")</f>
        <v/>
      </c>
      <c r="S367" s="9" t="str">
        <f>IF(D367=$S$3,1,"")</f>
        <v/>
      </c>
      <c r="T367" s="9">
        <f>IF(D367=$T$3,1,"")</f>
        <v>1</v>
      </c>
      <c r="U367" s="9" t="str">
        <f>IF(D367=$U$3,1,"")</f>
        <v/>
      </c>
      <c r="V367" s="9" t="str">
        <f>IF(D367=$V$3,1,"")</f>
        <v/>
      </c>
      <c r="W367" s="9" t="str">
        <f>IF(D367=$W$3,1,"")</f>
        <v/>
      </c>
      <c r="X367" s="9" t="str">
        <f>IF(D367=$X$3,1,"")</f>
        <v/>
      </c>
      <c r="Y367" s="9" t="e">
        <f>IF(#REF!=$X$3,1,"")</f>
        <v>#REF!</v>
      </c>
      <c r="Z367" s="9" t="str">
        <f t="shared" si="71"/>
        <v/>
      </c>
      <c r="AA367" s="9" t="str">
        <f t="shared" si="72"/>
        <v/>
      </c>
      <c r="AB367" s="9" t="str">
        <f t="shared" si="73"/>
        <v/>
      </c>
      <c r="AC367" s="9" t="str">
        <f t="shared" si="75"/>
        <v/>
      </c>
      <c r="AD367" s="9" t="str">
        <f t="shared" si="74"/>
        <v/>
      </c>
    </row>
    <row r="368" spans="1:30" ht="21" customHeight="1" x14ac:dyDescent="0.2">
      <c r="A368" s="174"/>
      <c r="B368" s="304" t="s">
        <v>704</v>
      </c>
      <c r="C368" s="242"/>
      <c r="D368" s="243" t="s">
        <v>9</v>
      </c>
      <c r="E368" s="242"/>
      <c r="F368" s="178" t="s">
        <v>23</v>
      </c>
      <c r="G368" s="9"/>
      <c r="H368" s="19"/>
      <c r="M368" s="9" t="str">
        <f>IF(D368=$M$3,1,"")</f>
        <v/>
      </c>
      <c r="N368" s="9">
        <f>IF(D368=$N$3,1,"")</f>
        <v>1</v>
      </c>
      <c r="O368" s="9" t="str">
        <f>IF(D368=$O$3,1,"")</f>
        <v/>
      </c>
      <c r="P368" s="9" t="str">
        <f>IF(D368=$P$3,1,"")</f>
        <v/>
      </c>
      <c r="Q368" s="9" t="str">
        <f>IF(D368=$Q$3,1,"")</f>
        <v/>
      </c>
      <c r="R368" s="9" t="str">
        <f>IF(D368=$R$3,1,"")</f>
        <v/>
      </c>
      <c r="S368" s="9" t="str">
        <f>IF(D368=$S$3,1,"")</f>
        <v/>
      </c>
      <c r="T368" s="9" t="str">
        <f>IF(D368=$T$3,1,"")</f>
        <v/>
      </c>
      <c r="U368" s="9" t="str">
        <f>IF(D368=$U$3,1,"")</f>
        <v/>
      </c>
      <c r="V368" s="9" t="str">
        <f>IF(D368=$V$3,1,"")</f>
        <v/>
      </c>
      <c r="W368" s="9" t="str">
        <f>IF(D368=$W$3,1,"")</f>
        <v/>
      </c>
      <c r="X368" s="9" t="str">
        <f>IF(D368=$X$3,1,"")</f>
        <v/>
      </c>
      <c r="Y368" s="9" t="e">
        <f>IF(#REF!=$X$3,1,"")</f>
        <v>#REF!</v>
      </c>
      <c r="Z368" s="9" t="str">
        <f t="shared" si="71"/>
        <v/>
      </c>
      <c r="AA368" s="9" t="str">
        <f t="shared" si="72"/>
        <v/>
      </c>
      <c r="AB368" s="9" t="str">
        <f t="shared" si="73"/>
        <v/>
      </c>
      <c r="AC368" s="9" t="str">
        <f t="shared" si="75"/>
        <v/>
      </c>
      <c r="AD368" s="9" t="str">
        <f t="shared" si="74"/>
        <v/>
      </c>
    </row>
    <row r="369" spans="1:30" ht="21" customHeight="1" x14ac:dyDescent="0.2">
      <c r="A369" s="15"/>
      <c r="B369" s="34" t="s">
        <v>746</v>
      </c>
      <c r="C369" s="20" t="str">
        <f t="shared" si="56"/>
        <v>vs</v>
      </c>
      <c r="D369" s="21" t="s">
        <v>9</v>
      </c>
      <c r="E369" s="20"/>
      <c r="F369" s="18"/>
      <c r="G369" s="9"/>
      <c r="H369" s="19" t="s">
        <v>747</v>
      </c>
      <c r="M369" s="9" t="str">
        <f>IF(D369=$M$3,1,"")</f>
        <v/>
      </c>
      <c r="N369" s="9">
        <f>IF(D369=$N$3,1,"")</f>
        <v>1</v>
      </c>
      <c r="O369" s="9" t="str">
        <f>IF(D369=$O$3,1,"")</f>
        <v/>
      </c>
      <c r="P369" s="9" t="str">
        <f>IF(D369=$P$3,1,"")</f>
        <v/>
      </c>
      <c r="Q369" s="9" t="str">
        <f>IF(D369=$Q$3,1,"")</f>
        <v/>
      </c>
      <c r="R369" s="9" t="str">
        <f>IF(D369=$R$3,1,"")</f>
        <v/>
      </c>
      <c r="S369" s="9" t="str">
        <f>IF(D369=$S$3,1,"")</f>
        <v/>
      </c>
      <c r="T369" s="9" t="str">
        <f>IF(D369=$T$3,1,"")</f>
        <v/>
      </c>
      <c r="U369" s="9" t="str">
        <f>IF(D369=$U$3,1,"")</f>
        <v/>
      </c>
      <c r="V369" s="9" t="str">
        <f>IF(D369=$V$3,1,"")</f>
        <v/>
      </c>
      <c r="W369" s="9" t="str">
        <f>IF(D369=$W$3,1,"")</f>
        <v/>
      </c>
      <c r="X369" s="9" t="str">
        <f>IF(D369=$X$3,1,"")</f>
        <v/>
      </c>
      <c r="Y369" s="9" t="e">
        <f>IF(#REF!=$X$3,1,"")</f>
        <v>#REF!</v>
      </c>
      <c r="Z369" s="9">
        <f t="shared" si="71"/>
        <v>1</v>
      </c>
      <c r="AA369" s="9">
        <f t="shared" si="72"/>
        <v>1</v>
      </c>
      <c r="AB369" s="9">
        <f t="shared" si="73"/>
        <v>1</v>
      </c>
      <c r="AC369" s="9">
        <f t="shared" si="75"/>
        <v>1</v>
      </c>
      <c r="AD369" s="9">
        <f t="shared" si="74"/>
        <v>1</v>
      </c>
    </row>
    <row r="370" spans="1:30" ht="21" customHeight="1" x14ac:dyDescent="0.2">
      <c r="A370" s="156">
        <f>IF(B370="","",A366+1)</f>
        <v>345</v>
      </c>
      <c r="B370" s="161" t="s">
        <v>735</v>
      </c>
      <c r="C370" s="162" t="str">
        <f t="shared" si="56"/>
        <v>vs</v>
      </c>
      <c r="D370" s="163" t="s">
        <v>8</v>
      </c>
      <c r="E370" s="162">
        <v>2026</v>
      </c>
      <c r="F370" s="160" t="s">
        <v>47</v>
      </c>
      <c r="G370" s="9"/>
      <c r="H370" s="19" t="s">
        <v>748</v>
      </c>
      <c r="M370" s="9">
        <f>IF(D370=$M$3,1,"")</f>
        <v>1</v>
      </c>
      <c r="N370" s="9" t="str">
        <f>IF(D370=$N$3,1,"")</f>
        <v/>
      </c>
      <c r="O370" s="9" t="str">
        <f>IF(D370=$O$3,1,"")</f>
        <v/>
      </c>
      <c r="P370" s="9" t="str">
        <f>IF(D370=$P$3,1,"")</f>
        <v/>
      </c>
      <c r="Q370" s="9" t="str">
        <f>IF(D370=$Q$3,1,"")</f>
        <v/>
      </c>
      <c r="R370" s="9" t="str">
        <f>IF(D370=$R$3,1,"")</f>
        <v/>
      </c>
      <c r="S370" s="9" t="str">
        <f>IF(D370=$S$3,1,"")</f>
        <v/>
      </c>
      <c r="T370" s="9" t="str">
        <f>IF(D370=$T$3,1,"")</f>
        <v/>
      </c>
      <c r="U370" s="9" t="str">
        <f>IF(D370=$U$3,1,"")</f>
        <v/>
      </c>
      <c r="V370" s="9" t="str">
        <f>IF(D370=$V$3,1,"")</f>
        <v/>
      </c>
      <c r="W370" s="9" t="str">
        <f>IF(D370=$W$3,1,"")</f>
        <v/>
      </c>
      <c r="X370" s="9" t="str">
        <f>IF(D370=$X$3,1,"")</f>
        <v/>
      </c>
      <c r="Y370" s="9" t="e">
        <f>IF(#REF!=$X$3,1,"")</f>
        <v>#REF!</v>
      </c>
      <c r="Z370" s="9" t="str">
        <f t="shared" si="71"/>
        <v/>
      </c>
      <c r="AA370" s="9" t="str">
        <f t="shared" si="72"/>
        <v/>
      </c>
      <c r="AB370" s="9" t="str">
        <f t="shared" si="73"/>
        <v/>
      </c>
      <c r="AC370" s="9" t="str">
        <f t="shared" si="75"/>
        <v/>
      </c>
      <c r="AD370" s="9" t="str">
        <f t="shared" si="74"/>
        <v/>
      </c>
    </row>
    <row r="371" spans="1:30" ht="21" customHeight="1" x14ac:dyDescent="0.2">
      <c r="A371" s="156">
        <f t="shared" si="70"/>
        <v>346</v>
      </c>
      <c r="B371" s="161" t="s">
        <v>737</v>
      </c>
      <c r="C371" s="162" t="str">
        <f t="shared" si="56"/>
        <v>vs</v>
      </c>
      <c r="D371" s="163" t="s">
        <v>15</v>
      </c>
      <c r="E371" s="162">
        <v>2026</v>
      </c>
      <c r="F371" s="160" t="s">
        <v>23</v>
      </c>
      <c r="G371" s="9"/>
      <c r="H371" s="19" t="s">
        <v>738</v>
      </c>
      <c r="M371" s="9" t="str">
        <f>IF(D371=$M$3,1,"")</f>
        <v/>
      </c>
      <c r="N371" s="9" t="str">
        <f>IF(D371=$N$3,1,"")</f>
        <v/>
      </c>
      <c r="O371" s="9" t="str">
        <f>IF(D371=$O$3,1,"")</f>
        <v/>
      </c>
      <c r="P371" s="9" t="str">
        <f>IF(D371=$P$3,1,"")</f>
        <v/>
      </c>
      <c r="Q371" s="9" t="str">
        <f>IF(D371=$Q$3,1,"")</f>
        <v/>
      </c>
      <c r="R371" s="9" t="str">
        <f>IF(D371=$R$3,1,"")</f>
        <v/>
      </c>
      <c r="S371" s="9" t="str">
        <f>IF(D371=$S$3,1,"")</f>
        <v/>
      </c>
      <c r="T371" s="9">
        <f>IF(D371=$T$3,1,"")</f>
        <v>1</v>
      </c>
      <c r="U371" s="9" t="str">
        <f>IF(D371=$U$3,1,"")</f>
        <v/>
      </c>
      <c r="V371" s="9" t="str">
        <f>IF(D371=$V$3,1,"")</f>
        <v/>
      </c>
      <c r="W371" s="9" t="str">
        <f>IF(D371=$W$3,1,"")</f>
        <v/>
      </c>
      <c r="X371" s="9" t="str">
        <f>IF(D371=$X$3,1,"")</f>
        <v/>
      </c>
      <c r="Y371" s="9" t="e">
        <f>IF(#REF!=$X$3,1,"")</f>
        <v>#REF!</v>
      </c>
      <c r="Z371" s="9" t="str">
        <f t="shared" si="71"/>
        <v/>
      </c>
      <c r="AA371" s="9" t="str">
        <f t="shared" si="72"/>
        <v/>
      </c>
      <c r="AB371" s="9" t="str">
        <f t="shared" si="73"/>
        <v/>
      </c>
      <c r="AC371" s="9" t="str">
        <f t="shared" si="75"/>
        <v/>
      </c>
      <c r="AD371" s="9" t="str">
        <f t="shared" si="74"/>
        <v/>
      </c>
    </row>
    <row r="372" spans="1:30" ht="21" customHeight="1" x14ac:dyDescent="0.2">
      <c r="A372" s="156">
        <f t="shared" si="70"/>
        <v>347</v>
      </c>
      <c r="B372" s="161" t="s">
        <v>749</v>
      </c>
      <c r="C372" s="162" t="str">
        <f t="shared" si="56"/>
        <v>vs</v>
      </c>
      <c r="D372" s="163" t="s">
        <v>12</v>
      </c>
      <c r="E372" s="162">
        <v>2026</v>
      </c>
      <c r="F372" s="160" t="s">
        <v>23</v>
      </c>
      <c r="G372" s="9"/>
      <c r="H372" s="19" t="s">
        <v>750</v>
      </c>
      <c r="M372" s="9" t="str">
        <f>IF(D372=$M$3,1,"")</f>
        <v/>
      </c>
      <c r="N372" s="9" t="str">
        <f>IF(D372=$N$3,1,"")</f>
        <v/>
      </c>
      <c r="O372" s="9" t="str">
        <f>IF(D372=$O$3,1,"")</f>
        <v/>
      </c>
      <c r="P372" s="9" t="str">
        <f>IF(D372=$P$3,1,"")</f>
        <v/>
      </c>
      <c r="Q372" s="9">
        <f>IF(D372=$Q$3,1,"")</f>
        <v>1</v>
      </c>
      <c r="R372" s="9" t="str">
        <f>IF(D372=$R$3,1,"")</f>
        <v/>
      </c>
      <c r="S372" s="9" t="str">
        <f>IF(D372=$S$3,1,"")</f>
        <v/>
      </c>
      <c r="T372" s="9" t="str">
        <f>IF(D372=$T$3,1,"")</f>
        <v/>
      </c>
      <c r="U372" s="9" t="str">
        <f>IF(D372=$U$3,1,"")</f>
        <v/>
      </c>
      <c r="V372" s="9" t="str">
        <f>IF(D372=$V$3,1,"")</f>
        <v/>
      </c>
      <c r="W372" s="9" t="str">
        <f>IF(D372=$W$3,1,"")</f>
        <v/>
      </c>
      <c r="X372" s="9" t="str">
        <f>IF(D372=$X$3,1,"")</f>
        <v/>
      </c>
      <c r="Y372" s="9" t="e">
        <f>IF(#REF!=$X$3,1,"")</f>
        <v>#REF!</v>
      </c>
      <c r="Z372" s="9" t="str">
        <f t="shared" si="71"/>
        <v/>
      </c>
      <c r="AA372" s="9" t="str">
        <f t="shared" si="72"/>
        <v/>
      </c>
      <c r="AB372" s="9" t="str">
        <f t="shared" si="73"/>
        <v/>
      </c>
      <c r="AC372" s="9" t="str">
        <f t="shared" si="75"/>
        <v/>
      </c>
      <c r="AD372" s="9" t="str">
        <f t="shared" si="74"/>
        <v/>
      </c>
    </row>
    <row r="373" spans="1:30" ht="21" customHeight="1" x14ac:dyDescent="0.2">
      <c r="A373" s="156">
        <f t="shared" si="70"/>
        <v>348</v>
      </c>
      <c r="B373" s="161" t="s">
        <v>751</v>
      </c>
      <c r="C373" s="162" t="str">
        <f t="shared" si="56"/>
        <v>vs</v>
      </c>
      <c r="D373" s="163" t="s">
        <v>12</v>
      </c>
      <c r="E373" s="162">
        <v>2026</v>
      </c>
      <c r="F373" s="160" t="s">
        <v>47</v>
      </c>
      <c r="G373" s="9"/>
      <c r="H373" s="19" t="s">
        <v>752</v>
      </c>
      <c r="M373" s="9" t="str">
        <f>IF(D373=$M$3,1,"")</f>
        <v/>
      </c>
      <c r="N373" s="9" t="str">
        <f>IF(D373=$N$3,1,"")</f>
        <v/>
      </c>
      <c r="O373" s="9" t="str">
        <f>IF(D373=$O$3,1,"")</f>
        <v/>
      </c>
      <c r="P373" s="9" t="str">
        <f>IF(D373=$P$3,1,"")</f>
        <v/>
      </c>
      <c r="Q373" s="9">
        <f>IF(D373=$Q$3,1,"")</f>
        <v>1</v>
      </c>
      <c r="R373" s="9" t="str">
        <f>IF(D373=$R$3,1,"")</f>
        <v/>
      </c>
      <c r="S373" s="9" t="str">
        <f>IF(D373=$S$3,1,"")</f>
        <v/>
      </c>
      <c r="T373" s="9" t="str">
        <f>IF(D373=$T$3,1,"")</f>
        <v/>
      </c>
      <c r="U373" s="9" t="str">
        <f>IF(D373=$U$3,1,"")</f>
        <v/>
      </c>
      <c r="V373" s="9" t="str">
        <f>IF(D373=$V$3,1,"")</f>
        <v/>
      </c>
      <c r="W373" s="9" t="str">
        <f>IF(D373=$W$3,1,"")</f>
        <v/>
      </c>
      <c r="X373" s="9" t="str">
        <f>IF(D373=$X$3,1,"")</f>
        <v/>
      </c>
      <c r="Y373" s="9" t="e">
        <f>IF(#REF!=$X$3,1,"")</f>
        <v>#REF!</v>
      </c>
      <c r="Z373" s="9" t="str">
        <f t="shared" si="71"/>
        <v/>
      </c>
      <c r="AA373" s="9" t="str">
        <f t="shared" si="72"/>
        <v/>
      </c>
      <c r="AB373" s="9" t="str">
        <f t="shared" si="73"/>
        <v/>
      </c>
      <c r="AC373" s="9" t="str">
        <f t="shared" si="75"/>
        <v/>
      </c>
      <c r="AD373" s="9" t="str">
        <f t="shared" si="74"/>
        <v/>
      </c>
    </row>
    <row r="374" spans="1:30" ht="21" customHeight="1" x14ac:dyDescent="0.2">
      <c r="A374" s="359">
        <f>IF(B374="","",A373+1)</f>
        <v>349</v>
      </c>
      <c r="B374" s="360" t="s">
        <v>746</v>
      </c>
      <c r="C374" s="361" t="str">
        <f t="shared" ref="C374" si="85">IF(B374="","","vs")</f>
        <v>vs</v>
      </c>
      <c r="D374" s="362" t="s">
        <v>9</v>
      </c>
      <c r="E374" s="361">
        <v>2026</v>
      </c>
      <c r="F374" s="363" t="s">
        <v>33</v>
      </c>
      <c r="G374" s="9"/>
      <c r="H374" s="19" t="s">
        <v>747</v>
      </c>
      <c r="M374" s="9" t="str">
        <f>IF(D374=$M$3,1,"")</f>
        <v/>
      </c>
      <c r="N374" s="9">
        <f>IF(D374=$N$3,1,"")</f>
        <v>1</v>
      </c>
      <c r="O374" s="9" t="str">
        <f>IF(D374=$O$3,1,"")</f>
        <v/>
      </c>
      <c r="P374" s="9" t="str">
        <f>IF(D374=$P$3,1,"")</f>
        <v/>
      </c>
      <c r="Q374" s="9" t="str">
        <f>IF(D374=$Q$3,1,"")</f>
        <v/>
      </c>
      <c r="R374" s="9" t="str">
        <f>IF(D374=$R$3,1,"")</f>
        <v/>
      </c>
      <c r="S374" s="9" t="str">
        <f>IF(D374=$S$3,1,"")</f>
        <v/>
      </c>
      <c r="T374" s="9" t="str">
        <f>IF(D374=$T$3,1,"")</f>
        <v/>
      </c>
      <c r="U374" s="9" t="str">
        <f>IF(D374=$U$3,1,"")</f>
        <v/>
      </c>
      <c r="V374" s="9" t="str">
        <f>IF(D374=$V$3,1,"")</f>
        <v/>
      </c>
      <c r="W374" s="9" t="str">
        <f>IF(D374=$W$3,1,"")</f>
        <v/>
      </c>
      <c r="X374" s="9" t="str">
        <f>IF(D374=$X$3,1,"")</f>
        <v/>
      </c>
      <c r="Y374" s="9" t="e">
        <f>IF(#REF!=$X$3,1,"")</f>
        <v>#REF!</v>
      </c>
      <c r="Z374" s="9" t="str">
        <f t="shared" si="71"/>
        <v/>
      </c>
      <c r="AA374" s="9" t="str">
        <f t="shared" si="72"/>
        <v/>
      </c>
      <c r="AB374" s="9" t="str">
        <f t="shared" si="73"/>
        <v/>
      </c>
      <c r="AC374" s="9" t="str">
        <f t="shared" si="75"/>
        <v/>
      </c>
      <c r="AD374" s="9" t="str">
        <f t="shared" si="74"/>
        <v/>
      </c>
    </row>
    <row r="375" spans="1:30" ht="21" customHeight="1" x14ac:dyDescent="0.2">
      <c r="A375" s="359">
        <f t="shared" si="70"/>
        <v>350</v>
      </c>
      <c r="B375" s="360" t="s">
        <v>699</v>
      </c>
      <c r="C375" s="361" t="str">
        <f>IF(B375="","","vs")</f>
        <v>vs</v>
      </c>
      <c r="D375" s="362" t="s">
        <v>16</v>
      </c>
      <c r="E375" s="361">
        <v>2026</v>
      </c>
      <c r="F375" s="363" t="s">
        <v>23</v>
      </c>
      <c r="G375" s="9"/>
      <c r="H375" s="19" t="s">
        <v>753</v>
      </c>
      <c r="M375" s="9" t="str">
        <f>IF(D375=$M$3,1,"")</f>
        <v/>
      </c>
      <c r="N375" s="9" t="str">
        <f>IF(D375=$N$3,1,"")</f>
        <v/>
      </c>
      <c r="O375" s="9" t="str">
        <f>IF(D375=$O$3,1,"")</f>
        <v/>
      </c>
      <c r="P375" s="9" t="str">
        <f>IF(D375=$P$3,1,"")</f>
        <v/>
      </c>
      <c r="Q375" s="9" t="str">
        <f>IF(D375=$Q$3,1,"")</f>
        <v/>
      </c>
      <c r="R375" s="9" t="str">
        <f>IF(D375=$R$3,1,"")</f>
        <v/>
      </c>
      <c r="S375" s="9" t="str">
        <f>IF(D375=$S$3,1,"")</f>
        <v/>
      </c>
      <c r="T375" s="9" t="str">
        <f>IF(D375=$T$3,1,"")</f>
        <v/>
      </c>
      <c r="U375" s="9">
        <f>IF(D375=$U$3,1,"")</f>
        <v>1</v>
      </c>
      <c r="V375" s="9" t="str">
        <f>IF(D375=$V$3,1,"")</f>
        <v/>
      </c>
      <c r="W375" s="9" t="str">
        <f>IF(D375=$W$3,1,"")</f>
        <v/>
      </c>
      <c r="X375" s="9" t="str">
        <f>IF(D375=$X$3,1,"")</f>
        <v/>
      </c>
      <c r="Y375" s="9" t="e">
        <f>IF(#REF!=$X$3,1,"")</f>
        <v>#REF!</v>
      </c>
      <c r="Z375" s="9" t="str">
        <f t="shared" si="71"/>
        <v/>
      </c>
      <c r="AA375" s="9" t="str">
        <f t="shared" si="72"/>
        <v/>
      </c>
      <c r="AB375" s="9" t="str">
        <f t="shared" si="73"/>
        <v/>
      </c>
      <c r="AC375" s="9" t="str">
        <f t="shared" si="75"/>
        <v/>
      </c>
      <c r="AD375" s="9" t="str">
        <f t="shared" si="74"/>
        <v/>
      </c>
    </row>
    <row r="376" spans="1:30" ht="21" customHeight="1" x14ac:dyDescent="0.2">
      <c r="A376" s="359">
        <f t="shared" si="70"/>
        <v>351</v>
      </c>
      <c r="B376" s="360" t="s">
        <v>754</v>
      </c>
      <c r="C376" s="361" t="str">
        <f t="shared" si="56"/>
        <v>vs</v>
      </c>
      <c r="D376" s="362" t="s">
        <v>8</v>
      </c>
      <c r="E376" s="361">
        <v>2026</v>
      </c>
      <c r="F376" s="363" t="s">
        <v>47</v>
      </c>
      <c r="G376" s="9"/>
      <c r="H376" s="19" t="s">
        <v>755</v>
      </c>
      <c r="M376" s="9">
        <f>IF(D376=$M$3,1,"")</f>
        <v>1</v>
      </c>
      <c r="N376" s="9" t="str">
        <f>IF(D376=$N$3,1,"")</f>
        <v/>
      </c>
      <c r="O376" s="9" t="str">
        <f>IF(D376=$O$3,1,"")</f>
        <v/>
      </c>
      <c r="P376" s="9" t="str">
        <f>IF(D376=$P$3,1,"")</f>
        <v/>
      </c>
      <c r="Q376" s="9" t="str">
        <f>IF(D376=$Q$3,1,"")</f>
        <v/>
      </c>
      <c r="R376" s="9" t="str">
        <f>IF(D376=$R$3,1,"")</f>
        <v/>
      </c>
      <c r="S376" s="9" t="str">
        <f>IF(D376=$S$3,1,"")</f>
        <v/>
      </c>
      <c r="T376" s="9" t="str">
        <f>IF(D376=$T$3,1,"")</f>
        <v/>
      </c>
      <c r="U376" s="9" t="str">
        <f>IF(D376=$U$3,1,"")</f>
        <v/>
      </c>
      <c r="V376" s="9" t="str">
        <f>IF(D376=$V$3,1,"")</f>
        <v/>
      </c>
      <c r="W376" s="9" t="str">
        <f>IF(D376=$W$3,1,"")</f>
        <v/>
      </c>
      <c r="X376" s="9" t="str">
        <f>IF(D376=$X$3,1,"")</f>
        <v/>
      </c>
      <c r="Y376" s="9" t="e">
        <f>IF(#REF!=$X$3,1,"")</f>
        <v>#REF!</v>
      </c>
      <c r="Z376" s="9" t="str">
        <f t="shared" si="71"/>
        <v/>
      </c>
      <c r="AA376" s="9" t="str">
        <f t="shared" si="72"/>
        <v/>
      </c>
      <c r="AB376" s="9" t="str">
        <f t="shared" si="73"/>
        <v/>
      </c>
      <c r="AC376" s="9" t="str">
        <f t="shared" si="75"/>
        <v/>
      </c>
      <c r="AD376" s="9" t="str">
        <f t="shared" si="74"/>
        <v/>
      </c>
    </row>
    <row r="377" spans="1:30" ht="21" customHeight="1" x14ac:dyDescent="0.2">
      <c r="A377" s="359">
        <f t="shared" si="70"/>
        <v>352</v>
      </c>
      <c r="B377" s="360" t="s">
        <v>756</v>
      </c>
      <c r="C377" s="361" t="str">
        <f t="shared" si="56"/>
        <v>vs</v>
      </c>
      <c r="D377" s="362" t="s">
        <v>11</v>
      </c>
      <c r="E377" s="361">
        <v>2026</v>
      </c>
      <c r="F377" s="363" t="s">
        <v>33</v>
      </c>
      <c r="G377" s="9"/>
      <c r="H377" s="19" t="s">
        <v>757</v>
      </c>
      <c r="M377" s="9" t="str">
        <f>IF(D377=$M$3,1,"")</f>
        <v/>
      </c>
      <c r="N377" s="9" t="str">
        <f>IF(D377=$N$3,1,"")</f>
        <v/>
      </c>
      <c r="O377" s="9" t="str">
        <f>IF(D377=$O$3,1,"")</f>
        <v/>
      </c>
      <c r="P377" s="9">
        <f>IF(D377=$P$3,1,"")</f>
        <v>1</v>
      </c>
      <c r="Q377" s="9" t="str">
        <f>IF(D377=$Q$3,1,"")</f>
        <v/>
      </c>
      <c r="R377" s="9" t="str">
        <f>IF(D377=$R$3,1,"")</f>
        <v/>
      </c>
      <c r="S377" s="9" t="str">
        <f>IF(D377=$S$3,1,"")</f>
        <v/>
      </c>
      <c r="T377" s="9" t="str">
        <f>IF(D377=$T$3,1,"")</f>
        <v/>
      </c>
      <c r="U377" s="9" t="str">
        <f>IF(D377=$U$3,1,"")</f>
        <v/>
      </c>
      <c r="V377" s="9" t="str">
        <f>IF(D377=$V$3,1,"")</f>
        <v/>
      </c>
      <c r="W377" s="9" t="str">
        <f>IF(D377=$W$3,1,"")</f>
        <v/>
      </c>
      <c r="X377" s="9" t="str">
        <f>IF(D377=$X$3,1,"")</f>
        <v/>
      </c>
      <c r="Y377" s="9" t="e">
        <f>IF(#REF!=$X$3,1,"")</f>
        <v>#REF!</v>
      </c>
      <c r="Z377" s="9" t="str">
        <f t="shared" si="71"/>
        <v/>
      </c>
      <c r="AA377" s="9" t="str">
        <f t="shared" si="72"/>
        <v/>
      </c>
      <c r="AB377" s="9" t="str">
        <f t="shared" si="73"/>
        <v/>
      </c>
      <c r="AC377" s="9" t="str">
        <f t="shared" si="75"/>
        <v/>
      </c>
      <c r="AD377" s="9" t="str">
        <f t="shared" si="74"/>
        <v/>
      </c>
    </row>
    <row r="378" spans="1:30" ht="21" customHeight="1" x14ac:dyDescent="0.2">
      <c r="A378" s="252">
        <f>IF(B378="","",A377+1)</f>
        <v>353</v>
      </c>
      <c r="B378" s="253" t="s">
        <v>758</v>
      </c>
      <c r="C378" s="254" t="str">
        <f>IF(B378="","","vs")</f>
        <v>vs</v>
      </c>
      <c r="D378" s="255" t="s">
        <v>15</v>
      </c>
      <c r="E378" s="254">
        <v>2026</v>
      </c>
      <c r="F378" s="231" t="s">
        <v>23</v>
      </c>
      <c r="G378" s="9"/>
      <c r="H378" s="19" t="s">
        <v>759</v>
      </c>
      <c r="M378" s="9" t="str">
        <f>IF(D378=$M$3,1,"")</f>
        <v/>
      </c>
      <c r="N378" s="9" t="str">
        <f>IF(D378=$N$3,1,"")</f>
        <v/>
      </c>
      <c r="O378" s="9" t="str">
        <f>IF(D378=$O$3,1,"")</f>
        <v/>
      </c>
      <c r="P378" s="9" t="str">
        <f>IF(D378=$P$3,1,"")</f>
        <v/>
      </c>
      <c r="Q378" s="9" t="str">
        <f>IF(D378=$Q$3,1,"")</f>
        <v/>
      </c>
      <c r="R378" s="9" t="str">
        <f>IF(D378=$R$3,1,"")</f>
        <v/>
      </c>
      <c r="S378" s="9" t="str">
        <f>IF(D378=$S$3,1,"")</f>
        <v/>
      </c>
      <c r="T378" s="9">
        <f>IF(D378=$T$3,1,"")</f>
        <v>1</v>
      </c>
      <c r="U378" s="9" t="str">
        <f>IF(D378=$U$3,1,"")</f>
        <v/>
      </c>
      <c r="V378" s="9" t="str">
        <f>IF(D378=$V$3,1,"")</f>
        <v/>
      </c>
      <c r="W378" s="9" t="str">
        <f>IF(D378=$W$3,1,"")</f>
        <v/>
      </c>
      <c r="X378" s="9" t="str">
        <f>IF(D378=$X$3,1,"")</f>
        <v/>
      </c>
      <c r="Y378" s="9" t="e">
        <f>IF(#REF!=$X$3,1,"")</f>
        <v>#REF!</v>
      </c>
      <c r="Z378" s="9" t="str">
        <f>IF(F378=$Z$3,1,"")</f>
        <v/>
      </c>
      <c r="AA378" s="9" t="str">
        <f>IF(F378=$AA$3,1,"")</f>
        <v/>
      </c>
      <c r="AB378" s="9" t="str">
        <f>IF(F378=$AB$3,1,"")</f>
        <v/>
      </c>
      <c r="AC378" s="9" t="str">
        <f>IF(F378=$AC$3,1,"")</f>
        <v/>
      </c>
      <c r="AD378" s="9" t="str">
        <f>IF(F378=$AE$3,1,"")</f>
        <v/>
      </c>
    </row>
    <row r="379" spans="1:30" ht="21" customHeight="1" x14ac:dyDescent="0.2">
      <c r="A379" s="252">
        <f>IF(B379="","",A378+1)</f>
        <v>354</v>
      </c>
      <c r="B379" s="253" t="s">
        <v>760</v>
      </c>
      <c r="C379" s="254" t="str">
        <f t="shared" si="56"/>
        <v>vs</v>
      </c>
      <c r="D379" s="255" t="s">
        <v>16</v>
      </c>
      <c r="E379" s="254">
        <v>2026</v>
      </c>
      <c r="F379" s="231" t="s">
        <v>23</v>
      </c>
      <c r="G379" s="9"/>
      <c r="H379" s="19" t="s">
        <v>761</v>
      </c>
      <c r="M379" s="9" t="str">
        <f>IF(D379=$M$3,1,"")</f>
        <v/>
      </c>
      <c r="N379" s="9" t="str">
        <f>IF(D379=$N$3,1,"")</f>
        <v/>
      </c>
      <c r="O379" s="9" t="str">
        <f>IF(D379=$O$3,1,"")</f>
        <v/>
      </c>
      <c r="P379" s="9" t="str">
        <f>IF(D379=$P$3,1,"")</f>
        <v/>
      </c>
      <c r="Q379" s="9" t="str">
        <f>IF(D379=$Q$3,1,"")</f>
        <v/>
      </c>
      <c r="R379" s="9" t="str">
        <f>IF(D379=$R$3,1,"")</f>
        <v/>
      </c>
      <c r="S379" s="9" t="str">
        <f>IF(D379=$S$3,1,"")</f>
        <v/>
      </c>
      <c r="T379" s="9" t="str">
        <f>IF(D379=$T$3,1,"")</f>
        <v/>
      </c>
      <c r="U379" s="9">
        <f>IF(D379=$U$3,1,"")</f>
        <v>1</v>
      </c>
      <c r="V379" s="9" t="str">
        <f>IF(D379=$V$3,1,"")</f>
        <v/>
      </c>
      <c r="W379" s="9" t="str">
        <f>IF(D379=$W$3,1,"")</f>
        <v/>
      </c>
      <c r="X379" s="9" t="str">
        <f>IF(D379=$X$3,1,"")</f>
        <v/>
      </c>
      <c r="Y379" s="9" t="e">
        <f>IF(#REF!=$X$3,1,"")</f>
        <v>#REF!</v>
      </c>
      <c r="Z379" s="9" t="str">
        <f t="shared" si="71"/>
        <v/>
      </c>
      <c r="AA379" s="9" t="str">
        <f t="shared" si="72"/>
        <v/>
      </c>
      <c r="AB379" s="9" t="str">
        <f t="shared" si="73"/>
        <v/>
      </c>
      <c r="AC379" s="9" t="str">
        <f t="shared" si="75"/>
        <v/>
      </c>
      <c r="AD379" s="9" t="str">
        <f t="shared" si="74"/>
        <v/>
      </c>
    </row>
    <row r="380" spans="1:30" ht="21" customHeight="1" x14ac:dyDescent="0.2">
      <c r="A380" s="252">
        <f t="shared" si="70"/>
        <v>355</v>
      </c>
      <c r="B380" s="253" t="s">
        <v>762</v>
      </c>
      <c r="C380" s="254" t="str">
        <f t="shared" si="56"/>
        <v>vs</v>
      </c>
      <c r="D380" s="255" t="s">
        <v>14</v>
      </c>
      <c r="E380" s="254">
        <v>2026</v>
      </c>
      <c r="F380" s="231" t="s">
        <v>23</v>
      </c>
      <c r="G380" s="9"/>
      <c r="H380" s="19" t="s">
        <v>763</v>
      </c>
      <c r="M380" s="9" t="str">
        <f>IF(D380=$M$3,1,"")</f>
        <v/>
      </c>
      <c r="N380" s="9" t="str">
        <f>IF(D380=$N$3,1,"")</f>
        <v/>
      </c>
      <c r="O380" s="9" t="str">
        <f>IF(D380=$O$3,1,"")</f>
        <v/>
      </c>
      <c r="P380" s="9" t="str">
        <f>IF(D380=$P$3,1,"")</f>
        <v/>
      </c>
      <c r="Q380" s="9" t="str">
        <f>IF(D380=$Q$3,1,"")</f>
        <v/>
      </c>
      <c r="R380" s="9" t="str">
        <f>IF(D380=$R$3,1,"")</f>
        <v/>
      </c>
      <c r="S380" s="9">
        <f>IF(D380=$S$3,1,"")</f>
        <v>1</v>
      </c>
      <c r="T380" s="9" t="str">
        <f>IF(D380=$T$3,1,"")</f>
        <v/>
      </c>
      <c r="U380" s="9" t="str">
        <f>IF(D380=$U$3,1,"")</f>
        <v/>
      </c>
      <c r="V380" s="9" t="str">
        <f>IF(D380=$V$3,1,"")</f>
        <v/>
      </c>
      <c r="W380" s="9" t="str">
        <f>IF(D380=$W$3,1,"")</f>
        <v/>
      </c>
      <c r="X380" s="9" t="str">
        <f>IF(D380=$X$3,1,"")</f>
        <v/>
      </c>
      <c r="Y380" s="9" t="e">
        <f>IF(#REF!=$X$3,1,"")</f>
        <v>#REF!</v>
      </c>
      <c r="Z380" s="9" t="str">
        <f t="shared" si="71"/>
        <v/>
      </c>
      <c r="AA380" s="9" t="str">
        <f t="shared" si="72"/>
        <v/>
      </c>
      <c r="AB380" s="9" t="str">
        <f t="shared" si="73"/>
        <v/>
      </c>
      <c r="AC380" s="9" t="str">
        <f t="shared" si="75"/>
        <v/>
      </c>
      <c r="AD380" s="9" t="str">
        <f t="shared" si="74"/>
        <v/>
      </c>
    </row>
    <row r="381" spans="1:30" ht="21" customHeight="1" x14ac:dyDescent="0.2">
      <c r="A381" s="252">
        <f t="shared" si="70"/>
        <v>356</v>
      </c>
      <c r="B381" s="253" t="s">
        <v>764</v>
      </c>
      <c r="C381" s="254" t="str">
        <f t="shared" ref="C381:C447" si="86">IF(B381="","","vs")</f>
        <v>vs</v>
      </c>
      <c r="D381" s="255" t="s">
        <v>11</v>
      </c>
      <c r="E381" s="254">
        <v>2026</v>
      </c>
      <c r="F381" s="231" t="s">
        <v>23</v>
      </c>
      <c r="G381" s="9"/>
      <c r="H381" s="19" t="s">
        <v>765</v>
      </c>
      <c r="M381" s="9" t="str">
        <f>IF(D381=$M$3,1,"")</f>
        <v/>
      </c>
      <c r="N381" s="9" t="str">
        <f>IF(D381=$N$3,1,"")</f>
        <v/>
      </c>
      <c r="O381" s="9" t="str">
        <f>IF(D381=$O$3,1,"")</f>
        <v/>
      </c>
      <c r="P381" s="9">
        <f>IF(D381=$P$3,1,"")</f>
        <v>1</v>
      </c>
      <c r="Q381" s="9" t="str">
        <f>IF(D381=$Q$3,1,"")</f>
        <v/>
      </c>
      <c r="R381" s="9" t="str">
        <f>IF(D381=$R$3,1,"")</f>
        <v/>
      </c>
      <c r="S381" s="9" t="str">
        <f>IF(D381=$S$3,1,"")</f>
        <v/>
      </c>
      <c r="T381" s="9" t="str">
        <f>IF(D381=$T$3,1,"")</f>
        <v/>
      </c>
      <c r="U381" s="9" t="str">
        <f>IF(D381=$U$3,1,"")</f>
        <v/>
      </c>
      <c r="V381" s="9" t="str">
        <f>IF(D381=$V$3,1,"")</f>
        <v/>
      </c>
      <c r="W381" s="9" t="str">
        <f>IF(D381=$W$3,1,"")</f>
        <v/>
      </c>
      <c r="X381" s="9" t="str">
        <f>IF(D381=$X$3,1,"")</f>
        <v/>
      </c>
      <c r="Y381" s="9" t="e">
        <f>IF(#REF!=$X$3,1,"")</f>
        <v>#REF!</v>
      </c>
      <c r="Z381" s="9" t="str">
        <f t="shared" si="71"/>
        <v/>
      </c>
      <c r="AA381" s="9" t="str">
        <f t="shared" si="72"/>
        <v/>
      </c>
      <c r="AB381" s="9" t="str">
        <f t="shared" si="73"/>
        <v/>
      </c>
      <c r="AC381" s="9" t="str">
        <f t="shared" si="75"/>
        <v/>
      </c>
      <c r="AD381" s="9" t="str">
        <f t="shared" si="74"/>
        <v/>
      </c>
    </row>
    <row r="382" spans="1:30" ht="21" customHeight="1" x14ac:dyDescent="0.2">
      <c r="A382" s="364">
        <v>357</v>
      </c>
      <c r="B382" s="365" t="s">
        <v>766</v>
      </c>
      <c r="C382" s="366"/>
      <c r="D382" s="367" t="s">
        <v>17</v>
      </c>
      <c r="E382" s="366">
        <v>2026</v>
      </c>
      <c r="F382" s="18" t="s">
        <v>23</v>
      </c>
      <c r="G382" s="9"/>
      <c r="H382" s="19" t="s">
        <v>767</v>
      </c>
      <c r="M382" s="9" t="str">
        <f>IF(D382=$M$3,1,"")</f>
        <v/>
      </c>
      <c r="N382" s="9" t="str">
        <f>IF(D382=$N$3,1,"")</f>
        <v/>
      </c>
      <c r="O382" s="9" t="str">
        <f>IF(D382=$O$3,1,"")</f>
        <v/>
      </c>
      <c r="P382" s="9" t="str">
        <f>IF(D382=$P$3,1,"")</f>
        <v/>
      </c>
      <c r="Q382" s="9" t="str">
        <f>IF(D382=$Q$3,1,"")</f>
        <v/>
      </c>
      <c r="R382" s="9" t="str">
        <f>IF(D382=$R$3,1,"")</f>
        <v/>
      </c>
      <c r="S382" s="9" t="str">
        <f>IF(D382=$S$3,1,"")</f>
        <v/>
      </c>
      <c r="T382" s="9" t="str">
        <f>IF(D382=$T$3,1,"")</f>
        <v/>
      </c>
      <c r="U382" s="9" t="str">
        <f>IF(D382=$U$3,1,"")</f>
        <v/>
      </c>
      <c r="V382" s="9">
        <f>IF(D382=$V$3,1,"")</f>
        <v>1</v>
      </c>
      <c r="W382" s="9" t="str">
        <f>IF(D382=$W$3,1,"")</f>
        <v/>
      </c>
      <c r="X382" s="9" t="str">
        <f>IF(D382=$X$3,1,"")</f>
        <v/>
      </c>
      <c r="Y382" s="9" t="e">
        <f>IF(#REF!=$X$3,1,"")</f>
        <v>#REF!</v>
      </c>
      <c r="Z382" s="9" t="str">
        <f>IF(F382=$Z$3,1,"")</f>
        <v/>
      </c>
      <c r="AA382" s="9" t="str">
        <f>IF(F382=$AA$3,1,"")</f>
        <v/>
      </c>
      <c r="AB382" s="9" t="str">
        <f>IF(F382=$AB$3,1,"")</f>
        <v/>
      </c>
      <c r="AC382" s="9" t="str">
        <f>IF(F382=$AC$3,1,"")</f>
        <v/>
      </c>
      <c r="AD382" s="9" t="str">
        <f>IF(F382=$AE$3,1,"")</f>
        <v/>
      </c>
    </row>
    <row r="383" spans="1:30" ht="21" customHeight="1" x14ac:dyDescent="0.2">
      <c r="A383" s="364">
        <v>358</v>
      </c>
      <c r="B383" s="365" t="s">
        <v>768</v>
      </c>
      <c r="C383" s="366" t="str">
        <f t="shared" ref="C383" si="87">IF(B383="","","vs")</f>
        <v>vs</v>
      </c>
      <c r="D383" s="367" t="s">
        <v>8</v>
      </c>
      <c r="E383" s="366">
        <v>2026</v>
      </c>
      <c r="F383" s="18" t="s">
        <v>23</v>
      </c>
      <c r="G383" s="9"/>
      <c r="H383" s="19" t="s">
        <v>769</v>
      </c>
      <c r="M383" s="9">
        <f>IF(D383=$M$3,1,"")</f>
        <v>1</v>
      </c>
      <c r="N383" s="9" t="str">
        <f>IF(D383=$N$3,1,"")</f>
        <v/>
      </c>
      <c r="O383" s="9" t="str">
        <f>IF(D383=$O$3,1,"")</f>
        <v/>
      </c>
      <c r="P383" s="9" t="str">
        <f>IF(D383=$P$3,1,"")</f>
        <v/>
      </c>
      <c r="Q383" s="9" t="str">
        <f>IF(D383=$Q$3,1,"")</f>
        <v/>
      </c>
      <c r="R383" s="9" t="str">
        <f>IF(D383=$R$3,1,"")</f>
        <v/>
      </c>
      <c r="S383" s="9" t="str">
        <f>IF(D383=$S$3,1,"")</f>
        <v/>
      </c>
      <c r="T383" s="9" t="str">
        <f>IF(D383=$T$3,1,"")</f>
        <v/>
      </c>
      <c r="U383" s="9" t="str">
        <f>IF(D383=$U$3,1,"")</f>
        <v/>
      </c>
      <c r="V383" s="9" t="str">
        <f>IF(D383=$V$3,1,"")</f>
        <v/>
      </c>
      <c r="W383" s="9" t="str">
        <f>IF(D383=$W$3,1,"")</f>
        <v/>
      </c>
      <c r="X383" s="9" t="str">
        <f>IF(D383=$X$3,1,"")</f>
        <v/>
      </c>
      <c r="Y383" s="9" t="e">
        <f>IF(#REF!=$X$3,1,"")</f>
        <v>#REF!</v>
      </c>
      <c r="Z383" s="9" t="str">
        <f>IF(F383=$Z$3,1,"")</f>
        <v/>
      </c>
      <c r="AA383" s="9" t="str">
        <f>IF(F383=$AA$3,1,"")</f>
        <v/>
      </c>
      <c r="AB383" s="9" t="str">
        <f>IF(F383=$AB$3,1,"")</f>
        <v/>
      </c>
      <c r="AC383" s="9" t="str">
        <f>IF(F383=$AC$3,1,"")</f>
        <v/>
      </c>
      <c r="AD383" s="9" t="str">
        <f>IF(F383=$AE$3,1,"")</f>
        <v/>
      </c>
    </row>
    <row r="384" spans="1:30" ht="21" customHeight="1" x14ac:dyDescent="0.2">
      <c r="A384" s="364">
        <v>359</v>
      </c>
      <c r="B384" s="365" t="s">
        <v>770</v>
      </c>
      <c r="C384" s="366"/>
      <c r="D384" s="367" t="s">
        <v>15</v>
      </c>
      <c r="E384" s="366">
        <v>2026</v>
      </c>
      <c r="F384" s="18" t="s">
        <v>23</v>
      </c>
      <c r="G384" s="9"/>
      <c r="H384" s="19" t="s">
        <v>771</v>
      </c>
      <c r="Z384" s="9"/>
      <c r="AA384" s="9"/>
      <c r="AB384" s="9"/>
      <c r="AC384" s="9"/>
      <c r="AD384" s="9"/>
    </row>
    <row r="385" spans="1:30" ht="21" customHeight="1" x14ac:dyDescent="0.2">
      <c r="A385" s="364">
        <v>360</v>
      </c>
      <c r="B385" s="365" t="s">
        <v>733</v>
      </c>
      <c r="C385" s="366" t="str">
        <f>IF(B385="","","vs")</f>
        <v>vs</v>
      </c>
      <c r="D385" s="367" t="s">
        <v>12</v>
      </c>
      <c r="E385" s="366">
        <v>2026</v>
      </c>
      <c r="F385" s="18" t="s">
        <v>23</v>
      </c>
      <c r="G385" s="9"/>
      <c r="H385" s="19" t="s">
        <v>772</v>
      </c>
      <c r="M385" s="9" t="str">
        <f>IF(D385=$M$3,1,"")</f>
        <v/>
      </c>
      <c r="N385" s="9" t="str">
        <f>IF(D385=$N$3,1,"")</f>
        <v/>
      </c>
      <c r="O385" s="9" t="str">
        <f>IF(D385=$O$3,1,"")</f>
        <v/>
      </c>
      <c r="P385" s="9" t="str">
        <f>IF(D385=$P$3,1,"")</f>
        <v/>
      </c>
      <c r="Q385" s="9">
        <f>IF(D385=$Q$3,1,"")</f>
        <v>1</v>
      </c>
      <c r="R385" s="9" t="str">
        <f>IF(D385=$R$3,1,"")</f>
        <v/>
      </c>
      <c r="S385" s="9" t="str">
        <f>IF(D385=$S$3,1,"")</f>
        <v/>
      </c>
      <c r="T385" s="9" t="str">
        <f>IF(D385=$T$3,1,"")</f>
        <v/>
      </c>
      <c r="U385" s="9" t="str">
        <f>IF(D385=$U$3,1,"")</f>
        <v/>
      </c>
      <c r="V385" s="9" t="str">
        <f>IF(D385=$V$3,1,"")</f>
        <v/>
      </c>
      <c r="W385" s="9" t="str">
        <f>IF(D385=$W$3,1,"")</f>
        <v/>
      </c>
      <c r="X385" s="9" t="str">
        <f>IF(D385=$X$3,1,"")</f>
        <v/>
      </c>
      <c r="Y385" s="9" t="e">
        <f>IF(#REF!=$X$3,1,"")</f>
        <v>#REF!</v>
      </c>
      <c r="Z385" s="9" t="str">
        <f>IF(F385=$Z$3,1,"")</f>
        <v/>
      </c>
      <c r="AA385" s="9" t="str">
        <f>IF(F385=$AA$3,1,"")</f>
        <v/>
      </c>
      <c r="AB385" s="9" t="str">
        <f>IF(F385=$AB$3,1,"")</f>
        <v/>
      </c>
      <c r="AC385" s="9" t="str">
        <f>IF(F385=$AC$3,1,"")</f>
        <v/>
      </c>
      <c r="AD385" s="9" t="str">
        <f>IF(F385=$AE$3,1,"")</f>
        <v/>
      </c>
    </row>
    <row r="386" spans="1:30" ht="21" customHeight="1" x14ac:dyDescent="0.2">
      <c r="A386" s="364">
        <v>361</v>
      </c>
      <c r="B386" s="365" t="s">
        <v>773</v>
      </c>
      <c r="C386" s="366" t="str">
        <f>IF(B386="","","vs")</f>
        <v>vs</v>
      </c>
      <c r="D386" s="367" t="s">
        <v>8</v>
      </c>
      <c r="E386" s="366">
        <v>2026</v>
      </c>
      <c r="F386" s="18" t="s">
        <v>23</v>
      </c>
      <c r="G386" s="9"/>
      <c r="H386" s="19" t="s">
        <v>774</v>
      </c>
      <c r="M386" s="9">
        <f>IF(D386=$M$3,1,"")</f>
        <v>1</v>
      </c>
      <c r="N386" s="9" t="str">
        <f>IF(D386=$N$3,1,"")</f>
        <v/>
      </c>
      <c r="O386" s="9" t="str">
        <f>IF(D386=$O$3,1,"")</f>
        <v/>
      </c>
      <c r="P386" s="9" t="str">
        <f>IF(D386=$P$3,1,"")</f>
        <v/>
      </c>
      <c r="Q386" s="9" t="str">
        <f>IF(D386=$Q$3,1,"")</f>
        <v/>
      </c>
      <c r="R386" s="9" t="str">
        <f>IF(D386=$R$3,1,"")</f>
        <v/>
      </c>
      <c r="S386" s="9" t="str">
        <f>IF(D386=$S$3,1,"")</f>
        <v/>
      </c>
      <c r="T386" s="9" t="str">
        <f>IF(D386=$T$3,1,"")</f>
        <v/>
      </c>
      <c r="U386" s="9" t="str">
        <f>IF(D386=$U$3,1,"")</f>
        <v/>
      </c>
      <c r="V386" s="9" t="str">
        <f>IF(D386=$V$3,1,"")</f>
        <v/>
      </c>
      <c r="W386" s="9" t="str">
        <f>IF(D386=$W$3,1,"")</f>
        <v/>
      </c>
      <c r="X386" s="9" t="str">
        <f>IF(D386=$X$3,1,"")</f>
        <v/>
      </c>
      <c r="Y386" s="9" t="e">
        <f>IF(#REF!=$X$3,1,"")</f>
        <v>#REF!</v>
      </c>
      <c r="Z386" s="9" t="str">
        <f>IF(F386=$Z$3,1,"")</f>
        <v/>
      </c>
      <c r="AA386" s="9" t="str">
        <f>IF(F386=$AA$3,1,"")</f>
        <v/>
      </c>
      <c r="AB386" s="9" t="str">
        <f>IF(F386=$AB$3,1,"")</f>
        <v/>
      </c>
      <c r="AC386" s="9" t="str">
        <f>IF(F386=$AC$3,1,"")</f>
        <v/>
      </c>
      <c r="AD386" s="9" t="str">
        <f>IF(F386=$AE$3,1,"")</f>
        <v/>
      </c>
    </row>
    <row r="387" spans="1:30" ht="21" customHeight="1" x14ac:dyDescent="0.2">
      <c r="A387" s="368">
        <v>362</v>
      </c>
      <c r="B387" s="369" t="s">
        <v>775</v>
      </c>
      <c r="C387" s="370" t="str">
        <f t="shared" ref="C387" si="88">IF(B387="","","vs")</f>
        <v>vs</v>
      </c>
      <c r="D387" s="371" t="s">
        <v>11</v>
      </c>
      <c r="E387" s="370">
        <v>2026</v>
      </c>
      <c r="F387" s="136"/>
      <c r="G387" s="9"/>
      <c r="H387" s="19" t="s">
        <v>776</v>
      </c>
      <c r="Z387" s="9"/>
      <c r="AA387" s="9"/>
      <c r="AB387" s="9"/>
      <c r="AC387" s="9"/>
      <c r="AD387" s="9"/>
    </row>
    <row r="388" spans="1:30" ht="21" customHeight="1" x14ac:dyDescent="0.2">
      <c r="A388" s="368">
        <v>363</v>
      </c>
      <c r="B388" s="369" t="s">
        <v>777</v>
      </c>
      <c r="C388" s="370" t="str">
        <f t="shared" ref="C388" si="89">IF(B388="","","vs")</f>
        <v>vs</v>
      </c>
      <c r="D388" s="371" t="s">
        <v>16</v>
      </c>
      <c r="E388" s="370">
        <v>2026</v>
      </c>
      <c r="F388" s="136"/>
      <c r="G388" s="9"/>
      <c r="H388" s="19" t="s">
        <v>778</v>
      </c>
      <c r="Z388" s="9"/>
      <c r="AA388" s="9"/>
      <c r="AB388" s="9"/>
      <c r="AC388" s="9"/>
      <c r="AD388" s="9"/>
    </row>
    <row r="389" spans="1:30" ht="21" customHeight="1" x14ac:dyDescent="0.2">
      <c r="A389" s="368"/>
      <c r="B389" s="369" t="s">
        <v>779</v>
      </c>
      <c r="C389" s="370" t="str">
        <f t="shared" ref="C389:C391" si="90">IF(B389="","","vs")</f>
        <v>vs</v>
      </c>
      <c r="D389" s="371" t="s">
        <v>12</v>
      </c>
      <c r="E389" s="370">
        <v>2026</v>
      </c>
      <c r="F389" s="136"/>
      <c r="G389" s="9"/>
      <c r="H389" s="19" t="s">
        <v>780</v>
      </c>
      <c r="Z389" s="9"/>
      <c r="AA389" s="9"/>
      <c r="AB389" s="9"/>
      <c r="AC389" s="9"/>
      <c r="AD389" s="9"/>
    </row>
    <row r="390" spans="1:30" ht="21" customHeight="1" x14ac:dyDescent="0.2">
      <c r="A390" s="368">
        <v>364</v>
      </c>
      <c r="B390" s="369" t="s">
        <v>781</v>
      </c>
      <c r="C390" s="370"/>
      <c r="D390" s="371" t="s">
        <v>16</v>
      </c>
      <c r="E390" s="370">
        <v>2026</v>
      </c>
      <c r="F390" s="136"/>
      <c r="G390" s="9"/>
      <c r="H390" s="19" t="s">
        <v>782</v>
      </c>
      <c r="Z390" s="9"/>
      <c r="AA390" s="9"/>
      <c r="AB390" s="9"/>
      <c r="AC390" s="9"/>
      <c r="AD390" s="9"/>
    </row>
    <row r="391" spans="1:30" ht="21" customHeight="1" x14ac:dyDescent="0.2">
      <c r="A391" s="368">
        <v>365</v>
      </c>
      <c r="B391" s="369" t="s">
        <v>783</v>
      </c>
      <c r="C391" s="370" t="str">
        <f t="shared" si="90"/>
        <v>vs</v>
      </c>
      <c r="D391" s="371" t="s">
        <v>14</v>
      </c>
      <c r="E391" s="370">
        <v>2026</v>
      </c>
      <c r="F391" s="136"/>
      <c r="G391" s="9"/>
      <c r="H391" s="19" t="s">
        <v>784</v>
      </c>
      <c r="Z391" s="9"/>
      <c r="AA391" s="9"/>
      <c r="AB391" s="9"/>
      <c r="AC391" s="9"/>
      <c r="AD391" s="9"/>
    </row>
    <row r="392" spans="1:30" ht="21" customHeight="1" x14ac:dyDescent="0.2">
      <c r="A392" s="372">
        <v>366</v>
      </c>
      <c r="B392" s="369" t="s">
        <v>785</v>
      </c>
      <c r="C392" s="370"/>
      <c r="D392" s="371" t="s">
        <v>11</v>
      </c>
      <c r="E392" s="370">
        <v>2026</v>
      </c>
      <c r="F392" s="136"/>
      <c r="G392" s="9"/>
      <c r="H392" s="19" t="s">
        <v>786</v>
      </c>
      <c r="Z392" s="9"/>
      <c r="AA392" s="9"/>
      <c r="AB392" s="9"/>
      <c r="AC392" s="9"/>
      <c r="AD392" s="9"/>
    </row>
    <row r="393" spans="1:30" ht="21" customHeight="1" x14ac:dyDescent="0.2">
      <c r="A393" s="289"/>
      <c r="B393" s="290"/>
      <c r="C393" s="291"/>
      <c r="D393" s="292"/>
      <c r="E393" s="291"/>
      <c r="F393" s="18"/>
      <c r="G393" s="9"/>
      <c r="H393" s="19"/>
      <c r="M393" s="9" t="str">
        <f>IF(D393=$M$3,1,"")</f>
        <v/>
      </c>
      <c r="N393" s="9" t="str">
        <f>IF(D393=$N$3,1,"")</f>
        <v/>
      </c>
      <c r="O393" s="9" t="str">
        <f>IF(D393=$O$3,1,"")</f>
        <v/>
      </c>
      <c r="P393" s="9" t="str">
        <f>IF(D393=$P$3,1,"")</f>
        <v/>
      </c>
      <c r="Q393" s="9" t="str">
        <f>IF(D393=$Q$3,1,"")</f>
        <v/>
      </c>
      <c r="R393" s="9" t="str">
        <f>IF(D393=$R$3,1,"")</f>
        <v/>
      </c>
      <c r="S393" s="9" t="str">
        <f>IF(D393=$S$3,1,"")</f>
        <v/>
      </c>
      <c r="T393" s="9" t="str">
        <f>IF(D393=$T$3,1,"")</f>
        <v/>
      </c>
      <c r="U393" s="9" t="str">
        <f>IF(D393=$U$3,1,"")</f>
        <v/>
      </c>
      <c r="V393" s="9" t="str">
        <f>IF(D393=$V$3,1,"")</f>
        <v/>
      </c>
      <c r="W393" s="9" t="str">
        <f>IF(D393=$W$3,1,"")</f>
        <v/>
      </c>
      <c r="X393" s="9" t="str">
        <f>IF(D393=$X$3,1,"")</f>
        <v/>
      </c>
      <c r="Y393" s="9" t="e">
        <f>IF(#REF!=$X$3,1,"")</f>
        <v>#REF!</v>
      </c>
      <c r="Z393" s="9">
        <f t="shared" ref="Z393" si="91">IF(F393=$Z$3,1,"")</f>
        <v>1</v>
      </c>
      <c r="AA393" s="9">
        <f t="shared" ref="AA393" si="92">IF(F393=$AA$3,1,"")</f>
        <v>1</v>
      </c>
      <c r="AB393" s="9">
        <f t="shared" ref="AB393" si="93">IF(F393=$AB$3,1,"")</f>
        <v>1</v>
      </c>
      <c r="AC393" s="9">
        <f t="shared" ref="AC393" si="94">IF(F393=$AC$3,1,"")</f>
        <v>1</v>
      </c>
      <c r="AD393" s="9">
        <f t="shared" ref="AD393" si="95">IF(F393=$AE$3,1,"")</f>
        <v>1</v>
      </c>
    </row>
    <row r="394" spans="1:30" ht="21" customHeight="1" x14ac:dyDescent="0.2">
      <c r="A394" s="15"/>
      <c r="B394" s="34" t="s">
        <v>787</v>
      </c>
      <c r="C394" s="20"/>
      <c r="D394" s="21" t="s">
        <v>16</v>
      </c>
      <c r="E394" s="20"/>
      <c r="F394" s="18"/>
      <c r="G394" s="9"/>
      <c r="H394" s="19" t="s">
        <v>788</v>
      </c>
      <c r="M394" s="9" t="str">
        <f>IF(D394=$M$3,1,"")</f>
        <v/>
      </c>
      <c r="N394" s="9" t="str">
        <f>IF(D394=$N$3,1,"")</f>
        <v/>
      </c>
      <c r="O394" s="9" t="str">
        <f>IF(D394=$O$3,1,"")</f>
        <v/>
      </c>
      <c r="P394" s="9" t="str">
        <f>IF(D394=$P$3,1,"")</f>
        <v/>
      </c>
      <c r="Q394" s="9" t="str">
        <f>IF(D394=$Q$3,1,"")</f>
        <v/>
      </c>
      <c r="R394" s="9" t="str">
        <f>IF(D394=$R$3,1,"")</f>
        <v/>
      </c>
      <c r="S394" s="9" t="str">
        <f>IF(D394=$S$3,1,"")</f>
        <v/>
      </c>
      <c r="T394" s="9" t="str">
        <f>IF(D394=$T$3,1,"")</f>
        <v/>
      </c>
      <c r="U394" s="9">
        <f>IF(D394=$U$3,1,"")</f>
        <v>1</v>
      </c>
      <c r="V394" s="9" t="str">
        <f>IF(D394=$V$3,1,"")</f>
        <v/>
      </c>
      <c r="W394" s="9" t="str">
        <f>IF(D394=$W$3,1,"")</f>
        <v/>
      </c>
      <c r="X394" s="9" t="str">
        <f>IF(D394=$X$3,1,"")</f>
        <v/>
      </c>
      <c r="Y394" s="9" t="e">
        <f>IF(#REF!=$X$3,1,"")</f>
        <v>#REF!</v>
      </c>
      <c r="Z394" s="9">
        <f t="shared" ref="Z394" si="96">IF(F394=$Z$3,1,"")</f>
        <v>1</v>
      </c>
      <c r="AA394" s="9">
        <f t="shared" ref="AA394" si="97">IF(F394=$AA$3,1,"")</f>
        <v>1</v>
      </c>
      <c r="AB394" s="9">
        <f t="shared" ref="AB394" si="98">IF(F394=$AB$3,1,"")</f>
        <v>1</v>
      </c>
      <c r="AC394" s="9">
        <f t="shared" ref="AC394" si="99">IF(F394=$AC$3,1,"")</f>
        <v>1</v>
      </c>
      <c r="AD394" s="9">
        <f t="shared" ref="AD394" si="100">IF(F394=$AE$3,1,"")</f>
        <v>1</v>
      </c>
    </row>
    <row r="395" spans="1:30" ht="21" customHeight="1" x14ac:dyDescent="0.2">
      <c r="A395" s="15"/>
      <c r="B395" s="34" t="s">
        <v>789</v>
      </c>
      <c r="C395" s="20" t="str">
        <f>IF(B395="","","vs")</f>
        <v>vs</v>
      </c>
      <c r="D395" s="21" t="s">
        <v>12</v>
      </c>
      <c r="E395" s="20"/>
      <c r="F395" s="18"/>
      <c r="G395" s="9"/>
      <c r="H395" s="19" t="s">
        <v>790</v>
      </c>
      <c r="M395" s="9" t="str">
        <f>IF(D395=$M$3,1,"")</f>
        <v/>
      </c>
      <c r="N395" s="9" t="str">
        <f>IF(D395=$N$3,1,"")</f>
        <v/>
      </c>
      <c r="O395" s="9" t="str">
        <f>IF(D395=$O$3,1,"")</f>
        <v/>
      </c>
      <c r="P395" s="9" t="str">
        <f>IF(D395=$P$3,1,"")</f>
        <v/>
      </c>
      <c r="Q395" s="9">
        <f>IF(D395=$Q$3,1,"")</f>
        <v>1</v>
      </c>
      <c r="R395" s="9" t="str">
        <f>IF(D395=$R$3,1,"")</f>
        <v/>
      </c>
      <c r="S395" s="9" t="str">
        <f>IF(D395=$S$3,1,"")</f>
        <v/>
      </c>
      <c r="T395" s="9" t="str">
        <f>IF(D395=$T$3,1,"")</f>
        <v/>
      </c>
      <c r="U395" s="9" t="str">
        <f>IF(D395=$U$3,1,"")</f>
        <v/>
      </c>
      <c r="V395" s="9" t="str">
        <f>IF(D395=$V$3,1,"")</f>
        <v/>
      </c>
      <c r="W395" s="9" t="str">
        <f>IF(D395=$W$3,1,"")</f>
        <v/>
      </c>
      <c r="X395" s="9" t="str">
        <f>IF(D395=$X$3,1,"")</f>
        <v/>
      </c>
      <c r="Y395" s="9" t="e">
        <f>IF(#REF!=$X$3,1,"")</f>
        <v>#REF!</v>
      </c>
      <c r="Z395" s="9">
        <f>IF(F395=$Z$3,1,"")</f>
        <v>1</v>
      </c>
      <c r="AA395" s="9">
        <f>IF(F395=$AA$3,1,"")</f>
        <v>1</v>
      </c>
      <c r="AB395" s="9">
        <f>IF(F395=$AB$3,1,"")</f>
        <v>1</v>
      </c>
      <c r="AC395" s="9">
        <f>IF(F395=$AC$3,1,"")</f>
        <v>1</v>
      </c>
      <c r="AD395" s="9">
        <f>IF(F395=$AE$3,1,"")</f>
        <v>1</v>
      </c>
    </row>
    <row r="396" spans="1:30" ht="21" customHeight="1" x14ac:dyDescent="0.2">
      <c r="A396" s="15"/>
      <c r="B396" s="34" t="s">
        <v>791</v>
      </c>
      <c r="C396" s="20"/>
      <c r="D396" s="21" t="s">
        <v>12</v>
      </c>
      <c r="E396" s="20"/>
      <c r="F396" s="18"/>
      <c r="G396" s="9"/>
      <c r="H396" s="19" t="s">
        <v>792</v>
      </c>
      <c r="M396" s="9" t="str">
        <f>IF(D396=$M$3,1,"")</f>
        <v/>
      </c>
      <c r="N396" s="9" t="str">
        <f>IF(D396=$N$3,1,"")</f>
        <v/>
      </c>
      <c r="O396" s="9" t="str">
        <f>IF(D396=$O$3,1,"")</f>
        <v/>
      </c>
      <c r="P396" s="9" t="str">
        <f>IF(D396=$P$3,1,"")</f>
        <v/>
      </c>
      <c r="Q396" s="9">
        <f>IF(D396=$Q$3,1,"")</f>
        <v>1</v>
      </c>
      <c r="R396" s="9" t="str">
        <f>IF(D396=$R$3,1,"")</f>
        <v/>
      </c>
      <c r="S396" s="9" t="str">
        <f>IF(D396=$S$3,1,"")</f>
        <v/>
      </c>
      <c r="T396" s="9" t="str">
        <f>IF(D396=$T$3,1,"")</f>
        <v/>
      </c>
      <c r="U396" s="9" t="str">
        <f>IF(D396=$U$3,1,"")</f>
        <v/>
      </c>
      <c r="V396" s="9" t="str">
        <f>IF(D396=$V$3,1,"")</f>
        <v/>
      </c>
      <c r="W396" s="9" t="str">
        <f>IF(D396=$W$3,1,"")</f>
        <v/>
      </c>
      <c r="X396" s="9" t="str">
        <f>IF(D396=$X$3,1,"")</f>
        <v/>
      </c>
      <c r="Y396" s="9" t="e">
        <f>IF(#REF!=$X$3,1,"")</f>
        <v>#REF!</v>
      </c>
      <c r="Z396" s="9">
        <f t="shared" si="71"/>
        <v>1</v>
      </c>
      <c r="AA396" s="9">
        <f t="shared" si="72"/>
        <v>1</v>
      </c>
      <c r="AB396" s="9">
        <f t="shared" si="73"/>
        <v>1</v>
      </c>
      <c r="AC396" s="9">
        <f t="shared" si="75"/>
        <v>1</v>
      </c>
      <c r="AD396" s="9">
        <f t="shared" si="74"/>
        <v>1</v>
      </c>
    </row>
    <row r="397" spans="1:30" ht="21" customHeight="1" x14ac:dyDescent="0.2">
      <c r="A397" s="15"/>
      <c r="B397" s="34" t="s">
        <v>793</v>
      </c>
      <c r="C397" s="20"/>
      <c r="D397" s="21" t="s">
        <v>15</v>
      </c>
      <c r="E397" s="20"/>
      <c r="F397" s="18"/>
      <c r="G397" s="9"/>
      <c r="H397" s="19" t="s">
        <v>794</v>
      </c>
      <c r="M397" s="9" t="str">
        <f>IF(D397=$M$3,1,"")</f>
        <v/>
      </c>
      <c r="N397" s="9" t="str">
        <f>IF(D397=$N$3,1,"")</f>
        <v/>
      </c>
      <c r="O397" s="9" t="str">
        <f>IF(D397=$O$3,1,"")</f>
        <v/>
      </c>
      <c r="P397" s="9" t="str">
        <f>IF(D397=$P$3,1,"")</f>
        <v/>
      </c>
      <c r="Q397" s="9" t="str">
        <f>IF(D397=$Q$3,1,"")</f>
        <v/>
      </c>
      <c r="R397" s="9" t="str">
        <f>IF(D397=$R$3,1,"")</f>
        <v/>
      </c>
      <c r="S397" s="9" t="str">
        <f>IF(D397=$S$3,1,"")</f>
        <v/>
      </c>
      <c r="T397" s="9">
        <f>IF(D397=$T$3,1,"")</f>
        <v>1</v>
      </c>
      <c r="U397" s="9" t="str">
        <f>IF(D397=$U$3,1,"")</f>
        <v/>
      </c>
      <c r="V397" s="9" t="str">
        <f>IF(D397=$V$3,1,"")</f>
        <v/>
      </c>
      <c r="W397" s="9" t="str">
        <f>IF(D397=$W$3,1,"")</f>
        <v/>
      </c>
      <c r="X397" s="9" t="str">
        <f>IF(D397=$X$3,1,"")</f>
        <v/>
      </c>
      <c r="Y397" s="9" t="e">
        <f>IF(#REF!=$X$3,1,"")</f>
        <v>#REF!</v>
      </c>
      <c r="Z397" s="9">
        <f t="shared" si="71"/>
        <v>1</v>
      </c>
      <c r="AA397" s="9">
        <f t="shared" si="72"/>
        <v>1</v>
      </c>
      <c r="AB397" s="9">
        <f t="shared" si="73"/>
        <v>1</v>
      </c>
      <c r="AC397" s="9">
        <f t="shared" si="75"/>
        <v>1</v>
      </c>
      <c r="AD397" s="9">
        <f t="shared" si="74"/>
        <v>1</v>
      </c>
    </row>
    <row r="398" spans="1:30" ht="21" customHeight="1" x14ac:dyDescent="0.2">
      <c r="A398" s="15"/>
      <c r="B398" s="290" t="s">
        <v>795</v>
      </c>
      <c r="C398" s="20"/>
      <c r="D398" s="21" t="s">
        <v>11</v>
      </c>
      <c r="E398" s="20"/>
      <c r="F398" s="18"/>
      <c r="G398" s="9"/>
      <c r="H398" s="19" t="s">
        <v>796</v>
      </c>
      <c r="M398" s="9" t="str">
        <f>IF(D398=$M$3,1,"")</f>
        <v/>
      </c>
      <c r="N398" s="9" t="str">
        <f>IF(D398=$N$3,1,"")</f>
        <v/>
      </c>
      <c r="O398" s="9" t="str">
        <f>IF(D398=$O$3,1,"")</f>
        <v/>
      </c>
      <c r="P398" s="9">
        <f>IF(D398=$P$3,1,"")</f>
        <v>1</v>
      </c>
      <c r="Q398" s="9" t="str">
        <f>IF(D398=$Q$3,1,"")</f>
        <v/>
      </c>
      <c r="R398" s="9" t="str">
        <f>IF(D398=$R$3,1,"")</f>
        <v/>
      </c>
      <c r="S398" s="9" t="str">
        <f>IF(D398=$S$3,1,"")</f>
        <v/>
      </c>
      <c r="T398" s="9" t="str">
        <f>IF(D398=$T$3,1,"")</f>
        <v/>
      </c>
      <c r="U398" s="9" t="str">
        <f>IF(D398=$U$3,1,"")</f>
        <v/>
      </c>
      <c r="V398" s="9" t="str">
        <f>IF(D398=$V$3,1,"")</f>
        <v/>
      </c>
      <c r="W398" s="9" t="str">
        <f>IF(D398=$W$3,1,"")</f>
        <v/>
      </c>
      <c r="X398" s="9" t="str">
        <f>IF(D398=$X$3,1,"")</f>
        <v/>
      </c>
      <c r="Y398" s="9" t="e">
        <f>IF(#REF!=$X$3,1,"")</f>
        <v>#REF!</v>
      </c>
      <c r="Z398" s="9">
        <f t="shared" si="71"/>
        <v>1</v>
      </c>
      <c r="AA398" s="9">
        <f t="shared" si="72"/>
        <v>1</v>
      </c>
      <c r="AB398" s="9">
        <f t="shared" si="73"/>
        <v>1</v>
      </c>
      <c r="AC398" s="9">
        <f t="shared" si="75"/>
        <v>1</v>
      </c>
      <c r="AD398" s="9">
        <f t="shared" si="74"/>
        <v>1</v>
      </c>
    </row>
    <row r="399" spans="1:30" ht="21" customHeight="1" x14ac:dyDescent="0.2">
      <c r="A399" s="15"/>
      <c r="B399" s="373" t="s">
        <v>598</v>
      </c>
      <c r="C399" s="192" t="str">
        <f t="shared" ref="C399" si="101">IF(B399="","","vs")</f>
        <v>vs</v>
      </c>
      <c r="D399" s="374" t="s">
        <v>12</v>
      </c>
      <c r="E399" s="20">
        <v>2026</v>
      </c>
      <c r="F399" s="18"/>
      <c r="G399" s="9"/>
      <c r="H399" s="19" t="s">
        <v>797</v>
      </c>
      <c r="M399" s="9" t="str">
        <f>IF(D399=$M$3,1,"")</f>
        <v/>
      </c>
      <c r="N399" s="9" t="str">
        <f>IF(D399=$N$3,1,"")</f>
        <v/>
      </c>
      <c r="O399" s="9" t="str">
        <f>IF(D399=$O$3,1,"")</f>
        <v/>
      </c>
      <c r="P399" s="9" t="str">
        <f>IF(D399=$P$3,1,"")</f>
        <v/>
      </c>
      <c r="Q399" s="9">
        <f>IF(D399=$Q$3,1,"")</f>
        <v>1</v>
      </c>
      <c r="R399" s="9" t="str">
        <f>IF(D399=$R$3,1,"")</f>
        <v/>
      </c>
      <c r="S399" s="9" t="str">
        <f>IF(D399=$S$3,1,"")</f>
        <v/>
      </c>
      <c r="T399" s="9" t="str">
        <f>IF(D399=$T$3,1,"")</f>
        <v/>
      </c>
      <c r="U399" s="9" t="str">
        <f>IF(D399=$U$3,1,"")</f>
        <v/>
      </c>
      <c r="V399" s="9" t="str">
        <f>IF(D399=$V$3,1,"")</f>
        <v/>
      </c>
      <c r="W399" s="9" t="str">
        <f>IF(D399=$W$3,1,"")</f>
        <v/>
      </c>
      <c r="X399" s="9" t="str">
        <f>IF(D399=$X$3,1,"")</f>
        <v/>
      </c>
      <c r="Y399" s="9" t="e">
        <f>IF(#REF!=$X$3,1,"")</f>
        <v>#REF!</v>
      </c>
      <c r="Z399" s="9">
        <f t="shared" si="71"/>
        <v>1</v>
      </c>
      <c r="AA399" s="9">
        <f t="shared" si="72"/>
        <v>1</v>
      </c>
      <c r="AB399" s="9">
        <f t="shared" si="73"/>
        <v>1</v>
      </c>
      <c r="AC399" s="9">
        <f t="shared" si="75"/>
        <v>1</v>
      </c>
      <c r="AD399" s="9">
        <f t="shared" si="74"/>
        <v>1</v>
      </c>
    </row>
    <row r="400" spans="1:30" ht="21" customHeight="1" x14ac:dyDescent="0.2">
      <c r="A400" s="15"/>
      <c r="B400" s="375" t="s">
        <v>798</v>
      </c>
      <c r="C400" s="20"/>
      <c r="D400" s="21" t="s">
        <v>16</v>
      </c>
      <c r="E400" s="20"/>
      <c r="F400" s="18"/>
      <c r="G400" s="9"/>
      <c r="H400" s="19" t="s">
        <v>799</v>
      </c>
      <c r="M400" s="9" t="str">
        <f>IF(D400=$M$3,1,"")</f>
        <v/>
      </c>
      <c r="N400" s="9" t="str">
        <f>IF(D400=$N$3,1,"")</f>
        <v/>
      </c>
      <c r="O400" s="9" t="str">
        <f>IF(D400=$O$3,1,"")</f>
        <v/>
      </c>
      <c r="P400" s="9" t="str">
        <f>IF(D400=$P$3,1,"")</f>
        <v/>
      </c>
      <c r="Q400" s="9" t="str">
        <f>IF(D400=$Q$3,1,"")</f>
        <v/>
      </c>
      <c r="R400" s="9" t="str">
        <f>IF(D400=$R$3,1,"")</f>
        <v/>
      </c>
      <c r="S400" s="9" t="str">
        <f>IF(D400=$S$3,1,"")</f>
        <v/>
      </c>
      <c r="T400" s="9" t="str">
        <f>IF(D400=$T$3,1,"")</f>
        <v/>
      </c>
      <c r="U400" s="9">
        <f>IF(D400=$U$3,1,"")</f>
        <v>1</v>
      </c>
      <c r="V400" s="9" t="str">
        <f>IF(D400=$V$3,1,"")</f>
        <v/>
      </c>
      <c r="W400" s="9" t="str">
        <f>IF(D400=$W$3,1,"")</f>
        <v/>
      </c>
      <c r="X400" s="9" t="str">
        <f>IF(D400=$X$3,1,"")</f>
        <v/>
      </c>
      <c r="Y400" s="9" t="e">
        <f>IF(#REF!=$X$3,1,"")</f>
        <v>#REF!</v>
      </c>
      <c r="Z400" s="9">
        <f t="shared" si="71"/>
        <v>1</v>
      </c>
      <c r="AA400" s="9">
        <f t="shared" si="72"/>
        <v>1</v>
      </c>
      <c r="AB400" s="9">
        <f t="shared" si="73"/>
        <v>1</v>
      </c>
      <c r="AC400" s="9">
        <f t="shared" si="75"/>
        <v>1</v>
      </c>
      <c r="AD400" s="9">
        <f t="shared" si="74"/>
        <v>1</v>
      </c>
    </row>
    <row r="401" spans="1:30" ht="21" customHeight="1" x14ac:dyDescent="0.2">
      <c r="A401" s="15"/>
      <c r="B401" s="375" t="s">
        <v>800</v>
      </c>
      <c r="C401" s="20"/>
      <c r="D401" s="21" t="s">
        <v>8</v>
      </c>
      <c r="E401" s="20"/>
      <c r="F401" s="18"/>
      <c r="G401" s="9"/>
      <c r="H401" s="19" t="s">
        <v>801</v>
      </c>
      <c r="M401" s="9">
        <f>IF(D401=$M$3,1,"")</f>
        <v>1</v>
      </c>
      <c r="N401" s="9" t="str">
        <f>IF(D401=$N$3,1,"")</f>
        <v/>
      </c>
      <c r="O401" s="9" t="str">
        <f>IF(D401=$O$3,1,"")</f>
        <v/>
      </c>
      <c r="P401" s="9" t="str">
        <f>IF(D401=$P$3,1,"")</f>
        <v/>
      </c>
      <c r="Q401" s="9" t="str">
        <f>IF(D401=$Q$3,1,"")</f>
        <v/>
      </c>
      <c r="R401" s="9" t="str">
        <f>IF(D401=$R$3,1,"")</f>
        <v/>
      </c>
      <c r="S401" s="9" t="str">
        <f>IF(D401=$S$3,1,"")</f>
        <v/>
      </c>
      <c r="T401" s="9" t="str">
        <f>IF(D401=$T$3,1,"")</f>
        <v/>
      </c>
      <c r="U401" s="9" t="str">
        <f>IF(D401=$U$3,1,"")</f>
        <v/>
      </c>
      <c r="V401" s="9" t="str">
        <f>IF(D401=$V$3,1,"")</f>
        <v/>
      </c>
      <c r="W401" s="9" t="str">
        <f>IF(D401=$W$3,1,"")</f>
        <v/>
      </c>
      <c r="X401" s="9" t="str">
        <f>IF(D401=$X$3,1,"")</f>
        <v/>
      </c>
      <c r="Y401" s="9" t="e">
        <f>IF(#REF!=$X$3,1,"")</f>
        <v>#REF!</v>
      </c>
      <c r="Z401" s="9">
        <f t="shared" si="71"/>
        <v>1</v>
      </c>
      <c r="AA401" s="9">
        <f t="shared" si="72"/>
        <v>1</v>
      </c>
      <c r="AB401" s="9">
        <f t="shared" si="73"/>
        <v>1</v>
      </c>
      <c r="AC401" s="9">
        <f t="shared" si="75"/>
        <v>1</v>
      </c>
      <c r="AD401" s="9">
        <f t="shared" si="74"/>
        <v>1</v>
      </c>
    </row>
    <row r="402" spans="1:30" ht="21" customHeight="1" x14ac:dyDescent="0.2">
      <c r="A402" s="15" t="str">
        <f t="shared" ref="A402:A461" si="102">IF(B402="","",A401+1)</f>
        <v/>
      </c>
      <c r="B402" s="34"/>
      <c r="C402" s="20" t="str">
        <f t="shared" si="86"/>
        <v/>
      </c>
      <c r="D402" s="21"/>
      <c r="E402" s="20"/>
      <c r="F402" s="18"/>
      <c r="G402" s="9"/>
      <c r="H402" s="19"/>
      <c r="M402" s="9" t="str">
        <f>IF(D402=$M$3,1,"")</f>
        <v/>
      </c>
      <c r="N402" s="9" t="str">
        <f>IF(D402=$N$3,1,"")</f>
        <v/>
      </c>
      <c r="O402" s="9" t="str">
        <f>IF(D402=$O$3,1,"")</f>
        <v/>
      </c>
      <c r="P402" s="9" t="str">
        <f>IF(D402=$P$3,1,"")</f>
        <v/>
      </c>
      <c r="Q402" s="9" t="str">
        <f>IF(D402=$Q$3,1,"")</f>
        <v/>
      </c>
      <c r="R402" s="9" t="str">
        <f>IF(D402=$R$3,1,"")</f>
        <v/>
      </c>
      <c r="S402" s="9" t="str">
        <f>IF(D402=$S$3,1,"")</f>
        <v/>
      </c>
      <c r="T402" s="9" t="str">
        <f>IF(D402=$T$3,1,"")</f>
        <v/>
      </c>
      <c r="U402" s="9" t="str">
        <f>IF(D402=$U$3,1,"")</f>
        <v/>
      </c>
      <c r="V402" s="9" t="str">
        <f>IF(D402=$V$3,1,"")</f>
        <v/>
      </c>
      <c r="W402" s="9" t="str">
        <f>IF(D402=$W$3,1,"")</f>
        <v/>
      </c>
      <c r="X402" s="9" t="str">
        <f>IF(D402=$X$3,1,"")</f>
        <v/>
      </c>
      <c r="Y402" s="9" t="e">
        <f>IF(#REF!=$X$3,1,"")</f>
        <v>#REF!</v>
      </c>
      <c r="Z402" s="9">
        <f t="shared" si="71"/>
        <v>1</v>
      </c>
      <c r="AA402" s="9">
        <f t="shared" si="72"/>
        <v>1</v>
      </c>
      <c r="AB402" s="9">
        <f t="shared" si="73"/>
        <v>1</v>
      </c>
      <c r="AC402" s="9">
        <f t="shared" si="75"/>
        <v>1</v>
      </c>
      <c r="AD402" s="9">
        <f t="shared" si="74"/>
        <v>1</v>
      </c>
    </row>
    <row r="403" spans="1:30" ht="21" customHeight="1" x14ac:dyDescent="0.2">
      <c r="A403" s="15" t="str">
        <f t="shared" si="102"/>
        <v/>
      </c>
      <c r="B403" s="34"/>
      <c r="C403" s="20" t="str">
        <f t="shared" si="86"/>
        <v/>
      </c>
      <c r="D403" s="21"/>
      <c r="E403" s="20"/>
      <c r="F403" s="18"/>
      <c r="G403" s="9"/>
      <c r="H403" s="19"/>
      <c r="M403" s="9" t="str">
        <f>IF(D403=$M$3,1,"")</f>
        <v/>
      </c>
      <c r="N403" s="9" t="str">
        <f>IF(D403=$N$3,1,"")</f>
        <v/>
      </c>
      <c r="O403" s="9" t="str">
        <f>IF(D403=$O$3,1,"")</f>
        <v/>
      </c>
      <c r="P403" s="9" t="str">
        <f>IF(D403=$P$3,1,"")</f>
        <v/>
      </c>
      <c r="Q403" s="9" t="str">
        <f>IF(D403=$Q$3,1,"")</f>
        <v/>
      </c>
      <c r="R403" s="9" t="str">
        <f>IF(D403=$R$3,1,"")</f>
        <v/>
      </c>
      <c r="S403" s="9" t="str">
        <f>IF(D403=$S$3,1,"")</f>
        <v/>
      </c>
      <c r="T403" s="9" t="str">
        <f>IF(D403=$T$3,1,"")</f>
        <v/>
      </c>
      <c r="U403" s="9" t="str">
        <f>IF(D403=$U$3,1,"")</f>
        <v/>
      </c>
      <c r="V403" s="9" t="str">
        <f>IF(D403=$V$3,1,"")</f>
        <v/>
      </c>
      <c r="W403" s="9" t="str">
        <f>IF(D403=$W$3,1,"")</f>
        <v/>
      </c>
      <c r="X403" s="9" t="str">
        <f>IF(D403=$X$3,1,"")</f>
        <v/>
      </c>
      <c r="Y403" s="9" t="e">
        <f>IF(#REF!=$X$3,1,"")</f>
        <v>#REF!</v>
      </c>
      <c r="Z403" s="9">
        <f t="shared" si="71"/>
        <v>1</v>
      </c>
      <c r="AA403" s="9">
        <f t="shared" si="72"/>
        <v>1</v>
      </c>
      <c r="AB403" s="9">
        <f t="shared" si="73"/>
        <v>1</v>
      </c>
      <c r="AC403" s="9">
        <f t="shared" si="75"/>
        <v>1</v>
      </c>
      <c r="AD403" s="9">
        <f t="shared" si="74"/>
        <v>1</v>
      </c>
    </row>
    <row r="404" spans="1:30" ht="21" customHeight="1" x14ac:dyDescent="0.2">
      <c r="A404" s="15" t="str">
        <f t="shared" si="102"/>
        <v/>
      </c>
      <c r="B404" s="34"/>
      <c r="C404" s="20" t="str">
        <f t="shared" si="86"/>
        <v/>
      </c>
      <c r="D404" s="21"/>
      <c r="E404" s="20"/>
      <c r="F404" s="18"/>
      <c r="G404" s="9"/>
      <c r="H404" s="19"/>
      <c r="M404" s="9" t="str">
        <f>IF(D404=$M$3,1,"")</f>
        <v/>
      </c>
      <c r="N404" s="9" t="str">
        <f>IF(D404=$N$3,1,"")</f>
        <v/>
      </c>
      <c r="O404" s="9" t="str">
        <f>IF(D404=$O$3,1,"")</f>
        <v/>
      </c>
      <c r="P404" s="9" t="str">
        <f>IF(D404=$P$3,1,"")</f>
        <v/>
      </c>
      <c r="Q404" s="9" t="str">
        <f>IF(D404=$Q$3,1,"")</f>
        <v/>
      </c>
      <c r="R404" s="9" t="str">
        <f>IF(D404=$R$3,1,"")</f>
        <v/>
      </c>
      <c r="S404" s="9" t="str">
        <f>IF(D404=$S$3,1,"")</f>
        <v/>
      </c>
      <c r="T404" s="9" t="str">
        <f>IF(D404=$T$3,1,"")</f>
        <v/>
      </c>
      <c r="U404" s="9" t="str">
        <f>IF(D404=$U$3,1,"")</f>
        <v/>
      </c>
      <c r="V404" s="9" t="str">
        <f>IF(D404=$V$3,1,"")</f>
        <v/>
      </c>
      <c r="W404" s="9" t="str">
        <f>IF(D404=$W$3,1,"")</f>
        <v/>
      </c>
      <c r="X404" s="9" t="str">
        <f>IF(D404=$X$3,1,"")</f>
        <v/>
      </c>
      <c r="Y404" s="9" t="e">
        <f>IF(#REF!=$X$3,1,"")</f>
        <v>#REF!</v>
      </c>
      <c r="Z404" s="9">
        <f t="shared" si="71"/>
        <v>1</v>
      </c>
      <c r="AA404" s="9">
        <f t="shared" si="72"/>
        <v>1</v>
      </c>
      <c r="AB404" s="9">
        <f t="shared" si="73"/>
        <v>1</v>
      </c>
      <c r="AC404" s="9">
        <f t="shared" si="75"/>
        <v>1</v>
      </c>
      <c r="AD404" s="9">
        <f t="shared" si="74"/>
        <v>1</v>
      </c>
    </row>
    <row r="405" spans="1:30" ht="21" customHeight="1" x14ac:dyDescent="0.2">
      <c r="A405" s="15" t="str">
        <f t="shared" si="102"/>
        <v/>
      </c>
      <c r="B405" s="34"/>
      <c r="C405" s="20" t="str">
        <f t="shared" si="86"/>
        <v/>
      </c>
      <c r="D405" s="21"/>
      <c r="E405" s="20"/>
      <c r="F405" s="18"/>
      <c r="G405" s="9"/>
      <c r="H405" s="19"/>
      <c r="M405" s="9" t="str">
        <f>IF(D405=$M$3,1,"")</f>
        <v/>
      </c>
      <c r="N405" s="9" t="str">
        <f>IF(D405=$N$3,1,"")</f>
        <v/>
      </c>
      <c r="O405" s="9" t="str">
        <f>IF(D405=$O$3,1,"")</f>
        <v/>
      </c>
      <c r="P405" s="9" t="str">
        <f>IF(D405=$P$3,1,"")</f>
        <v/>
      </c>
      <c r="Q405" s="9" t="str">
        <f>IF(D405=$Q$3,1,"")</f>
        <v/>
      </c>
      <c r="R405" s="9" t="str">
        <f>IF(D405=$R$3,1,"")</f>
        <v/>
      </c>
      <c r="S405" s="9" t="str">
        <f>IF(D405=$S$3,1,"")</f>
        <v/>
      </c>
      <c r="T405" s="9" t="str">
        <f>IF(D405=$T$3,1,"")</f>
        <v/>
      </c>
      <c r="U405" s="9" t="str">
        <f>IF(D405=$U$3,1,"")</f>
        <v/>
      </c>
      <c r="V405" s="9" t="str">
        <f>IF(D405=$V$3,1,"")</f>
        <v/>
      </c>
      <c r="W405" s="9" t="str">
        <f>IF(D405=$W$3,1,"")</f>
        <v/>
      </c>
      <c r="X405" s="9" t="str">
        <f>IF(D405=$X$3,1,"")</f>
        <v/>
      </c>
      <c r="Y405" s="9" t="e">
        <f>IF(#REF!=$X$3,1,"")</f>
        <v>#REF!</v>
      </c>
      <c r="Z405" s="9">
        <f t="shared" si="71"/>
        <v>1</v>
      </c>
      <c r="AA405" s="9">
        <f t="shared" si="72"/>
        <v>1</v>
      </c>
      <c r="AB405" s="9">
        <f t="shared" si="73"/>
        <v>1</v>
      </c>
      <c r="AC405" s="9">
        <f t="shared" si="75"/>
        <v>1</v>
      </c>
      <c r="AD405" s="9">
        <f t="shared" si="74"/>
        <v>1</v>
      </c>
    </row>
    <row r="406" spans="1:30" ht="21" customHeight="1" x14ac:dyDescent="0.2">
      <c r="A406" s="15" t="str">
        <f t="shared" si="102"/>
        <v/>
      </c>
      <c r="B406" s="34"/>
      <c r="C406" s="20" t="str">
        <f t="shared" si="86"/>
        <v/>
      </c>
      <c r="D406" s="21"/>
      <c r="E406" s="20"/>
      <c r="F406" s="18"/>
      <c r="G406" s="9"/>
      <c r="H406" s="19"/>
      <c r="M406" s="9" t="str">
        <f>IF(D406=$M$3,1,"")</f>
        <v/>
      </c>
      <c r="N406" s="9" t="str">
        <f>IF(D406=$N$3,1,"")</f>
        <v/>
      </c>
      <c r="O406" s="9" t="str">
        <f>IF(D406=$O$3,1,"")</f>
        <v/>
      </c>
      <c r="P406" s="9" t="str">
        <f>IF(D406=$P$3,1,"")</f>
        <v/>
      </c>
      <c r="Q406" s="9" t="str">
        <f>IF(D406=$Q$3,1,"")</f>
        <v/>
      </c>
      <c r="R406" s="9" t="str">
        <f>IF(D406=$R$3,1,"")</f>
        <v/>
      </c>
      <c r="S406" s="9" t="str">
        <f>IF(D406=$S$3,1,"")</f>
        <v/>
      </c>
      <c r="T406" s="9" t="str">
        <f>IF(D406=$T$3,1,"")</f>
        <v/>
      </c>
      <c r="U406" s="9" t="str">
        <f>IF(D406=$U$3,1,"")</f>
        <v/>
      </c>
      <c r="V406" s="9" t="str">
        <f>IF(D406=$V$3,1,"")</f>
        <v/>
      </c>
      <c r="W406" s="9" t="str">
        <f>IF(D406=$W$3,1,"")</f>
        <v/>
      </c>
      <c r="X406" s="9" t="str">
        <f>IF(D406=$X$3,1,"")</f>
        <v/>
      </c>
      <c r="Y406" s="9" t="e">
        <f>IF(#REF!=$X$3,1,"")</f>
        <v>#REF!</v>
      </c>
      <c r="Z406" s="9">
        <f t="shared" si="71"/>
        <v>1</v>
      </c>
      <c r="AA406" s="9">
        <f t="shared" si="72"/>
        <v>1</v>
      </c>
      <c r="AB406" s="9">
        <f t="shared" si="73"/>
        <v>1</v>
      </c>
      <c r="AC406" s="9">
        <f t="shared" si="75"/>
        <v>1</v>
      </c>
      <c r="AD406" s="9">
        <f t="shared" si="74"/>
        <v>1</v>
      </c>
    </row>
    <row r="407" spans="1:30" ht="21" customHeight="1" x14ac:dyDescent="0.2">
      <c r="A407" s="15" t="str">
        <f t="shared" si="102"/>
        <v/>
      </c>
      <c r="B407" s="34"/>
      <c r="C407" s="20" t="str">
        <f t="shared" si="86"/>
        <v/>
      </c>
      <c r="D407" s="21"/>
      <c r="E407" s="20"/>
      <c r="F407" s="18"/>
      <c r="G407" s="9"/>
      <c r="H407" s="19"/>
      <c r="M407" s="9" t="str">
        <f>IF(D407=$M$3,1,"")</f>
        <v/>
      </c>
      <c r="N407" s="9" t="str">
        <f>IF(D407=$N$3,1,"")</f>
        <v/>
      </c>
      <c r="O407" s="9" t="str">
        <f>IF(D407=$O$3,1,"")</f>
        <v/>
      </c>
      <c r="P407" s="9" t="str">
        <f>IF(D407=$P$3,1,"")</f>
        <v/>
      </c>
      <c r="Q407" s="9" t="str">
        <f>IF(D407=$Q$3,1,"")</f>
        <v/>
      </c>
      <c r="R407" s="9" t="str">
        <f>IF(D407=$R$3,1,"")</f>
        <v/>
      </c>
      <c r="S407" s="9" t="str">
        <f>IF(D407=$S$3,1,"")</f>
        <v/>
      </c>
      <c r="T407" s="9" t="str">
        <f>IF(D407=$T$3,1,"")</f>
        <v/>
      </c>
      <c r="U407" s="9" t="str">
        <f>IF(D407=$U$3,1,"")</f>
        <v/>
      </c>
      <c r="V407" s="9" t="str">
        <f>IF(D407=$V$3,1,"")</f>
        <v/>
      </c>
      <c r="W407" s="9" t="str">
        <f>IF(D407=$W$3,1,"")</f>
        <v/>
      </c>
      <c r="X407" s="9" t="str">
        <f>IF(D407=$X$3,1,"")</f>
        <v/>
      </c>
      <c r="Y407" s="9" t="e">
        <f>IF(#REF!=$X$3,1,"")</f>
        <v>#REF!</v>
      </c>
      <c r="Z407" s="9">
        <f t="shared" si="71"/>
        <v>1</v>
      </c>
      <c r="AA407" s="9">
        <f t="shared" si="72"/>
        <v>1</v>
      </c>
      <c r="AB407" s="9">
        <f t="shared" si="73"/>
        <v>1</v>
      </c>
      <c r="AC407" s="9">
        <f t="shared" si="75"/>
        <v>1</v>
      </c>
      <c r="AD407" s="9">
        <f t="shared" si="74"/>
        <v>1</v>
      </c>
    </row>
    <row r="408" spans="1:30" ht="21" customHeight="1" x14ac:dyDescent="0.2">
      <c r="A408" s="15" t="str">
        <f t="shared" si="102"/>
        <v/>
      </c>
      <c r="B408" s="34"/>
      <c r="C408" s="20" t="str">
        <f t="shared" si="86"/>
        <v/>
      </c>
      <c r="D408" s="21"/>
      <c r="E408" s="20"/>
      <c r="F408" s="18"/>
      <c r="G408" s="9"/>
      <c r="H408" s="19"/>
      <c r="M408" s="9" t="str">
        <f>IF(D408=$M$3,1,"")</f>
        <v/>
      </c>
      <c r="N408" s="9" t="str">
        <f>IF(D408=$N$3,1,"")</f>
        <v/>
      </c>
      <c r="O408" s="9" t="str">
        <f>IF(D408=$O$3,1,"")</f>
        <v/>
      </c>
      <c r="P408" s="9" t="str">
        <f>IF(D408=$P$3,1,"")</f>
        <v/>
      </c>
      <c r="Q408" s="9" t="str">
        <f>IF(D408=$Q$3,1,"")</f>
        <v/>
      </c>
      <c r="R408" s="9" t="str">
        <f>IF(D408=$R$3,1,"")</f>
        <v/>
      </c>
      <c r="S408" s="9" t="str">
        <f>IF(D408=$S$3,1,"")</f>
        <v/>
      </c>
      <c r="T408" s="9" t="str">
        <f>IF(D408=$T$3,1,"")</f>
        <v/>
      </c>
      <c r="U408" s="9" t="str">
        <f>IF(D408=$U$3,1,"")</f>
        <v/>
      </c>
      <c r="V408" s="9" t="str">
        <f>IF(D408=$V$3,1,"")</f>
        <v/>
      </c>
      <c r="W408" s="9" t="str">
        <f>IF(D408=$W$3,1,"")</f>
        <v/>
      </c>
      <c r="X408" s="9" t="str">
        <f>IF(D408=$X$3,1,"")</f>
        <v/>
      </c>
      <c r="Y408" s="9" t="e">
        <f>IF(#REF!=$X$3,1,"")</f>
        <v>#REF!</v>
      </c>
      <c r="Z408" s="9">
        <f t="shared" ref="Z408:Z471" si="103">IF(F408=$Z$3,1,"")</f>
        <v>1</v>
      </c>
      <c r="AA408" s="9">
        <f t="shared" ref="AA408:AA471" si="104">IF(F408=$AA$3,1,"")</f>
        <v>1</v>
      </c>
      <c r="AB408" s="9">
        <f t="shared" ref="AB408:AB471" si="105">IF(F408=$AB$3,1,"")</f>
        <v>1</v>
      </c>
      <c r="AC408" s="9">
        <f t="shared" ref="AC408:AC471" si="106">IF(F408=$AC$3,1,"")</f>
        <v>1</v>
      </c>
      <c r="AD408" s="9">
        <f t="shared" ref="AD408:AD471" si="107">IF(F408=$AE$3,1,"")</f>
        <v>1</v>
      </c>
    </row>
    <row r="409" spans="1:30" ht="21" customHeight="1" x14ac:dyDescent="0.2">
      <c r="A409" s="15" t="str">
        <f t="shared" si="102"/>
        <v/>
      </c>
      <c r="B409" s="34"/>
      <c r="C409" s="20" t="str">
        <f t="shared" si="86"/>
        <v/>
      </c>
      <c r="D409" s="21"/>
      <c r="E409" s="20"/>
      <c r="F409" s="18"/>
      <c r="G409" s="9"/>
      <c r="H409" s="19"/>
      <c r="M409" s="9" t="str">
        <f>IF(D409=$M$3,1,"")</f>
        <v/>
      </c>
      <c r="N409" s="9" t="str">
        <f>IF(D409=$N$3,1,"")</f>
        <v/>
      </c>
      <c r="O409" s="9" t="str">
        <f>IF(D409=$O$3,1,"")</f>
        <v/>
      </c>
      <c r="P409" s="9" t="str">
        <f>IF(D409=$P$3,1,"")</f>
        <v/>
      </c>
      <c r="Q409" s="9" t="str">
        <f>IF(D409=$Q$3,1,"")</f>
        <v/>
      </c>
      <c r="R409" s="9" t="str">
        <f>IF(D409=$R$3,1,"")</f>
        <v/>
      </c>
      <c r="S409" s="9" t="str">
        <f>IF(D409=$S$3,1,"")</f>
        <v/>
      </c>
      <c r="T409" s="9" t="str">
        <f>IF(D409=$T$3,1,"")</f>
        <v/>
      </c>
      <c r="U409" s="9" t="str">
        <f>IF(D409=$U$3,1,"")</f>
        <v/>
      </c>
      <c r="V409" s="9" t="str">
        <f>IF(D409=$V$3,1,"")</f>
        <v/>
      </c>
      <c r="W409" s="9" t="str">
        <f>IF(D409=$W$3,1,"")</f>
        <v/>
      </c>
      <c r="X409" s="9" t="str">
        <f>IF(D409=$X$3,1,"")</f>
        <v/>
      </c>
      <c r="Y409" s="9" t="e">
        <f>IF(#REF!=$X$3,1,"")</f>
        <v>#REF!</v>
      </c>
      <c r="Z409" s="9">
        <f t="shared" si="103"/>
        <v>1</v>
      </c>
      <c r="AA409" s="9">
        <f t="shared" si="104"/>
        <v>1</v>
      </c>
      <c r="AB409" s="9">
        <f t="shared" si="105"/>
        <v>1</v>
      </c>
      <c r="AC409" s="9">
        <f t="shared" si="106"/>
        <v>1</v>
      </c>
      <c r="AD409" s="9">
        <f t="shared" si="107"/>
        <v>1</v>
      </c>
    </row>
    <row r="410" spans="1:30" ht="21" customHeight="1" x14ac:dyDescent="0.2">
      <c r="A410" s="15" t="str">
        <f t="shared" si="102"/>
        <v/>
      </c>
      <c r="B410" s="34"/>
      <c r="C410" s="20" t="str">
        <f t="shared" si="86"/>
        <v/>
      </c>
      <c r="D410" s="21"/>
      <c r="E410" s="20"/>
      <c r="F410" s="18"/>
      <c r="G410" s="9"/>
      <c r="H410" s="19"/>
      <c r="M410" s="9" t="str">
        <f>IF(D410=$M$3,1,"")</f>
        <v/>
      </c>
      <c r="N410" s="9" t="str">
        <f>IF(D410=$N$3,1,"")</f>
        <v/>
      </c>
      <c r="O410" s="9" t="str">
        <f>IF(D410=$O$3,1,"")</f>
        <v/>
      </c>
      <c r="P410" s="9" t="str">
        <f>IF(D410=$P$3,1,"")</f>
        <v/>
      </c>
      <c r="Q410" s="9" t="str">
        <f>IF(D410=$Q$3,1,"")</f>
        <v/>
      </c>
      <c r="R410" s="9" t="str">
        <f>IF(D410=$R$3,1,"")</f>
        <v/>
      </c>
      <c r="S410" s="9" t="str">
        <f>IF(D410=$S$3,1,"")</f>
        <v/>
      </c>
      <c r="T410" s="9" t="str">
        <f>IF(D410=$T$3,1,"")</f>
        <v/>
      </c>
      <c r="U410" s="9" t="str">
        <f>IF(D410=$U$3,1,"")</f>
        <v/>
      </c>
      <c r="V410" s="9" t="str">
        <f>IF(D410=$V$3,1,"")</f>
        <v/>
      </c>
      <c r="W410" s="9" t="str">
        <f>IF(D410=$W$3,1,"")</f>
        <v/>
      </c>
      <c r="X410" s="9" t="str">
        <f>IF(D410=$X$3,1,"")</f>
        <v/>
      </c>
      <c r="Y410" s="9" t="e">
        <f>IF(#REF!=$X$3,1,"")</f>
        <v>#REF!</v>
      </c>
      <c r="Z410" s="9">
        <f t="shared" si="103"/>
        <v>1</v>
      </c>
      <c r="AA410" s="9">
        <f t="shared" si="104"/>
        <v>1</v>
      </c>
      <c r="AB410" s="9">
        <f t="shared" si="105"/>
        <v>1</v>
      </c>
      <c r="AC410" s="9">
        <f t="shared" si="106"/>
        <v>1</v>
      </c>
      <c r="AD410" s="9">
        <f t="shared" si="107"/>
        <v>1</v>
      </c>
    </row>
    <row r="411" spans="1:30" ht="21" customHeight="1" x14ac:dyDescent="0.2">
      <c r="A411" s="15" t="str">
        <f t="shared" si="102"/>
        <v/>
      </c>
      <c r="B411" s="34"/>
      <c r="C411" s="20" t="str">
        <f t="shared" si="86"/>
        <v/>
      </c>
      <c r="D411" s="21"/>
      <c r="E411" s="20"/>
      <c r="F411" s="18"/>
      <c r="G411" s="9"/>
      <c r="H411" s="19"/>
      <c r="M411" s="9" t="str">
        <f>IF(D411=$M$3,1,"")</f>
        <v/>
      </c>
      <c r="N411" s="9" t="str">
        <f>IF(D411=$N$3,1,"")</f>
        <v/>
      </c>
      <c r="O411" s="9" t="str">
        <f>IF(D411=$O$3,1,"")</f>
        <v/>
      </c>
      <c r="P411" s="9" t="str">
        <f>IF(D411=$P$3,1,"")</f>
        <v/>
      </c>
      <c r="Q411" s="9" t="str">
        <f>IF(D411=$Q$3,1,"")</f>
        <v/>
      </c>
      <c r="R411" s="9" t="str">
        <f>IF(D411=$R$3,1,"")</f>
        <v/>
      </c>
      <c r="S411" s="9" t="str">
        <f>IF(D411=$S$3,1,"")</f>
        <v/>
      </c>
      <c r="T411" s="9" t="str">
        <f>IF(D411=$T$3,1,"")</f>
        <v/>
      </c>
      <c r="U411" s="9" t="str">
        <f>IF(D411=$U$3,1,"")</f>
        <v/>
      </c>
      <c r="V411" s="9" t="str">
        <f>IF(D411=$V$3,1,"")</f>
        <v/>
      </c>
      <c r="W411" s="9" t="str">
        <f>IF(D411=$W$3,1,"")</f>
        <v/>
      </c>
      <c r="X411" s="9" t="str">
        <f>IF(D411=$X$3,1,"")</f>
        <v/>
      </c>
      <c r="Y411" s="9" t="e">
        <f>IF(#REF!=$X$3,1,"")</f>
        <v>#REF!</v>
      </c>
      <c r="Z411" s="9">
        <f t="shared" si="103"/>
        <v>1</v>
      </c>
      <c r="AA411" s="9">
        <f t="shared" si="104"/>
        <v>1</v>
      </c>
      <c r="AB411" s="9">
        <f t="shared" si="105"/>
        <v>1</v>
      </c>
      <c r="AC411" s="9">
        <f t="shared" si="106"/>
        <v>1</v>
      </c>
      <c r="AD411" s="9">
        <f t="shared" si="107"/>
        <v>1</v>
      </c>
    </row>
    <row r="412" spans="1:30" ht="21" customHeight="1" x14ac:dyDescent="0.2">
      <c r="A412" s="15" t="str">
        <f t="shared" si="102"/>
        <v/>
      </c>
      <c r="B412" s="34"/>
      <c r="C412" s="20" t="str">
        <f t="shared" si="86"/>
        <v/>
      </c>
      <c r="D412" s="21"/>
      <c r="E412" s="20"/>
      <c r="F412" s="18"/>
      <c r="G412" s="9"/>
      <c r="H412" s="19"/>
      <c r="M412" s="9" t="str">
        <f>IF(D412=$M$3,1,"")</f>
        <v/>
      </c>
      <c r="N412" s="9" t="str">
        <f>IF(D412=$N$3,1,"")</f>
        <v/>
      </c>
      <c r="O412" s="9" t="str">
        <f>IF(D412=$O$3,1,"")</f>
        <v/>
      </c>
      <c r="P412" s="9" t="str">
        <f>IF(D412=$P$3,1,"")</f>
        <v/>
      </c>
      <c r="Q412" s="9" t="str">
        <f>IF(D412=$Q$3,1,"")</f>
        <v/>
      </c>
      <c r="R412" s="9" t="str">
        <f>IF(D412=$R$3,1,"")</f>
        <v/>
      </c>
      <c r="S412" s="9" t="str">
        <f>IF(D412=$S$3,1,"")</f>
        <v/>
      </c>
      <c r="T412" s="9" t="str">
        <f>IF(D412=$T$3,1,"")</f>
        <v/>
      </c>
      <c r="U412" s="9" t="str">
        <f>IF(D412=$U$3,1,"")</f>
        <v/>
      </c>
      <c r="V412" s="9" t="str">
        <f>IF(D412=$V$3,1,"")</f>
        <v/>
      </c>
      <c r="W412" s="9" t="str">
        <f>IF(D412=$W$3,1,"")</f>
        <v/>
      </c>
      <c r="X412" s="9" t="str">
        <f>IF(D412=$X$3,1,"")</f>
        <v/>
      </c>
      <c r="Y412" s="9" t="e">
        <f>IF(#REF!=$X$3,1,"")</f>
        <v>#REF!</v>
      </c>
      <c r="Z412" s="9">
        <f t="shared" si="103"/>
        <v>1</v>
      </c>
      <c r="AA412" s="9">
        <f t="shared" si="104"/>
        <v>1</v>
      </c>
      <c r="AB412" s="9">
        <f t="shared" si="105"/>
        <v>1</v>
      </c>
      <c r="AC412" s="9">
        <f t="shared" si="106"/>
        <v>1</v>
      </c>
      <c r="AD412" s="9">
        <f t="shared" si="107"/>
        <v>1</v>
      </c>
    </row>
    <row r="413" spans="1:30" ht="21" customHeight="1" x14ac:dyDescent="0.2">
      <c r="A413" s="15" t="str">
        <f t="shared" si="102"/>
        <v/>
      </c>
      <c r="B413" s="34"/>
      <c r="C413" s="20" t="str">
        <f t="shared" si="86"/>
        <v/>
      </c>
      <c r="D413" s="21"/>
      <c r="E413" s="20"/>
      <c r="F413" s="18"/>
      <c r="G413" s="9"/>
      <c r="H413" s="19"/>
      <c r="M413" s="9" t="str">
        <f>IF(D413=$M$3,1,"")</f>
        <v/>
      </c>
      <c r="N413" s="9" t="str">
        <f>IF(D413=$N$3,1,"")</f>
        <v/>
      </c>
      <c r="O413" s="9" t="str">
        <f>IF(D413=$O$3,1,"")</f>
        <v/>
      </c>
      <c r="P413" s="9" t="str">
        <f>IF(D413=$P$3,1,"")</f>
        <v/>
      </c>
      <c r="Q413" s="9" t="str">
        <f>IF(D413=$Q$3,1,"")</f>
        <v/>
      </c>
      <c r="R413" s="9" t="str">
        <f>IF(D413=$R$3,1,"")</f>
        <v/>
      </c>
      <c r="S413" s="9" t="str">
        <f>IF(D413=$S$3,1,"")</f>
        <v/>
      </c>
      <c r="T413" s="9" t="str">
        <f>IF(D413=$T$3,1,"")</f>
        <v/>
      </c>
      <c r="U413" s="9" t="str">
        <f>IF(D413=$U$3,1,"")</f>
        <v/>
      </c>
      <c r="V413" s="9" t="str">
        <f>IF(D413=$V$3,1,"")</f>
        <v/>
      </c>
      <c r="W413" s="9" t="str">
        <f>IF(D413=$W$3,1,"")</f>
        <v/>
      </c>
      <c r="X413" s="9" t="str">
        <f>IF(D413=$X$3,1,"")</f>
        <v/>
      </c>
      <c r="Y413" s="9" t="e">
        <f>IF(#REF!=$X$3,1,"")</f>
        <v>#REF!</v>
      </c>
      <c r="Z413" s="9">
        <f t="shared" si="103"/>
        <v>1</v>
      </c>
      <c r="AA413" s="9">
        <f t="shared" si="104"/>
        <v>1</v>
      </c>
      <c r="AB413" s="9">
        <f t="shared" si="105"/>
        <v>1</v>
      </c>
      <c r="AC413" s="9">
        <f t="shared" si="106"/>
        <v>1</v>
      </c>
      <c r="AD413" s="9">
        <f t="shared" si="107"/>
        <v>1</v>
      </c>
    </row>
    <row r="414" spans="1:30" ht="21" customHeight="1" x14ac:dyDescent="0.2">
      <c r="A414" s="15" t="str">
        <f t="shared" si="102"/>
        <v/>
      </c>
      <c r="B414" s="34"/>
      <c r="C414" s="20" t="str">
        <f t="shared" si="86"/>
        <v/>
      </c>
      <c r="D414" s="21"/>
      <c r="E414" s="20"/>
      <c r="F414" s="18"/>
      <c r="G414" s="9"/>
      <c r="H414" s="19"/>
      <c r="M414" s="9" t="str">
        <f>IF(D414=$M$3,1,"")</f>
        <v/>
      </c>
      <c r="N414" s="9" t="str">
        <f>IF(D414=$N$3,1,"")</f>
        <v/>
      </c>
      <c r="O414" s="9" t="str">
        <f>IF(D414=$O$3,1,"")</f>
        <v/>
      </c>
      <c r="P414" s="9" t="str">
        <f>IF(D414=$P$3,1,"")</f>
        <v/>
      </c>
      <c r="Q414" s="9" t="str">
        <f>IF(D414=$Q$3,1,"")</f>
        <v/>
      </c>
      <c r="R414" s="9" t="str">
        <f>IF(D414=$R$3,1,"")</f>
        <v/>
      </c>
      <c r="S414" s="9" t="str">
        <f>IF(D414=$S$3,1,"")</f>
        <v/>
      </c>
      <c r="T414" s="9" t="str">
        <f>IF(D414=$T$3,1,"")</f>
        <v/>
      </c>
      <c r="U414" s="9" t="str">
        <f>IF(D414=$U$3,1,"")</f>
        <v/>
      </c>
      <c r="V414" s="9" t="str">
        <f>IF(D414=$V$3,1,"")</f>
        <v/>
      </c>
      <c r="W414" s="9" t="str">
        <f>IF(D414=$W$3,1,"")</f>
        <v/>
      </c>
      <c r="X414" s="9" t="str">
        <f>IF(D414=$X$3,1,"")</f>
        <v/>
      </c>
      <c r="Y414" s="9" t="e">
        <f>IF(#REF!=$X$3,1,"")</f>
        <v>#REF!</v>
      </c>
      <c r="Z414" s="9">
        <f t="shared" si="103"/>
        <v>1</v>
      </c>
      <c r="AA414" s="9">
        <f t="shared" si="104"/>
        <v>1</v>
      </c>
      <c r="AB414" s="9">
        <f t="shared" si="105"/>
        <v>1</v>
      </c>
      <c r="AC414" s="9">
        <f t="shared" si="106"/>
        <v>1</v>
      </c>
      <c r="AD414" s="9">
        <f t="shared" si="107"/>
        <v>1</v>
      </c>
    </row>
    <row r="415" spans="1:30" ht="21" customHeight="1" x14ac:dyDescent="0.2">
      <c r="A415" s="15" t="str">
        <f t="shared" si="102"/>
        <v/>
      </c>
      <c r="B415" s="34"/>
      <c r="C415" s="20" t="str">
        <f t="shared" si="86"/>
        <v/>
      </c>
      <c r="D415" s="21"/>
      <c r="E415" s="20"/>
      <c r="F415" s="18"/>
      <c r="G415" s="9"/>
      <c r="H415" s="19"/>
      <c r="M415" s="9" t="str">
        <f>IF(D415=$M$3,1,"")</f>
        <v/>
      </c>
      <c r="N415" s="9" t="str">
        <f>IF(D415=$N$3,1,"")</f>
        <v/>
      </c>
      <c r="O415" s="9" t="str">
        <f>IF(D415=$O$3,1,"")</f>
        <v/>
      </c>
      <c r="P415" s="9" t="str">
        <f>IF(D415=$P$3,1,"")</f>
        <v/>
      </c>
      <c r="Q415" s="9" t="str">
        <f>IF(D415=$Q$3,1,"")</f>
        <v/>
      </c>
      <c r="R415" s="9" t="str">
        <f>IF(D415=$R$3,1,"")</f>
        <v/>
      </c>
      <c r="S415" s="9" t="str">
        <f>IF(D415=$S$3,1,"")</f>
        <v/>
      </c>
      <c r="T415" s="9" t="str">
        <f>IF(D415=$T$3,1,"")</f>
        <v/>
      </c>
      <c r="U415" s="9" t="str">
        <f>IF(D415=$U$3,1,"")</f>
        <v/>
      </c>
      <c r="V415" s="9" t="str">
        <f>IF(D415=$V$3,1,"")</f>
        <v/>
      </c>
      <c r="W415" s="9" t="str">
        <f>IF(D415=$W$3,1,"")</f>
        <v/>
      </c>
      <c r="X415" s="9" t="str">
        <f>IF(D415=$X$3,1,"")</f>
        <v/>
      </c>
      <c r="Y415" s="9" t="e">
        <f>IF(#REF!=$X$3,1,"")</f>
        <v>#REF!</v>
      </c>
      <c r="Z415" s="9">
        <f t="shared" si="103"/>
        <v>1</v>
      </c>
      <c r="AA415" s="9">
        <f t="shared" si="104"/>
        <v>1</v>
      </c>
      <c r="AB415" s="9">
        <f t="shared" si="105"/>
        <v>1</v>
      </c>
      <c r="AC415" s="9">
        <f t="shared" si="106"/>
        <v>1</v>
      </c>
      <c r="AD415" s="9">
        <f t="shared" si="107"/>
        <v>1</v>
      </c>
    </row>
    <row r="416" spans="1:30" ht="21" customHeight="1" x14ac:dyDescent="0.2">
      <c r="A416" s="15" t="str">
        <f t="shared" si="102"/>
        <v/>
      </c>
      <c r="B416" s="34"/>
      <c r="C416" s="20" t="str">
        <f t="shared" si="86"/>
        <v/>
      </c>
      <c r="D416" s="21"/>
      <c r="E416" s="20"/>
      <c r="F416" s="18"/>
      <c r="G416" s="9"/>
      <c r="H416" s="19"/>
      <c r="M416" s="9" t="str">
        <f>IF(D416=$M$3,1,"")</f>
        <v/>
      </c>
      <c r="N416" s="9" t="str">
        <f>IF(D416=$N$3,1,"")</f>
        <v/>
      </c>
      <c r="O416" s="9" t="str">
        <f>IF(D416=$O$3,1,"")</f>
        <v/>
      </c>
      <c r="P416" s="9" t="str">
        <f>IF(D416=$P$3,1,"")</f>
        <v/>
      </c>
      <c r="Q416" s="9" t="str">
        <f>IF(D416=$Q$3,1,"")</f>
        <v/>
      </c>
      <c r="R416" s="9" t="str">
        <f>IF(D416=$R$3,1,"")</f>
        <v/>
      </c>
      <c r="S416" s="9" t="str">
        <f>IF(D416=$S$3,1,"")</f>
        <v/>
      </c>
      <c r="T416" s="9" t="str">
        <f>IF(D416=$T$3,1,"")</f>
        <v/>
      </c>
      <c r="U416" s="9" t="str">
        <f>IF(D416=$U$3,1,"")</f>
        <v/>
      </c>
      <c r="V416" s="9" t="str">
        <f>IF(D416=$V$3,1,"")</f>
        <v/>
      </c>
      <c r="W416" s="9" t="str">
        <f>IF(D416=$W$3,1,"")</f>
        <v/>
      </c>
      <c r="X416" s="9" t="str">
        <f>IF(D416=$X$3,1,"")</f>
        <v/>
      </c>
      <c r="Y416" s="9" t="e">
        <f>IF(#REF!=$X$3,1,"")</f>
        <v>#REF!</v>
      </c>
      <c r="Z416" s="9">
        <f t="shared" si="103"/>
        <v>1</v>
      </c>
      <c r="AA416" s="9">
        <f t="shared" si="104"/>
        <v>1</v>
      </c>
      <c r="AB416" s="9">
        <f t="shared" si="105"/>
        <v>1</v>
      </c>
      <c r="AC416" s="9">
        <f t="shared" si="106"/>
        <v>1</v>
      </c>
      <c r="AD416" s="9">
        <f t="shared" si="107"/>
        <v>1</v>
      </c>
    </row>
    <row r="417" spans="1:30" ht="21" customHeight="1" x14ac:dyDescent="0.2">
      <c r="A417" s="15" t="str">
        <f t="shared" si="102"/>
        <v/>
      </c>
      <c r="B417" s="34"/>
      <c r="C417" s="20" t="str">
        <f t="shared" si="86"/>
        <v/>
      </c>
      <c r="D417" s="21"/>
      <c r="E417" s="20"/>
      <c r="F417" s="18"/>
      <c r="G417" s="9"/>
      <c r="H417" s="19"/>
      <c r="M417" s="9" t="str">
        <f>IF(D417=$M$3,1,"")</f>
        <v/>
      </c>
      <c r="N417" s="9" t="str">
        <f>IF(D417=$N$3,1,"")</f>
        <v/>
      </c>
      <c r="O417" s="9" t="str">
        <f>IF(D417=$O$3,1,"")</f>
        <v/>
      </c>
      <c r="P417" s="9" t="str">
        <f>IF(D417=$P$3,1,"")</f>
        <v/>
      </c>
      <c r="Q417" s="9" t="str">
        <f>IF(D417=$Q$3,1,"")</f>
        <v/>
      </c>
      <c r="R417" s="9" t="str">
        <f>IF(D417=$R$3,1,"")</f>
        <v/>
      </c>
      <c r="S417" s="9" t="str">
        <f>IF(D417=$S$3,1,"")</f>
        <v/>
      </c>
      <c r="T417" s="9" t="str">
        <f>IF(D417=$T$3,1,"")</f>
        <v/>
      </c>
      <c r="U417" s="9" t="str">
        <f>IF(D417=$U$3,1,"")</f>
        <v/>
      </c>
      <c r="V417" s="9" t="str">
        <f>IF(D417=$V$3,1,"")</f>
        <v/>
      </c>
      <c r="W417" s="9" t="str">
        <f>IF(D417=$W$3,1,"")</f>
        <v/>
      </c>
      <c r="X417" s="9" t="str">
        <f>IF(D417=$X$3,1,"")</f>
        <v/>
      </c>
      <c r="Y417" s="9" t="e">
        <f>IF(#REF!=$X$3,1,"")</f>
        <v>#REF!</v>
      </c>
      <c r="Z417" s="9">
        <f t="shared" si="103"/>
        <v>1</v>
      </c>
      <c r="AA417" s="9">
        <f t="shared" si="104"/>
        <v>1</v>
      </c>
      <c r="AB417" s="9">
        <f t="shared" si="105"/>
        <v>1</v>
      </c>
      <c r="AC417" s="9">
        <f t="shared" si="106"/>
        <v>1</v>
      </c>
      <c r="AD417" s="9">
        <f t="shared" si="107"/>
        <v>1</v>
      </c>
    </row>
    <row r="418" spans="1:30" ht="21" customHeight="1" x14ac:dyDescent="0.2">
      <c r="A418" s="15" t="str">
        <f t="shared" si="102"/>
        <v/>
      </c>
      <c r="B418" s="34"/>
      <c r="C418" s="20" t="str">
        <f t="shared" si="86"/>
        <v/>
      </c>
      <c r="D418" s="21"/>
      <c r="E418" s="20"/>
      <c r="F418" s="18"/>
      <c r="G418" s="9"/>
      <c r="H418" s="19"/>
      <c r="M418" s="9" t="str">
        <f>IF(D418=$M$3,1,"")</f>
        <v/>
      </c>
      <c r="N418" s="9" t="str">
        <f>IF(D418=$N$3,1,"")</f>
        <v/>
      </c>
      <c r="O418" s="9" t="str">
        <f>IF(D418=$O$3,1,"")</f>
        <v/>
      </c>
      <c r="P418" s="9" t="str">
        <f>IF(D418=$P$3,1,"")</f>
        <v/>
      </c>
      <c r="Q418" s="9" t="str">
        <f>IF(D418=$Q$3,1,"")</f>
        <v/>
      </c>
      <c r="R418" s="9" t="str">
        <f>IF(D418=$R$3,1,"")</f>
        <v/>
      </c>
      <c r="S418" s="9" t="str">
        <f>IF(D418=$S$3,1,"")</f>
        <v/>
      </c>
      <c r="T418" s="9" t="str">
        <f>IF(D418=$T$3,1,"")</f>
        <v/>
      </c>
      <c r="U418" s="9" t="str">
        <f>IF(D418=$U$3,1,"")</f>
        <v/>
      </c>
      <c r="V418" s="9" t="str">
        <f>IF(D418=$V$3,1,"")</f>
        <v/>
      </c>
      <c r="W418" s="9" t="str">
        <f>IF(D418=$W$3,1,"")</f>
        <v/>
      </c>
      <c r="X418" s="9" t="str">
        <f>IF(D418=$X$3,1,"")</f>
        <v/>
      </c>
      <c r="Y418" s="9" t="e">
        <f>IF(#REF!=$X$3,1,"")</f>
        <v>#REF!</v>
      </c>
      <c r="Z418" s="9">
        <f t="shared" si="103"/>
        <v>1</v>
      </c>
      <c r="AA418" s="9">
        <f t="shared" si="104"/>
        <v>1</v>
      </c>
      <c r="AB418" s="9">
        <f t="shared" si="105"/>
        <v>1</v>
      </c>
      <c r="AC418" s="9">
        <f t="shared" si="106"/>
        <v>1</v>
      </c>
      <c r="AD418" s="9">
        <f t="shared" si="107"/>
        <v>1</v>
      </c>
    </row>
    <row r="419" spans="1:30" ht="21" customHeight="1" x14ac:dyDescent="0.2">
      <c r="A419" s="15" t="str">
        <f t="shared" si="102"/>
        <v/>
      </c>
      <c r="B419" s="34"/>
      <c r="C419" s="20" t="str">
        <f t="shared" si="86"/>
        <v/>
      </c>
      <c r="D419" s="21"/>
      <c r="E419" s="20"/>
      <c r="F419" s="18"/>
      <c r="G419" s="9"/>
      <c r="H419" s="19"/>
      <c r="M419" s="9" t="str">
        <f>IF(D419=$M$3,1,"")</f>
        <v/>
      </c>
      <c r="N419" s="9" t="str">
        <f>IF(D419=$N$3,1,"")</f>
        <v/>
      </c>
      <c r="O419" s="9" t="str">
        <f>IF(D419=$O$3,1,"")</f>
        <v/>
      </c>
      <c r="P419" s="9" t="str">
        <f>IF(D419=$P$3,1,"")</f>
        <v/>
      </c>
      <c r="Q419" s="9" t="str">
        <f>IF(D419=$Q$3,1,"")</f>
        <v/>
      </c>
      <c r="R419" s="9" t="str">
        <f>IF(D419=$R$3,1,"")</f>
        <v/>
      </c>
      <c r="S419" s="9" t="str">
        <f>IF(D419=$S$3,1,"")</f>
        <v/>
      </c>
      <c r="T419" s="9" t="str">
        <f>IF(D419=$T$3,1,"")</f>
        <v/>
      </c>
      <c r="U419" s="9" t="str">
        <f>IF(D419=$U$3,1,"")</f>
        <v/>
      </c>
      <c r="V419" s="9" t="str">
        <f>IF(D419=$V$3,1,"")</f>
        <v/>
      </c>
      <c r="W419" s="9" t="str">
        <f>IF(D419=$W$3,1,"")</f>
        <v/>
      </c>
      <c r="X419" s="9" t="str">
        <f>IF(D419=$X$3,1,"")</f>
        <v/>
      </c>
      <c r="Y419" s="9" t="e">
        <f>IF(#REF!=$X$3,1,"")</f>
        <v>#REF!</v>
      </c>
      <c r="Z419" s="9">
        <f t="shared" si="103"/>
        <v>1</v>
      </c>
      <c r="AA419" s="9">
        <f t="shared" si="104"/>
        <v>1</v>
      </c>
      <c r="AB419" s="9">
        <f t="shared" si="105"/>
        <v>1</v>
      </c>
      <c r="AC419" s="9">
        <f t="shared" si="106"/>
        <v>1</v>
      </c>
      <c r="AD419" s="9">
        <f t="shared" si="107"/>
        <v>1</v>
      </c>
    </row>
    <row r="420" spans="1:30" ht="21" customHeight="1" x14ac:dyDescent="0.2">
      <c r="A420" s="15" t="str">
        <f t="shared" si="102"/>
        <v/>
      </c>
      <c r="B420" s="34"/>
      <c r="C420" s="20" t="str">
        <f t="shared" si="86"/>
        <v/>
      </c>
      <c r="D420" s="21"/>
      <c r="E420" s="20"/>
      <c r="F420" s="18"/>
      <c r="G420" s="9"/>
      <c r="H420" s="19"/>
      <c r="M420" s="9" t="str">
        <f>IF(D420=$M$3,1,"")</f>
        <v/>
      </c>
      <c r="N420" s="9" t="str">
        <f>IF(D420=$N$3,1,"")</f>
        <v/>
      </c>
      <c r="O420" s="9" t="str">
        <f>IF(D420=$O$3,1,"")</f>
        <v/>
      </c>
      <c r="P420" s="9" t="str">
        <f>IF(D420=$P$3,1,"")</f>
        <v/>
      </c>
      <c r="Q420" s="9" t="str">
        <f>IF(D420=$Q$3,1,"")</f>
        <v/>
      </c>
      <c r="R420" s="9" t="str">
        <f>IF(D420=$R$3,1,"")</f>
        <v/>
      </c>
      <c r="S420" s="9" t="str">
        <f>IF(D420=$S$3,1,"")</f>
        <v/>
      </c>
      <c r="T420" s="9" t="str">
        <f>IF(D420=$T$3,1,"")</f>
        <v/>
      </c>
      <c r="U420" s="9" t="str">
        <f>IF(D420=$U$3,1,"")</f>
        <v/>
      </c>
      <c r="V420" s="9" t="str">
        <f>IF(D420=$V$3,1,"")</f>
        <v/>
      </c>
      <c r="W420" s="9" t="str">
        <f>IF(D420=$W$3,1,"")</f>
        <v/>
      </c>
      <c r="X420" s="9" t="str">
        <f>IF(D420=$X$3,1,"")</f>
        <v/>
      </c>
      <c r="Y420" s="9" t="e">
        <f>IF(#REF!=$X$3,1,"")</f>
        <v>#REF!</v>
      </c>
      <c r="Z420" s="9">
        <f t="shared" si="103"/>
        <v>1</v>
      </c>
      <c r="AA420" s="9">
        <f t="shared" si="104"/>
        <v>1</v>
      </c>
      <c r="AB420" s="9">
        <f t="shared" si="105"/>
        <v>1</v>
      </c>
      <c r="AC420" s="9">
        <f t="shared" si="106"/>
        <v>1</v>
      </c>
      <c r="AD420" s="9">
        <f t="shared" si="107"/>
        <v>1</v>
      </c>
    </row>
    <row r="421" spans="1:30" ht="21" customHeight="1" x14ac:dyDescent="0.2">
      <c r="A421" s="15" t="str">
        <f t="shared" si="102"/>
        <v/>
      </c>
      <c r="B421" s="34"/>
      <c r="C421" s="20" t="str">
        <f t="shared" si="86"/>
        <v/>
      </c>
      <c r="D421" s="21"/>
      <c r="E421" s="20"/>
      <c r="F421" s="18"/>
      <c r="G421" s="9"/>
      <c r="H421" s="19"/>
      <c r="M421" s="9" t="str">
        <f>IF(D421=$M$3,1,"")</f>
        <v/>
      </c>
      <c r="N421" s="9" t="str">
        <f>IF(D421=$N$3,1,"")</f>
        <v/>
      </c>
      <c r="O421" s="9" t="str">
        <f>IF(D421=$O$3,1,"")</f>
        <v/>
      </c>
      <c r="P421" s="9" t="str">
        <f>IF(D421=$P$3,1,"")</f>
        <v/>
      </c>
      <c r="Q421" s="9" t="str">
        <f>IF(D421=$Q$3,1,"")</f>
        <v/>
      </c>
      <c r="R421" s="9" t="str">
        <f>IF(D421=$R$3,1,"")</f>
        <v/>
      </c>
      <c r="S421" s="9" t="str">
        <f>IF(D421=$S$3,1,"")</f>
        <v/>
      </c>
      <c r="T421" s="9" t="str">
        <f>IF(D421=$T$3,1,"")</f>
        <v/>
      </c>
      <c r="U421" s="9" t="str">
        <f>IF(D421=$U$3,1,"")</f>
        <v/>
      </c>
      <c r="V421" s="9" t="str">
        <f>IF(D421=$V$3,1,"")</f>
        <v/>
      </c>
      <c r="W421" s="9" t="str">
        <f>IF(D421=$W$3,1,"")</f>
        <v/>
      </c>
      <c r="X421" s="9" t="str">
        <f>IF(D421=$X$3,1,"")</f>
        <v/>
      </c>
      <c r="Y421" s="9" t="e">
        <f>IF(#REF!=$X$3,1,"")</f>
        <v>#REF!</v>
      </c>
      <c r="Z421" s="9">
        <f t="shared" si="103"/>
        <v>1</v>
      </c>
      <c r="AA421" s="9">
        <f t="shared" si="104"/>
        <v>1</v>
      </c>
      <c r="AB421" s="9">
        <f t="shared" si="105"/>
        <v>1</v>
      </c>
      <c r="AC421" s="9">
        <f t="shared" si="106"/>
        <v>1</v>
      </c>
      <c r="AD421" s="9">
        <f t="shared" si="107"/>
        <v>1</v>
      </c>
    </row>
    <row r="422" spans="1:30" ht="21" customHeight="1" x14ac:dyDescent="0.2">
      <c r="A422" s="15" t="str">
        <f t="shared" si="102"/>
        <v/>
      </c>
      <c r="B422" s="34"/>
      <c r="C422" s="20" t="str">
        <f t="shared" si="86"/>
        <v/>
      </c>
      <c r="D422" s="21"/>
      <c r="E422" s="20"/>
      <c r="F422" s="18"/>
      <c r="G422" s="9"/>
      <c r="H422" s="19"/>
      <c r="M422" s="9" t="str">
        <f>IF(D422=$M$3,1,"")</f>
        <v/>
      </c>
      <c r="N422" s="9" t="str">
        <f>IF(D422=$N$3,1,"")</f>
        <v/>
      </c>
      <c r="O422" s="9" t="str">
        <f>IF(D422=$O$3,1,"")</f>
        <v/>
      </c>
      <c r="P422" s="9" t="str">
        <f>IF(D422=$P$3,1,"")</f>
        <v/>
      </c>
      <c r="Q422" s="9" t="str">
        <f>IF(D422=$Q$3,1,"")</f>
        <v/>
      </c>
      <c r="R422" s="9" t="str">
        <f>IF(D422=$R$3,1,"")</f>
        <v/>
      </c>
      <c r="S422" s="9" t="str">
        <f>IF(D422=$S$3,1,"")</f>
        <v/>
      </c>
      <c r="T422" s="9" t="str">
        <f>IF(D422=$T$3,1,"")</f>
        <v/>
      </c>
      <c r="U422" s="9" t="str">
        <f>IF(D422=$U$3,1,"")</f>
        <v/>
      </c>
      <c r="V422" s="9" t="str">
        <f>IF(D422=$V$3,1,"")</f>
        <v/>
      </c>
      <c r="W422" s="9" t="str">
        <f>IF(D422=$W$3,1,"")</f>
        <v/>
      </c>
      <c r="X422" s="9" t="str">
        <f>IF(D422=$X$3,1,"")</f>
        <v/>
      </c>
      <c r="Y422" s="9" t="e">
        <f>IF(#REF!=$X$3,1,"")</f>
        <v>#REF!</v>
      </c>
      <c r="Z422" s="9">
        <f t="shared" si="103"/>
        <v>1</v>
      </c>
      <c r="AA422" s="9">
        <f t="shared" si="104"/>
        <v>1</v>
      </c>
      <c r="AB422" s="9">
        <f t="shared" si="105"/>
        <v>1</v>
      </c>
      <c r="AC422" s="9">
        <f t="shared" si="106"/>
        <v>1</v>
      </c>
      <c r="AD422" s="9">
        <f t="shared" si="107"/>
        <v>1</v>
      </c>
    </row>
    <row r="423" spans="1:30" ht="21" customHeight="1" x14ac:dyDescent="0.2">
      <c r="A423" s="15" t="str">
        <f t="shared" si="102"/>
        <v/>
      </c>
      <c r="B423" s="34"/>
      <c r="C423" s="20" t="str">
        <f t="shared" si="86"/>
        <v/>
      </c>
      <c r="D423" s="21"/>
      <c r="E423" s="20"/>
      <c r="F423" s="18"/>
      <c r="G423" s="9"/>
      <c r="H423" s="19"/>
      <c r="M423" s="9" t="str">
        <f>IF(D423=$M$3,1,"")</f>
        <v/>
      </c>
      <c r="N423" s="9" t="str">
        <f>IF(D423=$N$3,1,"")</f>
        <v/>
      </c>
      <c r="O423" s="9" t="str">
        <f>IF(D423=$O$3,1,"")</f>
        <v/>
      </c>
      <c r="P423" s="9" t="str">
        <f>IF(D423=$P$3,1,"")</f>
        <v/>
      </c>
      <c r="Q423" s="9" t="str">
        <f>IF(D423=$Q$3,1,"")</f>
        <v/>
      </c>
      <c r="R423" s="9" t="str">
        <f>IF(D423=$R$3,1,"")</f>
        <v/>
      </c>
      <c r="S423" s="9" t="str">
        <f>IF(D423=$S$3,1,"")</f>
        <v/>
      </c>
      <c r="T423" s="9" t="str">
        <f>IF(D423=$T$3,1,"")</f>
        <v/>
      </c>
      <c r="U423" s="9" t="str">
        <f>IF(D423=$U$3,1,"")</f>
        <v/>
      </c>
      <c r="V423" s="9" t="str">
        <f>IF(D423=$V$3,1,"")</f>
        <v/>
      </c>
      <c r="W423" s="9" t="str">
        <f>IF(D423=$W$3,1,"")</f>
        <v/>
      </c>
      <c r="X423" s="9" t="str">
        <f>IF(D423=$X$3,1,"")</f>
        <v/>
      </c>
      <c r="Y423" s="9" t="e">
        <f>IF(#REF!=$X$3,1,"")</f>
        <v>#REF!</v>
      </c>
      <c r="Z423" s="9">
        <f t="shared" si="103"/>
        <v>1</v>
      </c>
      <c r="AA423" s="9">
        <f t="shared" si="104"/>
        <v>1</v>
      </c>
      <c r="AB423" s="9">
        <f t="shared" si="105"/>
        <v>1</v>
      </c>
      <c r="AC423" s="9">
        <f t="shared" si="106"/>
        <v>1</v>
      </c>
      <c r="AD423" s="9">
        <f t="shared" si="107"/>
        <v>1</v>
      </c>
    </row>
    <row r="424" spans="1:30" ht="21" customHeight="1" x14ac:dyDescent="0.2">
      <c r="A424" s="15" t="str">
        <f t="shared" si="102"/>
        <v/>
      </c>
      <c r="B424" s="34"/>
      <c r="C424" s="20" t="str">
        <f t="shared" si="86"/>
        <v/>
      </c>
      <c r="D424" s="21"/>
      <c r="E424" s="20"/>
      <c r="F424" s="18"/>
      <c r="G424" s="9"/>
      <c r="H424" s="19"/>
      <c r="M424" s="9" t="str">
        <f>IF(D424=$M$3,1,"")</f>
        <v/>
      </c>
      <c r="N424" s="9" t="str">
        <f>IF(D424=$N$3,1,"")</f>
        <v/>
      </c>
      <c r="O424" s="9" t="str">
        <f>IF(D424=$O$3,1,"")</f>
        <v/>
      </c>
      <c r="P424" s="9" t="str">
        <f>IF(D424=$P$3,1,"")</f>
        <v/>
      </c>
      <c r="Q424" s="9" t="str">
        <f>IF(D424=$Q$3,1,"")</f>
        <v/>
      </c>
      <c r="R424" s="9" t="str">
        <f>IF(D424=$R$3,1,"")</f>
        <v/>
      </c>
      <c r="S424" s="9" t="str">
        <f>IF(D424=$S$3,1,"")</f>
        <v/>
      </c>
      <c r="T424" s="9" t="str">
        <f>IF(D424=$T$3,1,"")</f>
        <v/>
      </c>
      <c r="U424" s="9" t="str">
        <f>IF(D424=$U$3,1,"")</f>
        <v/>
      </c>
      <c r="V424" s="9" t="str">
        <f>IF(D424=$V$3,1,"")</f>
        <v/>
      </c>
      <c r="W424" s="9" t="str">
        <f>IF(D424=$W$3,1,"")</f>
        <v/>
      </c>
      <c r="X424" s="9" t="str">
        <f>IF(D424=$X$3,1,"")</f>
        <v/>
      </c>
      <c r="Y424" s="9" t="e">
        <f>IF(#REF!=$X$3,1,"")</f>
        <v>#REF!</v>
      </c>
      <c r="Z424" s="9">
        <f t="shared" si="103"/>
        <v>1</v>
      </c>
      <c r="AA424" s="9">
        <f t="shared" si="104"/>
        <v>1</v>
      </c>
      <c r="AB424" s="9">
        <f t="shared" si="105"/>
        <v>1</v>
      </c>
      <c r="AC424" s="9">
        <f t="shared" si="106"/>
        <v>1</v>
      </c>
      <c r="AD424" s="9">
        <f t="shared" si="107"/>
        <v>1</v>
      </c>
    </row>
    <row r="425" spans="1:30" ht="21" customHeight="1" x14ac:dyDescent="0.2">
      <c r="A425" s="15" t="str">
        <f t="shared" si="102"/>
        <v/>
      </c>
      <c r="B425" s="34"/>
      <c r="C425" s="20" t="str">
        <f t="shared" si="86"/>
        <v/>
      </c>
      <c r="D425" s="21"/>
      <c r="E425" s="20"/>
      <c r="F425" s="18"/>
      <c r="G425" s="9"/>
      <c r="H425" s="19"/>
      <c r="M425" s="9" t="str">
        <f>IF(D425=$M$3,1,"")</f>
        <v/>
      </c>
      <c r="N425" s="9" t="str">
        <f>IF(D425=$N$3,1,"")</f>
        <v/>
      </c>
      <c r="O425" s="9" t="str">
        <f>IF(D425=$O$3,1,"")</f>
        <v/>
      </c>
      <c r="P425" s="9" t="str">
        <f>IF(D425=$P$3,1,"")</f>
        <v/>
      </c>
      <c r="Q425" s="9" t="str">
        <f>IF(D425=$Q$3,1,"")</f>
        <v/>
      </c>
      <c r="R425" s="9" t="str">
        <f>IF(D425=$R$3,1,"")</f>
        <v/>
      </c>
      <c r="S425" s="9" t="str">
        <f>IF(D425=$S$3,1,"")</f>
        <v/>
      </c>
      <c r="T425" s="9" t="str">
        <f>IF(D425=$T$3,1,"")</f>
        <v/>
      </c>
      <c r="U425" s="9" t="str">
        <f>IF(D425=$U$3,1,"")</f>
        <v/>
      </c>
      <c r="V425" s="9" t="str">
        <f>IF(D425=$V$3,1,"")</f>
        <v/>
      </c>
      <c r="W425" s="9" t="str">
        <f>IF(D425=$W$3,1,"")</f>
        <v/>
      </c>
      <c r="X425" s="9" t="str">
        <f>IF(D425=$X$3,1,"")</f>
        <v/>
      </c>
      <c r="Y425" s="9" t="e">
        <f>IF(#REF!=$X$3,1,"")</f>
        <v>#REF!</v>
      </c>
      <c r="Z425" s="9">
        <f t="shared" si="103"/>
        <v>1</v>
      </c>
      <c r="AA425" s="9">
        <f t="shared" si="104"/>
        <v>1</v>
      </c>
      <c r="AB425" s="9">
        <f t="shared" si="105"/>
        <v>1</v>
      </c>
      <c r="AC425" s="9">
        <f t="shared" si="106"/>
        <v>1</v>
      </c>
      <c r="AD425" s="9">
        <f t="shared" si="107"/>
        <v>1</v>
      </c>
    </row>
    <row r="426" spans="1:30" ht="21" customHeight="1" x14ac:dyDescent="0.2">
      <c r="A426" s="15" t="str">
        <f t="shared" si="102"/>
        <v/>
      </c>
      <c r="B426" s="34"/>
      <c r="C426" s="20" t="str">
        <f t="shared" si="86"/>
        <v/>
      </c>
      <c r="D426" s="21"/>
      <c r="E426" s="20"/>
      <c r="F426" s="18"/>
      <c r="G426" s="9"/>
      <c r="H426" s="19"/>
      <c r="M426" s="9" t="str">
        <f>IF(D426=$M$3,1,"")</f>
        <v/>
      </c>
      <c r="N426" s="9" t="str">
        <f>IF(D426=$N$3,1,"")</f>
        <v/>
      </c>
      <c r="O426" s="9" t="str">
        <f>IF(D426=$O$3,1,"")</f>
        <v/>
      </c>
      <c r="P426" s="9" t="str">
        <f>IF(D426=$P$3,1,"")</f>
        <v/>
      </c>
      <c r="Q426" s="9" t="str">
        <f>IF(D426=$Q$3,1,"")</f>
        <v/>
      </c>
      <c r="R426" s="9" t="str">
        <f>IF(D426=$R$3,1,"")</f>
        <v/>
      </c>
      <c r="S426" s="9" t="str">
        <f>IF(D426=$S$3,1,"")</f>
        <v/>
      </c>
      <c r="T426" s="9" t="str">
        <f>IF(D426=$T$3,1,"")</f>
        <v/>
      </c>
      <c r="U426" s="9" t="str">
        <f>IF(D426=$U$3,1,"")</f>
        <v/>
      </c>
      <c r="V426" s="9" t="str">
        <f>IF(D426=$V$3,1,"")</f>
        <v/>
      </c>
      <c r="W426" s="9" t="str">
        <f>IF(D426=$W$3,1,"")</f>
        <v/>
      </c>
      <c r="X426" s="9" t="str">
        <f>IF(D426=$X$3,1,"")</f>
        <v/>
      </c>
      <c r="Y426" s="9" t="e">
        <f>IF(#REF!=$X$3,1,"")</f>
        <v>#REF!</v>
      </c>
      <c r="Z426" s="9">
        <f t="shared" si="103"/>
        <v>1</v>
      </c>
      <c r="AA426" s="9">
        <f t="shared" si="104"/>
        <v>1</v>
      </c>
      <c r="AB426" s="9">
        <f t="shared" si="105"/>
        <v>1</v>
      </c>
      <c r="AC426" s="9">
        <f t="shared" si="106"/>
        <v>1</v>
      </c>
      <c r="AD426" s="9">
        <f t="shared" si="107"/>
        <v>1</v>
      </c>
    </row>
    <row r="427" spans="1:30" ht="21" customHeight="1" x14ac:dyDescent="0.2">
      <c r="A427" s="15" t="str">
        <f t="shared" si="102"/>
        <v/>
      </c>
      <c r="B427" s="34"/>
      <c r="C427" s="20" t="str">
        <f t="shared" si="86"/>
        <v/>
      </c>
      <c r="D427" s="21"/>
      <c r="E427" s="20"/>
      <c r="F427" s="18"/>
      <c r="G427" s="9"/>
      <c r="H427" s="19"/>
      <c r="M427" s="9" t="str">
        <f>IF(D427=$M$3,1,"")</f>
        <v/>
      </c>
      <c r="N427" s="9" t="str">
        <f>IF(D427=$N$3,1,"")</f>
        <v/>
      </c>
      <c r="O427" s="9" t="str">
        <f>IF(D427=$O$3,1,"")</f>
        <v/>
      </c>
      <c r="P427" s="9" t="str">
        <f>IF(D427=$P$3,1,"")</f>
        <v/>
      </c>
      <c r="Q427" s="9" t="str">
        <f>IF(D427=$Q$3,1,"")</f>
        <v/>
      </c>
      <c r="R427" s="9" t="str">
        <f>IF(D427=$R$3,1,"")</f>
        <v/>
      </c>
      <c r="S427" s="9" t="str">
        <f>IF(D427=$S$3,1,"")</f>
        <v/>
      </c>
      <c r="T427" s="9" t="str">
        <f>IF(D427=$T$3,1,"")</f>
        <v/>
      </c>
      <c r="U427" s="9" t="str">
        <f>IF(D427=$U$3,1,"")</f>
        <v/>
      </c>
      <c r="V427" s="9" t="str">
        <f>IF(D427=$V$3,1,"")</f>
        <v/>
      </c>
      <c r="W427" s="9" t="str">
        <f>IF(D427=$W$3,1,"")</f>
        <v/>
      </c>
      <c r="X427" s="9" t="str">
        <f>IF(D427=$X$3,1,"")</f>
        <v/>
      </c>
      <c r="Y427" s="9" t="e">
        <f>IF(#REF!=$X$3,1,"")</f>
        <v>#REF!</v>
      </c>
      <c r="Z427" s="9">
        <f t="shared" si="103"/>
        <v>1</v>
      </c>
      <c r="AA427" s="9">
        <f t="shared" si="104"/>
        <v>1</v>
      </c>
      <c r="AB427" s="9">
        <f t="shared" si="105"/>
        <v>1</v>
      </c>
      <c r="AC427" s="9">
        <f t="shared" si="106"/>
        <v>1</v>
      </c>
      <c r="AD427" s="9">
        <f t="shared" si="107"/>
        <v>1</v>
      </c>
    </row>
    <row r="428" spans="1:30" ht="21" customHeight="1" x14ac:dyDescent="0.2">
      <c r="A428" s="15" t="str">
        <f t="shared" si="102"/>
        <v/>
      </c>
      <c r="B428" s="34"/>
      <c r="C428" s="20" t="str">
        <f t="shared" si="86"/>
        <v/>
      </c>
      <c r="D428" s="21"/>
      <c r="E428" s="20"/>
      <c r="F428" s="18"/>
      <c r="G428" s="9"/>
      <c r="H428" s="19"/>
      <c r="M428" s="9" t="str">
        <f>IF(D428=$M$3,1,"")</f>
        <v/>
      </c>
      <c r="N428" s="9" t="str">
        <f>IF(D428=$N$3,1,"")</f>
        <v/>
      </c>
      <c r="O428" s="9" t="str">
        <f>IF(D428=$O$3,1,"")</f>
        <v/>
      </c>
      <c r="P428" s="9" t="str">
        <f>IF(D428=$P$3,1,"")</f>
        <v/>
      </c>
      <c r="Q428" s="9" t="str">
        <f>IF(D428=$Q$3,1,"")</f>
        <v/>
      </c>
      <c r="R428" s="9" t="str">
        <f>IF(D428=$R$3,1,"")</f>
        <v/>
      </c>
      <c r="S428" s="9" t="str">
        <f>IF(D428=$S$3,1,"")</f>
        <v/>
      </c>
      <c r="T428" s="9" t="str">
        <f>IF(D428=$T$3,1,"")</f>
        <v/>
      </c>
      <c r="U428" s="9" t="str">
        <f>IF(D428=$U$3,1,"")</f>
        <v/>
      </c>
      <c r="V428" s="9" t="str">
        <f>IF(D428=$V$3,1,"")</f>
        <v/>
      </c>
      <c r="W428" s="9" t="str">
        <f>IF(D428=$W$3,1,"")</f>
        <v/>
      </c>
      <c r="X428" s="9" t="str">
        <f>IF(D428=$X$3,1,"")</f>
        <v/>
      </c>
      <c r="Y428" s="9" t="e">
        <f>IF(#REF!=$X$3,1,"")</f>
        <v>#REF!</v>
      </c>
      <c r="Z428" s="9">
        <f t="shared" si="103"/>
        <v>1</v>
      </c>
      <c r="AA428" s="9">
        <f t="shared" si="104"/>
        <v>1</v>
      </c>
      <c r="AB428" s="9">
        <f t="shared" si="105"/>
        <v>1</v>
      </c>
      <c r="AC428" s="9">
        <f t="shared" si="106"/>
        <v>1</v>
      </c>
      <c r="AD428" s="9">
        <f t="shared" si="107"/>
        <v>1</v>
      </c>
    </row>
    <row r="429" spans="1:30" ht="21" customHeight="1" x14ac:dyDescent="0.2">
      <c r="A429" s="15" t="str">
        <f t="shared" si="102"/>
        <v/>
      </c>
      <c r="B429" s="34"/>
      <c r="C429" s="20" t="str">
        <f t="shared" si="86"/>
        <v/>
      </c>
      <c r="D429" s="21"/>
      <c r="E429" s="20"/>
      <c r="F429" s="18"/>
      <c r="G429" s="9"/>
      <c r="H429" s="19"/>
      <c r="M429" s="9" t="str">
        <f>IF(D429=$M$3,1,"")</f>
        <v/>
      </c>
      <c r="N429" s="9" t="str">
        <f>IF(D429=$N$3,1,"")</f>
        <v/>
      </c>
      <c r="O429" s="9" t="str">
        <f>IF(D429=$O$3,1,"")</f>
        <v/>
      </c>
      <c r="P429" s="9" t="str">
        <f>IF(D429=$P$3,1,"")</f>
        <v/>
      </c>
      <c r="Q429" s="9" t="str">
        <f>IF(D429=$Q$3,1,"")</f>
        <v/>
      </c>
      <c r="R429" s="9" t="str">
        <f>IF(D429=$R$3,1,"")</f>
        <v/>
      </c>
      <c r="S429" s="9" t="str">
        <f>IF(D429=$S$3,1,"")</f>
        <v/>
      </c>
      <c r="T429" s="9" t="str">
        <f>IF(D429=$T$3,1,"")</f>
        <v/>
      </c>
      <c r="U429" s="9" t="str">
        <f>IF(D429=$U$3,1,"")</f>
        <v/>
      </c>
      <c r="V429" s="9" t="str">
        <f>IF(D429=$V$3,1,"")</f>
        <v/>
      </c>
      <c r="W429" s="9" t="str">
        <f>IF(D429=$W$3,1,"")</f>
        <v/>
      </c>
      <c r="X429" s="9" t="str">
        <f>IF(D429=$X$3,1,"")</f>
        <v/>
      </c>
      <c r="Y429" s="9" t="e">
        <f>IF(#REF!=$X$3,1,"")</f>
        <v>#REF!</v>
      </c>
      <c r="Z429" s="9">
        <f t="shared" si="103"/>
        <v>1</v>
      </c>
      <c r="AA429" s="9">
        <f t="shared" si="104"/>
        <v>1</v>
      </c>
      <c r="AB429" s="9">
        <f t="shared" si="105"/>
        <v>1</v>
      </c>
      <c r="AC429" s="9">
        <f t="shared" si="106"/>
        <v>1</v>
      </c>
      <c r="AD429" s="9">
        <f t="shared" si="107"/>
        <v>1</v>
      </c>
    </row>
    <row r="430" spans="1:30" ht="21" customHeight="1" x14ac:dyDescent="0.2">
      <c r="A430" s="15" t="str">
        <f t="shared" si="102"/>
        <v/>
      </c>
      <c r="B430" s="34"/>
      <c r="C430" s="20" t="str">
        <f t="shared" si="86"/>
        <v/>
      </c>
      <c r="D430" s="21"/>
      <c r="E430" s="20"/>
      <c r="F430" s="18"/>
      <c r="G430" s="9"/>
      <c r="H430" s="19"/>
      <c r="M430" s="9" t="str">
        <f>IF(D430=$M$3,1,"")</f>
        <v/>
      </c>
      <c r="N430" s="9" t="str">
        <f>IF(D430=$N$3,1,"")</f>
        <v/>
      </c>
      <c r="O430" s="9" t="str">
        <f>IF(D430=$O$3,1,"")</f>
        <v/>
      </c>
      <c r="P430" s="9" t="str">
        <f>IF(D430=$P$3,1,"")</f>
        <v/>
      </c>
      <c r="Q430" s="9" t="str">
        <f>IF(D430=$Q$3,1,"")</f>
        <v/>
      </c>
      <c r="R430" s="9" t="str">
        <f>IF(D430=$R$3,1,"")</f>
        <v/>
      </c>
      <c r="S430" s="9" t="str">
        <f>IF(D430=$S$3,1,"")</f>
        <v/>
      </c>
      <c r="T430" s="9" t="str">
        <f>IF(D430=$T$3,1,"")</f>
        <v/>
      </c>
      <c r="U430" s="9" t="str">
        <f>IF(D430=$U$3,1,"")</f>
        <v/>
      </c>
      <c r="V430" s="9" t="str">
        <f>IF(D430=$V$3,1,"")</f>
        <v/>
      </c>
      <c r="W430" s="9" t="str">
        <f>IF(D430=$W$3,1,"")</f>
        <v/>
      </c>
      <c r="X430" s="9" t="str">
        <f>IF(D430=$X$3,1,"")</f>
        <v/>
      </c>
      <c r="Y430" s="9" t="e">
        <f>IF(#REF!=$X$3,1,"")</f>
        <v>#REF!</v>
      </c>
      <c r="Z430" s="9">
        <f t="shared" si="103"/>
        <v>1</v>
      </c>
      <c r="AA430" s="9">
        <f t="shared" si="104"/>
        <v>1</v>
      </c>
      <c r="AB430" s="9">
        <f t="shared" si="105"/>
        <v>1</v>
      </c>
      <c r="AC430" s="9">
        <f t="shared" si="106"/>
        <v>1</v>
      </c>
      <c r="AD430" s="9">
        <f t="shared" si="107"/>
        <v>1</v>
      </c>
    </row>
    <row r="431" spans="1:30" ht="21" customHeight="1" x14ac:dyDescent="0.2">
      <c r="A431" s="15" t="str">
        <f t="shared" si="102"/>
        <v/>
      </c>
      <c r="B431" s="34"/>
      <c r="C431" s="20" t="str">
        <f t="shared" si="86"/>
        <v/>
      </c>
      <c r="D431" s="21"/>
      <c r="E431" s="20"/>
      <c r="F431" s="18"/>
      <c r="G431" s="9"/>
      <c r="H431" s="19"/>
      <c r="M431" s="9" t="str">
        <f>IF(D431=$M$3,1,"")</f>
        <v/>
      </c>
      <c r="N431" s="9" t="str">
        <f>IF(D431=$N$3,1,"")</f>
        <v/>
      </c>
      <c r="O431" s="9" t="str">
        <f>IF(D431=$O$3,1,"")</f>
        <v/>
      </c>
      <c r="P431" s="9" t="str">
        <f>IF(D431=$P$3,1,"")</f>
        <v/>
      </c>
      <c r="Q431" s="9" t="str">
        <f>IF(D431=$Q$3,1,"")</f>
        <v/>
      </c>
      <c r="R431" s="9" t="str">
        <f>IF(D431=$R$3,1,"")</f>
        <v/>
      </c>
      <c r="S431" s="9" t="str">
        <f>IF(D431=$S$3,1,"")</f>
        <v/>
      </c>
      <c r="T431" s="9" t="str">
        <f>IF(D431=$T$3,1,"")</f>
        <v/>
      </c>
      <c r="U431" s="9" t="str">
        <f>IF(D431=$U$3,1,"")</f>
        <v/>
      </c>
      <c r="V431" s="9" t="str">
        <f>IF(D431=$V$3,1,"")</f>
        <v/>
      </c>
      <c r="W431" s="9" t="str">
        <f>IF(D431=$W$3,1,"")</f>
        <v/>
      </c>
      <c r="X431" s="9" t="str">
        <f>IF(D431=$X$3,1,"")</f>
        <v/>
      </c>
      <c r="Y431" s="9" t="e">
        <f>IF(#REF!=$X$3,1,"")</f>
        <v>#REF!</v>
      </c>
      <c r="Z431" s="9">
        <f t="shared" si="103"/>
        <v>1</v>
      </c>
      <c r="AA431" s="9">
        <f t="shared" si="104"/>
        <v>1</v>
      </c>
      <c r="AB431" s="9">
        <f t="shared" si="105"/>
        <v>1</v>
      </c>
      <c r="AC431" s="9">
        <f t="shared" si="106"/>
        <v>1</v>
      </c>
      <c r="AD431" s="9">
        <f t="shared" si="107"/>
        <v>1</v>
      </c>
    </row>
    <row r="432" spans="1:30" ht="21" customHeight="1" x14ac:dyDescent="0.2">
      <c r="A432" s="15" t="str">
        <f t="shared" si="102"/>
        <v/>
      </c>
      <c r="B432" s="34"/>
      <c r="C432" s="20" t="str">
        <f t="shared" si="86"/>
        <v/>
      </c>
      <c r="D432" s="21"/>
      <c r="E432" s="20"/>
      <c r="F432" s="18"/>
      <c r="G432" s="9"/>
      <c r="H432" s="19"/>
      <c r="M432" s="9" t="str">
        <f>IF(D432=$M$3,1,"")</f>
        <v/>
      </c>
      <c r="N432" s="9" t="str">
        <f>IF(D432=$N$3,1,"")</f>
        <v/>
      </c>
      <c r="O432" s="9" t="str">
        <f>IF(D432=$O$3,1,"")</f>
        <v/>
      </c>
      <c r="P432" s="9" t="str">
        <f>IF(D432=$P$3,1,"")</f>
        <v/>
      </c>
      <c r="Q432" s="9" t="str">
        <f>IF(D432=$Q$3,1,"")</f>
        <v/>
      </c>
      <c r="R432" s="9" t="str">
        <f>IF(D432=$R$3,1,"")</f>
        <v/>
      </c>
      <c r="S432" s="9" t="str">
        <f>IF(D432=$S$3,1,"")</f>
        <v/>
      </c>
      <c r="T432" s="9" t="str">
        <f>IF(D432=$T$3,1,"")</f>
        <v/>
      </c>
      <c r="U432" s="9" t="str">
        <f>IF(D432=$U$3,1,"")</f>
        <v/>
      </c>
      <c r="V432" s="9" t="str">
        <f>IF(D432=$V$3,1,"")</f>
        <v/>
      </c>
      <c r="W432" s="9" t="str">
        <f>IF(D432=$W$3,1,"")</f>
        <v/>
      </c>
      <c r="X432" s="9" t="str">
        <f>IF(D432=$X$3,1,"")</f>
        <v/>
      </c>
      <c r="Y432" s="9" t="e">
        <f>IF(#REF!=$X$3,1,"")</f>
        <v>#REF!</v>
      </c>
      <c r="Z432" s="9">
        <f t="shared" si="103"/>
        <v>1</v>
      </c>
      <c r="AA432" s="9">
        <f t="shared" si="104"/>
        <v>1</v>
      </c>
      <c r="AB432" s="9">
        <f t="shared" si="105"/>
        <v>1</v>
      </c>
      <c r="AC432" s="9">
        <f t="shared" si="106"/>
        <v>1</v>
      </c>
      <c r="AD432" s="9">
        <f t="shared" si="107"/>
        <v>1</v>
      </c>
    </row>
    <row r="433" spans="1:30" ht="21" customHeight="1" x14ac:dyDescent="0.2">
      <c r="A433" s="15" t="str">
        <f t="shared" si="102"/>
        <v/>
      </c>
      <c r="B433" s="34"/>
      <c r="C433" s="20" t="str">
        <f t="shared" si="86"/>
        <v/>
      </c>
      <c r="D433" s="21"/>
      <c r="E433" s="20"/>
      <c r="F433" s="18"/>
      <c r="G433" s="9"/>
      <c r="H433" s="19"/>
      <c r="M433" s="9" t="str">
        <f>IF(D433=$M$3,1,"")</f>
        <v/>
      </c>
      <c r="N433" s="9" t="str">
        <f>IF(D433=$N$3,1,"")</f>
        <v/>
      </c>
      <c r="O433" s="9" t="str">
        <f>IF(D433=$O$3,1,"")</f>
        <v/>
      </c>
      <c r="P433" s="9" t="str">
        <f>IF(D433=$P$3,1,"")</f>
        <v/>
      </c>
      <c r="Q433" s="9" t="str">
        <f>IF(D433=$Q$3,1,"")</f>
        <v/>
      </c>
      <c r="R433" s="9" t="str">
        <f>IF(D433=$R$3,1,"")</f>
        <v/>
      </c>
      <c r="S433" s="9" t="str">
        <f>IF(D433=$S$3,1,"")</f>
        <v/>
      </c>
      <c r="T433" s="9" t="str">
        <f>IF(D433=$T$3,1,"")</f>
        <v/>
      </c>
      <c r="U433" s="9" t="str">
        <f>IF(D433=$U$3,1,"")</f>
        <v/>
      </c>
      <c r="V433" s="9" t="str">
        <f>IF(D433=$V$3,1,"")</f>
        <v/>
      </c>
      <c r="W433" s="9" t="str">
        <f>IF(D433=$W$3,1,"")</f>
        <v/>
      </c>
      <c r="X433" s="9" t="str">
        <f>IF(D433=$X$3,1,"")</f>
        <v/>
      </c>
      <c r="Y433" s="9" t="e">
        <f>IF(#REF!=$X$3,1,"")</f>
        <v>#REF!</v>
      </c>
      <c r="Z433" s="9">
        <f t="shared" si="103"/>
        <v>1</v>
      </c>
      <c r="AA433" s="9">
        <f t="shared" si="104"/>
        <v>1</v>
      </c>
      <c r="AB433" s="9">
        <f t="shared" si="105"/>
        <v>1</v>
      </c>
      <c r="AC433" s="9">
        <f t="shared" si="106"/>
        <v>1</v>
      </c>
      <c r="AD433" s="9">
        <f t="shared" si="107"/>
        <v>1</v>
      </c>
    </row>
    <row r="434" spans="1:30" ht="21" customHeight="1" x14ac:dyDescent="0.2">
      <c r="A434" s="15" t="str">
        <f t="shared" si="102"/>
        <v/>
      </c>
      <c r="B434" s="34"/>
      <c r="C434" s="20" t="str">
        <f t="shared" si="86"/>
        <v/>
      </c>
      <c r="D434" s="21"/>
      <c r="E434" s="20"/>
      <c r="F434" s="18"/>
      <c r="G434" s="9"/>
      <c r="H434" s="19"/>
      <c r="M434" s="9" t="str">
        <f>IF(D434=$M$3,1,"")</f>
        <v/>
      </c>
      <c r="N434" s="9" t="str">
        <f>IF(D434=$N$3,1,"")</f>
        <v/>
      </c>
      <c r="O434" s="9" t="str">
        <f>IF(D434=$O$3,1,"")</f>
        <v/>
      </c>
      <c r="P434" s="9" t="str">
        <f>IF(D434=$P$3,1,"")</f>
        <v/>
      </c>
      <c r="Q434" s="9" t="str">
        <f>IF(D434=$Q$3,1,"")</f>
        <v/>
      </c>
      <c r="R434" s="9" t="str">
        <f>IF(D434=$R$3,1,"")</f>
        <v/>
      </c>
      <c r="S434" s="9" t="str">
        <f>IF(D434=$S$3,1,"")</f>
        <v/>
      </c>
      <c r="T434" s="9" t="str">
        <f>IF(D434=$T$3,1,"")</f>
        <v/>
      </c>
      <c r="U434" s="9" t="str">
        <f>IF(D434=$U$3,1,"")</f>
        <v/>
      </c>
      <c r="V434" s="9" t="str">
        <f>IF(D434=$V$3,1,"")</f>
        <v/>
      </c>
      <c r="W434" s="9" t="str">
        <f>IF(D434=$W$3,1,"")</f>
        <v/>
      </c>
      <c r="X434" s="9" t="str">
        <f>IF(D434=$X$3,1,"")</f>
        <v/>
      </c>
      <c r="Y434" s="9" t="e">
        <f>IF(#REF!=$X$3,1,"")</f>
        <v>#REF!</v>
      </c>
      <c r="Z434" s="9">
        <f t="shared" si="103"/>
        <v>1</v>
      </c>
      <c r="AA434" s="9">
        <f t="shared" si="104"/>
        <v>1</v>
      </c>
      <c r="AB434" s="9">
        <f t="shared" si="105"/>
        <v>1</v>
      </c>
      <c r="AC434" s="9">
        <f t="shared" si="106"/>
        <v>1</v>
      </c>
      <c r="AD434" s="9">
        <f t="shared" si="107"/>
        <v>1</v>
      </c>
    </row>
    <row r="435" spans="1:30" ht="21" customHeight="1" x14ac:dyDescent="0.2">
      <c r="A435" s="15" t="str">
        <f t="shared" si="102"/>
        <v/>
      </c>
      <c r="B435" s="34"/>
      <c r="C435" s="20" t="str">
        <f t="shared" si="86"/>
        <v/>
      </c>
      <c r="D435" s="21"/>
      <c r="E435" s="20"/>
      <c r="F435" s="18"/>
      <c r="G435" s="9"/>
      <c r="H435" s="19"/>
      <c r="M435" s="9" t="str">
        <f>IF(D435=$M$3,1,"")</f>
        <v/>
      </c>
      <c r="N435" s="9" t="str">
        <f>IF(D435=$N$3,1,"")</f>
        <v/>
      </c>
      <c r="O435" s="9" t="str">
        <f>IF(D435=$O$3,1,"")</f>
        <v/>
      </c>
      <c r="P435" s="9" t="str">
        <f>IF(D435=$P$3,1,"")</f>
        <v/>
      </c>
      <c r="Q435" s="9" t="str">
        <f>IF(D435=$Q$3,1,"")</f>
        <v/>
      </c>
      <c r="R435" s="9" t="str">
        <f>IF(D435=$R$3,1,"")</f>
        <v/>
      </c>
      <c r="S435" s="9" t="str">
        <f>IF(D435=$S$3,1,"")</f>
        <v/>
      </c>
      <c r="T435" s="9" t="str">
        <f>IF(D435=$T$3,1,"")</f>
        <v/>
      </c>
      <c r="U435" s="9" t="str">
        <f>IF(D435=$U$3,1,"")</f>
        <v/>
      </c>
      <c r="V435" s="9" t="str">
        <f>IF(D435=$V$3,1,"")</f>
        <v/>
      </c>
      <c r="W435" s="9" t="str">
        <f>IF(D435=$W$3,1,"")</f>
        <v/>
      </c>
      <c r="X435" s="9" t="str">
        <f>IF(D435=$X$3,1,"")</f>
        <v/>
      </c>
      <c r="Y435" s="9" t="e">
        <f>IF(#REF!=$X$3,1,"")</f>
        <v>#REF!</v>
      </c>
      <c r="Z435" s="9">
        <f t="shared" si="103"/>
        <v>1</v>
      </c>
      <c r="AA435" s="9">
        <f t="shared" si="104"/>
        <v>1</v>
      </c>
      <c r="AB435" s="9">
        <f t="shared" si="105"/>
        <v>1</v>
      </c>
      <c r="AC435" s="9">
        <f t="shared" si="106"/>
        <v>1</v>
      </c>
      <c r="AD435" s="9">
        <f t="shared" si="107"/>
        <v>1</v>
      </c>
    </row>
    <row r="436" spans="1:30" ht="21" customHeight="1" x14ac:dyDescent="0.2">
      <c r="A436" s="15" t="str">
        <f t="shared" si="102"/>
        <v/>
      </c>
      <c r="B436" s="34"/>
      <c r="C436" s="20" t="str">
        <f t="shared" si="86"/>
        <v/>
      </c>
      <c r="D436" s="21"/>
      <c r="E436" s="20"/>
      <c r="F436" s="18"/>
      <c r="G436" s="9"/>
      <c r="H436" s="19"/>
      <c r="M436" s="9" t="str">
        <f>IF(D436=$M$3,1,"")</f>
        <v/>
      </c>
      <c r="N436" s="9" t="str">
        <f>IF(D436=$N$3,1,"")</f>
        <v/>
      </c>
      <c r="O436" s="9" t="str">
        <f>IF(D436=$O$3,1,"")</f>
        <v/>
      </c>
      <c r="P436" s="9" t="str">
        <f>IF(D436=$P$3,1,"")</f>
        <v/>
      </c>
      <c r="Q436" s="9" t="str">
        <f>IF(D436=$Q$3,1,"")</f>
        <v/>
      </c>
      <c r="R436" s="9" t="str">
        <f>IF(D436=$R$3,1,"")</f>
        <v/>
      </c>
      <c r="S436" s="9" t="str">
        <f>IF(D436=$S$3,1,"")</f>
        <v/>
      </c>
      <c r="T436" s="9" t="str">
        <f>IF(D436=$T$3,1,"")</f>
        <v/>
      </c>
      <c r="U436" s="9" t="str">
        <f>IF(D436=$U$3,1,"")</f>
        <v/>
      </c>
      <c r="V436" s="9" t="str">
        <f>IF(D436=$V$3,1,"")</f>
        <v/>
      </c>
      <c r="W436" s="9" t="str">
        <f>IF(D436=$W$3,1,"")</f>
        <v/>
      </c>
      <c r="X436" s="9" t="str">
        <f>IF(D436=$X$3,1,"")</f>
        <v/>
      </c>
      <c r="Y436" s="9" t="e">
        <f>IF(#REF!=$X$3,1,"")</f>
        <v>#REF!</v>
      </c>
      <c r="Z436" s="9">
        <f t="shared" si="103"/>
        <v>1</v>
      </c>
      <c r="AA436" s="9">
        <f t="shared" si="104"/>
        <v>1</v>
      </c>
      <c r="AB436" s="9">
        <f t="shared" si="105"/>
        <v>1</v>
      </c>
      <c r="AC436" s="9">
        <f t="shared" si="106"/>
        <v>1</v>
      </c>
      <c r="AD436" s="9">
        <f t="shared" si="107"/>
        <v>1</v>
      </c>
    </row>
    <row r="437" spans="1:30" ht="21" customHeight="1" x14ac:dyDescent="0.2">
      <c r="A437" s="15" t="str">
        <f t="shared" si="102"/>
        <v/>
      </c>
      <c r="B437" s="34"/>
      <c r="C437" s="20" t="str">
        <f t="shared" si="86"/>
        <v/>
      </c>
      <c r="D437" s="21"/>
      <c r="E437" s="20"/>
      <c r="F437" s="18"/>
      <c r="G437" s="9"/>
      <c r="H437" s="19"/>
      <c r="M437" s="9" t="str">
        <f>IF(D437=$M$3,1,"")</f>
        <v/>
      </c>
      <c r="N437" s="9" t="str">
        <f>IF(D437=$N$3,1,"")</f>
        <v/>
      </c>
      <c r="O437" s="9" t="str">
        <f>IF(D437=$O$3,1,"")</f>
        <v/>
      </c>
      <c r="P437" s="9" t="str">
        <f>IF(D437=$P$3,1,"")</f>
        <v/>
      </c>
      <c r="Q437" s="9" t="str">
        <f>IF(D437=$Q$3,1,"")</f>
        <v/>
      </c>
      <c r="R437" s="9" t="str">
        <f>IF(D437=$R$3,1,"")</f>
        <v/>
      </c>
      <c r="S437" s="9" t="str">
        <f>IF(D437=$S$3,1,"")</f>
        <v/>
      </c>
      <c r="T437" s="9" t="str">
        <f>IF(D437=$T$3,1,"")</f>
        <v/>
      </c>
      <c r="U437" s="9" t="str">
        <f>IF(D437=$U$3,1,"")</f>
        <v/>
      </c>
      <c r="V437" s="9" t="str">
        <f>IF(D437=$V$3,1,"")</f>
        <v/>
      </c>
      <c r="W437" s="9" t="str">
        <f>IF(D437=$W$3,1,"")</f>
        <v/>
      </c>
      <c r="X437" s="9" t="str">
        <f>IF(D437=$X$3,1,"")</f>
        <v/>
      </c>
      <c r="Y437" s="9" t="e">
        <f>IF(#REF!=$X$3,1,"")</f>
        <v>#REF!</v>
      </c>
      <c r="Z437" s="9">
        <f t="shared" si="103"/>
        <v>1</v>
      </c>
      <c r="AA437" s="9">
        <f t="shared" si="104"/>
        <v>1</v>
      </c>
      <c r="AB437" s="9">
        <f t="shared" si="105"/>
        <v>1</v>
      </c>
      <c r="AC437" s="9">
        <f t="shared" si="106"/>
        <v>1</v>
      </c>
      <c r="AD437" s="9">
        <f t="shared" si="107"/>
        <v>1</v>
      </c>
    </row>
    <row r="438" spans="1:30" ht="21" customHeight="1" x14ac:dyDescent="0.2">
      <c r="A438" s="15" t="str">
        <f t="shared" si="102"/>
        <v/>
      </c>
      <c r="B438" s="34"/>
      <c r="C438" s="20" t="str">
        <f t="shared" si="86"/>
        <v/>
      </c>
      <c r="D438" s="21"/>
      <c r="E438" s="20"/>
      <c r="F438" s="18"/>
      <c r="G438" s="9"/>
      <c r="H438" s="19"/>
      <c r="M438" s="9" t="str">
        <f>IF(D438=$M$3,1,"")</f>
        <v/>
      </c>
      <c r="N438" s="9" t="str">
        <f>IF(D438=$N$3,1,"")</f>
        <v/>
      </c>
      <c r="O438" s="9" t="str">
        <f>IF(D438=$O$3,1,"")</f>
        <v/>
      </c>
      <c r="P438" s="9" t="str">
        <f>IF(D438=$P$3,1,"")</f>
        <v/>
      </c>
      <c r="Q438" s="9" t="str">
        <f>IF(D438=$Q$3,1,"")</f>
        <v/>
      </c>
      <c r="R438" s="9" t="str">
        <f>IF(D438=$R$3,1,"")</f>
        <v/>
      </c>
      <c r="S438" s="9" t="str">
        <f>IF(D438=$S$3,1,"")</f>
        <v/>
      </c>
      <c r="T438" s="9" t="str">
        <f>IF(D438=$T$3,1,"")</f>
        <v/>
      </c>
      <c r="U438" s="9" t="str">
        <f>IF(D438=$U$3,1,"")</f>
        <v/>
      </c>
      <c r="V438" s="9" t="str">
        <f>IF(D438=$V$3,1,"")</f>
        <v/>
      </c>
      <c r="W438" s="9" t="str">
        <f>IF(D438=$W$3,1,"")</f>
        <v/>
      </c>
      <c r="X438" s="9" t="str">
        <f>IF(D438=$X$3,1,"")</f>
        <v/>
      </c>
      <c r="Y438" s="9" t="e">
        <f>IF(#REF!=$X$3,1,"")</f>
        <v>#REF!</v>
      </c>
      <c r="Z438" s="9">
        <f t="shared" si="103"/>
        <v>1</v>
      </c>
      <c r="AA438" s="9">
        <f t="shared" si="104"/>
        <v>1</v>
      </c>
      <c r="AB438" s="9">
        <f t="shared" si="105"/>
        <v>1</v>
      </c>
      <c r="AC438" s="9">
        <f t="shared" si="106"/>
        <v>1</v>
      </c>
      <c r="AD438" s="9">
        <f t="shared" si="107"/>
        <v>1</v>
      </c>
    </row>
    <row r="439" spans="1:30" ht="21" customHeight="1" x14ac:dyDescent="0.2">
      <c r="A439" s="15" t="str">
        <f t="shared" si="102"/>
        <v/>
      </c>
      <c r="B439" s="34"/>
      <c r="C439" s="20" t="str">
        <f t="shared" si="86"/>
        <v/>
      </c>
      <c r="D439" s="21"/>
      <c r="E439" s="20"/>
      <c r="F439" s="18"/>
      <c r="G439" s="9"/>
      <c r="H439" s="19"/>
      <c r="M439" s="9" t="str">
        <f>IF(D439=$M$3,1,"")</f>
        <v/>
      </c>
      <c r="N439" s="9" t="str">
        <f>IF(D439=$N$3,1,"")</f>
        <v/>
      </c>
      <c r="O439" s="9" t="str">
        <f>IF(D439=$O$3,1,"")</f>
        <v/>
      </c>
      <c r="P439" s="9" t="str">
        <f>IF(D439=$P$3,1,"")</f>
        <v/>
      </c>
      <c r="Q439" s="9" t="str">
        <f>IF(D439=$Q$3,1,"")</f>
        <v/>
      </c>
      <c r="R439" s="9" t="str">
        <f>IF(D439=$R$3,1,"")</f>
        <v/>
      </c>
      <c r="S439" s="9" t="str">
        <f>IF(D439=$S$3,1,"")</f>
        <v/>
      </c>
      <c r="T439" s="9" t="str">
        <f>IF(D439=$T$3,1,"")</f>
        <v/>
      </c>
      <c r="U439" s="9" t="str">
        <f>IF(D439=$U$3,1,"")</f>
        <v/>
      </c>
      <c r="V439" s="9" t="str">
        <f>IF(D439=$V$3,1,"")</f>
        <v/>
      </c>
      <c r="W439" s="9" t="str">
        <f>IF(D439=$W$3,1,"")</f>
        <v/>
      </c>
      <c r="X439" s="9" t="str">
        <f>IF(D439=$X$3,1,"")</f>
        <v/>
      </c>
      <c r="Y439" s="9" t="e">
        <f>IF(#REF!=$X$3,1,"")</f>
        <v>#REF!</v>
      </c>
      <c r="Z439" s="9">
        <f t="shared" si="103"/>
        <v>1</v>
      </c>
      <c r="AA439" s="9">
        <f t="shared" si="104"/>
        <v>1</v>
      </c>
      <c r="AB439" s="9">
        <f t="shared" si="105"/>
        <v>1</v>
      </c>
      <c r="AC439" s="9">
        <f t="shared" si="106"/>
        <v>1</v>
      </c>
      <c r="AD439" s="9">
        <f t="shared" si="107"/>
        <v>1</v>
      </c>
    </row>
    <row r="440" spans="1:30" ht="21" customHeight="1" x14ac:dyDescent="0.2">
      <c r="A440" s="15" t="str">
        <f t="shared" si="102"/>
        <v/>
      </c>
      <c r="B440" s="34"/>
      <c r="C440" s="20" t="str">
        <f t="shared" si="86"/>
        <v/>
      </c>
      <c r="D440" s="21"/>
      <c r="E440" s="20"/>
      <c r="F440" s="18"/>
      <c r="G440" s="9"/>
      <c r="H440" s="19"/>
      <c r="M440" s="9" t="str">
        <f>IF(D440=$M$3,1,"")</f>
        <v/>
      </c>
      <c r="N440" s="9" t="str">
        <f>IF(D440=$N$3,1,"")</f>
        <v/>
      </c>
      <c r="O440" s="9" t="str">
        <f>IF(D440=$O$3,1,"")</f>
        <v/>
      </c>
      <c r="P440" s="9" t="str">
        <f>IF(D440=$P$3,1,"")</f>
        <v/>
      </c>
      <c r="Q440" s="9" t="str">
        <f>IF(D440=$Q$3,1,"")</f>
        <v/>
      </c>
      <c r="R440" s="9" t="str">
        <f>IF(D440=$R$3,1,"")</f>
        <v/>
      </c>
      <c r="S440" s="9" t="str">
        <f>IF(D440=$S$3,1,"")</f>
        <v/>
      </c>
      <c r="T440" s="9" t="str">
        <f>IF(D440=$T$3,1,"")</f>
        <v/>
      </c>
      <c r="U440" s="9" t="str">
        <f>IF(D440=$U$3,1,"")</f>
        <v/>
      </c>
      <c r="V440" s="9" t="str">
        <f>IF(D440=$V$3,1,"")</f>
        <v/>
      </c>
      <c r="W440" s="9" t="str">
        <f>IF(D440=$W$3,1,"")</f>
        <v/>
      </c>
      <c r="X440" s="9" t="str">
        <f>IF(D440=$X$3,1,"")</f>
        <v/>
      </c>
      <c r="Y440" s="9" t="e">
        <f>IF(#REF!=$X$3,1,"")</f>
        <v>#REF!</v>
      </c>
      <c r="Z440" s="9">
        <f t="shared" si="103"/>
        <v>1</v>
      </c>
      <c r="AA440" s="9">
        <f t="shared" si="104"/>
        <v>1</v>
      </c>
      <c r="AB440" s="9">
        <f t="shared" si="105"/>
        <v>1</v>
      </c>
      <c r="AC440" s="9">
        <f t="shared" si="106"/>
        <v>1</v>
      </c>
      <c r="AD440" s="9">
        <f t="shared" si="107"/>
        <v>1</v>
      </c>
    </row>
    <row r="441" spans="1:30" ht="21" customHeight="1" x14ac:dyDescent="0.2">
      <c r="A441" s="15" t="str">
        <f t="shared" si="102"/>
        <v/>
      </c>
      <c r="B441" s="34"/>
      <c r="C441" s="20" t="str">
        <f t="shared" si="86"/>
        <v/>
      </c>
      <c r="D441" s="21"/>
      <c r="E441" s="20"/>
      <c r="F441" s="18"/>
      <c r="G441" s="9"/>
      <c r="H441" s="19"/>
      <c r="M441" s="9" t="str">
        <f>IF(D441=$M$3,1,"")</f>
        <v/>
      </c>
      <c r="N441" s="9" t="str">
        <f>IF(D441=$N$3,1,"")</f>
        <v/>
      </c>
      <c r="O441" s="9" t="str">
        <f>IF(D441=$O$3,1,"")</f>
        <v/>
      </c>
      <c r="P441" s="9" t="str">
        <f>IF(D441=$P$3,1,"")</f>
        <v/>
      </c>
      <c r="Q441" s="9" t="str">
        <f>IF(D441=$Q$3,1,"")</f>
        <v/>
      </c>
      <c r="R441" s="9" t="str">
        <f>IF(D441=$R$3,1,"")</f>
        <v/>
      </c>
      <c r="S441" s="9" t="str">
        <f>IF(D441=$S$3,1,"")</f>
        <v/>
      </c>
      <c r="T441" s="9" t="str">
        <f>IF(D441=$T$3,1,"")</f>
        <v/>
      </c>
      <c r="U441" s="9" t="str">
        <f>IF(D441=$U$3,1,"")</f>
        <v/>
      </c>
      <c r="V441" s="9" t="str">
        <f>IF(D441=$V$3,1,"")</f>
        <v/>
      </c>
      <c r="W441" s="9" t="str">
        <f>IF(D441=$W$3,1,"")</f>
        <v/>
      </c>
      <c r="X441" s="9" t="str">
        <f>IF(D441=$X$3,1,"")</f>
        <v/>
      </c>
      <c r="Y441" s="9" t="e">
        <f>IF(#REF!=$X$3,1,"")</f>
        <v>#REF!</v>
      </c>
      <c r="Z441" s="9">
        <f t="shared" si="103"/>
        <v>1</v>
      </c>
      <c r="AA441" s="9">
        <f t="shared" si="104"/>
        <v>1</v>
      </c>
      <c r="AB441" s="9">
        <f t="shared" si="105"/>
        <v>1</v>
      </c>
      <c r="AC441" s="9">
        <f t="shared" si="106"/>
        <v>1</v>
      </c>
      <c r="AD441" s="9">
        <f t="shared" si="107"/>
        <v>1</v>
      </c>
    </row>
    <row r="442" spans="1:30" ht="21" customHeight="1" x14ac:dyDescent="0.2">
      <c r="A442" s="15" t="str">
        <f t="shared" si="102"/>
        <v/>
      </c>
      <c r="B442" s="34"/>
      <c r="C442" s="20" t="str">
        <f t="shared" si="86"/>
        <v/>
      </c>
      <c r="D442" s="21"/>
      <c r="E442" s="20"/>
      <c r="F442" s="18"/>
      <c r="G442" s="9"/>
      <c r="H442" s="19"/>
      <c r="M442" s="9" t="str">
        <f>IF(D442=$M$3,1,"")</f>
        <v/>
      </c>
      <c r="N442" s="9" t="str">
        <f>IF(D442=$N$3,1,"")</f>
        <v/>
      </c>
      <c r="O442" s="9" t="str">
        <f>IF(D442=$O$3,1,"")</f>
        <v/>
      </c>
      <c r="P442" s="9" t="str">
        <f>IF(D442=$P$3,1,"")</f>
        <v/>
      </c>
      <c r="Q442" s="9" t="str">
        <f>IF(D442=$Q$3,1,"")</f>
        <v/>
      </c>
      <c r="R442" s="9" t="str">
        <f>IF(D442=$R$3,1,"")</f>
        <v/>
      </c>
      <c r="S442" s="9" t="str">
        <f>IF(D442=$S$3,1,"")</f>
        <v/>
      </c>
      <c r="T442" s="9" t="str">
        <f>IF(D442=$T$3,1,"")</f>
        <v/>
      </c>
      <c r="U442" s="9" t="str">
        <f>IF(D442=$U$3,1,"")</f>
        <v/>
      </c>
      <c r="V442" s="9" t="str">
        <f>IF(D442=$V$3,1,"")</f>
        <v/>
      </c>
      <c r="W442" s="9" t="str">
        <f>IF(D442=$W$3,1,"")</f>
        <v/>
      </c>
      <c r="X442" s="9" t="str">
        <f>IF(D442=$X$3,1,"")</f>
        <v/>
      </c>
      <c r="Y442" s="9" t="e">
        <f>IF(#REF!=$X$3,1,"")</f>
        <v>#REF!</v>
      </c>
      <c r="Z442" s="9">
        <f t="shared" si="103"/>
        <v>1</v>
      </c>
      <c r="AA442" s="9">
        <f t="shared" si="104"/>
        <v>1</v>
      </c>
      <c r="AB442" s="9">
        <f t="shared" si="105"/>
        <v>1</v>
      </c>
      <c r="AC442" s="9">
        <f t="shared" si="106"/>
        <v>1</v>
      </c>
      <c r="AD442" s="9">
        <f t="shared" si="107"/>
        <v>1</v>
      </c>
    </row>
    <row r="443" spans="1:30" ht="21" customHeight="1" x14ac:dyDescent="0.2">
      <c r="A443" s="15" t="str">
        <f t="shared" si="102"/>
        <v/>
      </c>
      <c r="B443" s="34"/>
      <c r="C443" s="20" t="str">
        <f t="shared" si="86"/>
        <v/>
      </c>
      <c r="D443" s="21"/>
      <c r="E443" s="20"/>
      <c r="F443" s="18"/>
      <c r="G443" s="9"/>
      <c r="H443" s="19"/>
      <c r="M443" s="9" t="str">
        <f>IF(D443=$M$3,1,"")</f>
        <v/>
      </c>
      <c r="N443" s="9" t="str">
        <f>IF(D443=$N$3,1,"")</f>
        <v/>
      </c>
      <c r="O443" s="9" t="str">
        <f>IF(D443=$O$3,1,"")</f>
        <v/>
      </c>
      <c r="P443" s="9" t="str">
        <f>IF(D443=$P$3,1,"")</f>
        <v/>
      </c>
      <c r="Q443" s="9" t="str">
        <f>IF(D443=$Q$3,1,"")</f>
        <v/>
      </c>
      <c r="R443" s="9" t="str">
        <f>IF(D443=$R$3,1,"")</f>
        <v/>
      </c>
      <c r="S443" s="9" t="str">
        <f>IF(D443=$S$3,1,"")</f>
        <v/>
      </c>
      <c r="T443" s="9" t="str">
        <f>IF(D443=$T$3,1,"")</f>
        <v/>
      </c>
      <c r="U443" s="9" t="str">
        <f>IF(D443=$U$3,1,"")</f>
        <v/>
      </c>
      <c r="V443" s="9" t="str">
        <f>IF(D443=$V$3,1,"")</f>
        <v/>
      </c>
      <c r="W443" s="9" t="str">
        <f>IF(D443=$W$3,1,"")</f>
        <v/>
      </c>
      <c r="X443" s="9" t="str">
        <f>IF(D443=$X$3,1,"")</f>
        <v/>
      </c>
      <c r="Y443" s="9" t="e">
        <f>IF(#REF!=$X$3,1,"")</f>
        <v>#REF!</v>
      </c>
      <c r="Z443" s="9">
        <f t="shared" si="103"/>
        <v>1</v>
      </c>
      <c r="AA443" s="9">
        <f t="shared" si="104"/>
        <v>1</v>
      </c>
      <c r="AB443" s="9">
        <f t="shared" si="105"/>
        <v>1</v>
      </c>
      <c r="AC443" s="9">
        <f t="shared" si="106"/>
        <v>1</v>
      </c>
      <c r="AD443" s="9">
        <f t="shared" si="107"/>
        <v>1</v>
      </c>
    </row>
    <row r="444" spans="1:30" ht="21" customHeight="1" x14ac:dyDescent="0.2">
      <c r="A444" s="15" t="str">
        <f t="shared" si="102"/>
        <v/>
      </c>
      <c r="B444" s="34"/>
      <c r="C444" s="20" t="str">
        <f t="shared" si="86"/>
        <v/>
      </c>
      <c r="D444" s="21"/>
      <c r="E444" s="20"/>
      <c r="F444" s="18"/>
      <c r="G444" s="9"/>
      <c r="H444" s="19"/>
      <c r="M444" s="9" t="str">
        <f>IF(D444=$M$3,1,"")</f>
        <v/>
      </c>
      <c r="N444" s="9" t="str">
        <f>IF(D444=$N$3,1,"")</f>
        <v/>
      </c>
      <c r="O444" s="9" t="str">
        <f>IF(D444=$O$3,1,"")</f>
        <v/>
      </c>
      <c r="P444" s="9" t="str">
        <f>IF(D444=$P$3,1,"")</f>
        <v/>
      </c>
      <c r="Q444" s="9" t="str">
        <f>IF(D444=$Q$3,1,"")</f>
        <v/>
      </c>
      <c r="R444" s="9" t="str">
        <f>IF(D444=$R$3,1,"")</f>
        <v/>
      </c>
      <c r="S444" s="9" t="str">
        <f>IF(D444=$S$3,1,"")</f>
        <v/>
      </c>
      <c r="T444" s="9" t="str">
        <f>IF(D444=$T$3,1,"")</f>
        <v/>
      </c>
      <c r="U444" s="9" t="str">
        <f>IF(D444=$U$3,1,"")</f>
        <v/>
      </c>
      <c r="V444" s="9" t="str">
        <f>IF(D444=$V$3,1,"")</f>
        <v/>
      </c>
      <c r="W444" s="9" t="str">
        <f>IF(D444=$W$3,1,"")</f>
        <v/>
      </c>
      <c r="X444" s="9" t="str">
        <f>IF(D444=$X$3,1,"")</f>
        <v/>
      </c>
      <c r="Y444" s="9" t="e">
        <f>IF(#REF!=$X$3,1,"")</f>
        <v>#REF!</v>
      </c>
      <c r="Z444" s="9">
        <f t="shared" si="103"/>
        <v>1</v>
      </c>
      <c r="AA444" s="9">
        <f t="shared" si="104"/>
        <v>1</v>
      </c>
      <c r="AB444" s="9">
        <f t="shared" si="105"/>
        <v>1</v>
      </c>
      <c r="AC444" s="9">
        <f t="shared" si="106"/>
        <v>1</v>
      </c>
      <c r="AD444" s="9">
        <f t="shared" si="107"/>
        <v>1</v>
      </c>
    </row>
    <row r="445" spans="1:30" ht="21" customHeight="1" x14ac:dyDescent="0.2">
      <c r="A445" s="15" t="str">
        <f t="shared" si="102"/>
        <v/>
      </c>
      <c r="B445" s="34"/>
      <c r="C445" s="20" t="str">
        <f t="shared" si="86"/>
        <v/>
      </c>
      <c r="D445" s="21"/>
      <c r="E445" s="20"/>
      <c r="F445" s="18"/>
      <c r="G445" s="9"/>
      <c r="H445" s="19"/>
      <c r="M445" s="9" t="str">
        <f>IF(D445=$M$3,1,"")</f>
        <v/>
      </c>
      <c r="N445" s="9" t="str">
        <f>IF(D445=$N$3,1,"")</f>
        <v/>
      </c>
      <c r="O445" s="9" t="str">
        <f>IF(D445=$O$3,1,"")</f>
        <v/>
      </c>
      <c r="P445" s="9" t="str">
        <f>IF(D445=$P$3,1,"")</f>
        <v/>
      </c>
      <c r="Q445" s="9" t="str">
        <f>IF(D445=$Q$3,1,"")</f>
        <v/>
      </c>
      <c r="R445" s="9" t="str">
        <f>IF(D445=$R$3,1,"")</f>
        <v/>
      </c>
      <c r="S445" s="9" t="str">
        <f>IF(D445=$S$3,1,"")</f>
        <v/>
      </c>
      <c r="T445" s="9" t="str">
        <f>IF(D445=$T$3,1,"")</f>
        <v/>
      </c>
      <c r="U445" s="9" t="str">
        <f>IF(D445=$U$3,1,"")</f>
        <v/>
      </c>
      <c r="V445" s="9" t="str">
        <f>IF(D445=$V$3,1,"")</f>
        <v/>
      </c>
      <c r="W445" s="9" t="str">
        <f>IF(D445=$W$3,1,"")</f>
        <v/>
      </c>
      <c r="X445" s="9" t="str">
        <f>IF(D445=$X$3,1,"")</f>
        <v/>
      </c>
      <c r="Y445" s="9" t="e">
        <f>IF(#REF!=$X$3,1,"")</f>
        <v>#REF!</v>
      </c>
      <c r="Z445" s="9">
        <f t="shared" si="103"/>
        <v>1</v>
      </c>
      <c r="AA445" s="9">
        <f t="shared" si="104"/>
        <v>1</v>
      </c>
      <c r="AB445" s="9">
        <f t="shared" si="105"/>
        <v>1</v>
      </c>
      <c r="AC445" s="9">
        <f t="shared" si="106"/>
        <v>1</v>
      </c>
      <c r="AD445" s="9">
        <f t="shared" si="107"/>
        <v>1</v>
      </c>
    </row>
    <row r="446" spans="1:30" ht="21" customHeight="1" x14ac:dyDescent="0.2">
      <c r="A446" s="15" t="str">
        <f t="shared" si="102"/>
        <v/>
      </c>
      <c r="B446" s="34"/>
      <c r="C446" s="20" t="str">
        <f t="shared" si="86"/>
        <v/>
      </c>
      <c r="D446" s="21"/>
      <c r="E446" s="20"/>
      <c r="F446" s="18"/>
      <c r="G446" s="9"/>
      <c r="H446" s="19"/>
      <c r="M446" s="9" t="str">
        <f>IF(D446=$M$3,1,"")</f>
        <v/>
      </c>
      <c r="N446" s="9" t="str">
        <f>IF(D446=$N$3,1,"")</f>
        <v/>
      </c>
      <c r="O446" s="9" t="str">
        <f>IF(D446=$O$3,1,"")</f>
        <v/>
      </c>
      <c r="P446" s="9" t="str">
        <f>IF(D446=$P$3,1,"")</f>
        <v/>
      </c>
      <c r="Q446" s="9" t="str">
        <f>IF(D446=$Q$3,1,"")</f>
        <v/>
      </c>
      <c r="R446" s="9" t="str">
        <f>IF(D446=$R$3,1,"")</f>
        <v/>
      </c>
      <c r="S446" s="9" t="str">
        <f>IF(D446=$S$3,1,"")</f>
        <v/>
      </c>
      <c r="T446" s="9" t="str">
        <f>IF(D446=$T$3,1,"")</f>
        <v/>
      </c>
      <c r="U446" s="9" t="str">
        <f>IF(D446=$U$3,1,"")</f>
        <v/>
      </c>
      <c r="V446" s="9" t="str">
        <f>IF(D446=$V$3,1,"")</f>
        <v/>
      </c>
      <c r="W446" s="9" t="str">
        <f>IF(D446=$W$3,1,"")</f>
        <v/>
      </c>
      <c r="X446" s="9" t="str">
        <f>IF(D446=$X$3,1,"")</f>
        <v/>
      </c>
      <c r="Y446" s="9" t="e">
        <f>IF(#REF!=$X$3,1,"")</f>
        <v>#REF!</v>
      </c>
      <c r="Z446" s="9">
        <f t="shared" si="103"/>
        <v>1</v>
      </c>
      <c r="AA446" s="9">
        <f t="shared" si="104"/>
        <v>1</v>
      </c>
      <c r="AB446" s="9">
        <f t="shared" si="105"/>
        <v>1</v>
      </c>
      <c r="AC446" s="9">
        <f t="shared" si="106"/>
        <v>1</v>
      </c>
      <c r="AD446" s="9">
        <f t="shared" si="107"/>
        <v>1</v>
      </c>
    </row>
    <row r="447" spans="1:30" ht="21" customHeight="1" x14ac:dyDescent="0.2">
      <c r="A447" s="15" t="str">
        <f t="shared" si="102"/>
        <v/>
      </c>
      <c r="B447" s="34"/>
      <c r="C447" s="20" t="str">
        <f t="shared" si="86"/>
        <v/>
      </c>
      <c r="D447" s="21"/>
      <c r="E447" s="20"/>
      <c r="F447" s="18"/>
      <c r="G447" s="9"/>
      <c r="H447" s="19"/>
      <c r="M447" s="9" t="str">
        <f>IF(D447=$M$3,1,"")</f>
        <v/>
      </c>
      <c r="N447" s="9" t="str">
        <f>IF(D447=$N$3,1,"")</f>
        <v/>
      </c>
      <c r="O447" s="9" t="str">
        <f>IF(D447=$O$3,1,"")</f>
        <v/>
      </c>
      <c r="P447" s="9" t="str">
        <f>IF(D447=$P$3,1,"")</f>
        <v/>
      </c>
      <c r="Q447" s="9" t="str">
        <f>IF(D447=$Q$3,1,"")</f>
        <v/>
      </c>
      <c r="R447" s="9" t="str">
        <f>IF(D447=$R$3,1,"")</f>
        <v/>
      </c>
      <c r="S447" s="9" t="str">
        <f>IF(D447=$S$3,1,"")</f>
        <v/>
      </c>
      <c r="T447" s="9" t="str">
        <f>IF(D447=$T$3,1,"")</f>
        <v/>
      </c>
      <c r="U447" s="9" t="str">
        <f>IF(D447=$U$3,1,"")</f>
        <v/>
      </c>
      <c r="V447" s="9" t="str">
        <f>IF(D447=$V$3,1,"")</f>
        <v/>
      </c>
      <c r="W447" s="9" t="str">
        <f>IF(D447=$W$3,1,"")</f>
        <v/>
      </c>
      <c r="X447" s="9" t="str">
        <f>IF(D447=$X$3,1,"")</f>
        <v/>
      </c>
      <c r="Y447" s="9" t="e">
        <f>IF(#REF!=$X$3,1,"")</f>
        <v>#REF!</v>
      </c>
      <c r="Z447" s="9">
        <f t="shared" si="103"/>
        <v>1</v>
      </c>
      <c r="AA447" s="9">
        <f t="shared" si="104"/>
        <v>1</v>
      </c>
      <c r="AB447" s="9">
        <f t="shared" si="105"/>
        <v>1</v>
      </c>
      <c r="AC447" s="9">
        <f t="shared" si="106"/>
        <v>1</v>
      </c>
      <c r="AD447" s="9">
        <f t="shared" si="107"/>
        <v>1</v>
      </c>
    </row>
    <row r="448" spans="1:30" ht="21" customHeight="1" x14ac:dyDescent="0.2">
      <c r="A448" s="15" t="str">
        <f t="shared" si="102"/>
        <v/>
      </c>
      <c r="B448" s="34"/>
      <c r="C448" s="20" t="str">
        <f t="shared" ref="C448:C542" si="108">IF(B448="","","vs")</f>
        <v/>
      </c>
      <c r="D448" s="21"/>
      <c r="E448" s="20"/>
      <c r="F448" s="18"/>
      <c r="G448" s="9"/>
      <c r="H448" s="19"/>
      <c r="M448" s="9" t="str">
        <f>IF(D448=$M$3,1,"")</f>
        <v/>
      </c>
      <c r="N448" s="9" t="str">
        <f>IF(D448=$N$3,1,"")</f>
        <v/>
      </c>
      <c r="O448" s="9" t="str">
        <f>IF(D448=$O$3,1,"")</f>
        <v/>
      </c>
      <c r="P448" s="9" t="str">
        <f>IF(D448=$P$3,1,"")</f>
        <v/>
      </c>
      <c r="Q448" s="9" t="str">
        <f>IF(D448=$Q$3,1,"")</f>
        <v/>
      </c>
      <c r="R448" s="9" t="str">
        <f>IF(D448=$R$3,1,"")</f>
        <v/>
      </c>
      <c r="S448" s="9" t="str">
        <f>IF(D448=$S$3,1,"")</f>
        <v/>
      </c>
      <c r="T448" s="9" t="str">
        <f>IF(D448=$T$3,1,"")</f>
        <v/>
      </c>
      <c r="U448" s="9" t="str">
        <f>IF(D448=$U$3,1,"")</f>
        <v/>
      </c>
      <c r="V448" s="9" t="str">
        <f>IF(D448=$V$3,1,"")</f>
        <v/>
      </c>
      <c r="W448" s="9" t="str">
        <f>IF(D448=$W$3,1,"")</f>
        <v/>
      </c>
      <c r="X448" s="9" t="str">
        <f>IF(D448=$X$3,1,"")</f>
        <v/>
      </c>
      <c r="Y448" s="9" t="e">
        <f>IF(#REF!=$X$3,1,"")</f>
        <v>#REF!</v>
      </c>
      <c r="Z448" s="9">
        <f t="shared" si="103"/>
        <v>1</v>
      </c>
      <c r="AA448" s="9">
        <f t="shared" si="104"/>
        <v>1</v>
      </c>
      <c r="AB448" s="9">
        <f t="shared" si="105"/>
        <v>1</v>
      </c>
      <c r="AC448" s="9">
        <f t="shared" si="106"/>
        <v>1</v>
      </c>
      <c r="AD448" s="9">
        <f t="shared" si="107"/>
        <v>1</v>
      </c>
    </row>
    <row r="449" spans="1:30" ht="21" customHeight="1" x14ac:dyDescent="0.2">
      <c r="A449" s="15" t="str">
        <f t="shared" si="102"/>
        <v/>
      </c>
      <c r="B449" s="34"/>
      <c r="C449" s="20" t="str">
        <f t="shared" si="108"/>
        <v/>
      </c>
      <c r="D449" s="21"/>
      <c r="E449" s="20"/>
      <c r="F449" s="18"/>
      <c r="G449" s="9"/>
      <c r="H449" s="19"/>
      <c r="M449" s="9" t="str">
        <f>IF(D449=$M$3,1,"")</f>
        <v/>
      </c>
      <c r="N449" s="9" t="str">
        <f>IF(D449=$N$3,1,"")</f>
        <v/>
      </c>
      <c r="O449" s="9" t="str">
        <f>IF(D449=$O$3,1,"")</f>
        <v/>
      </c>
      <c r="P449" s="9" t="str">
        <f>IF(D449=$P$3,1,"")</f>
        <v/>
      </c>
      <c r="Q449" s="9" t="str">
        <f>IF(D449=$Q$3,1,"")</f>
        <v/>
      </c>
      <c r="R449" s="9" t="str">
        <f>IF(D449=$R$3,1,"")</f>
        <v/>
      </c>
      <c r="S449" s="9" t="str">
        <f>IF(D449=$S$3,1,"")</f>
        <v/>
      </c>
      <c r="T449" s="9" t="str">
        <f>IF(D449=$T$3,1,"")</f>
        <v/>
      </c>
      <c r="U449" s="9" t="str">
        <f>IF(D449=$U$3,1,"")</f>
        <v/>
      </c>
      <c r="V449" s="9" t="str">
        <f>IF(D449=$V$3,1,"")</f>
        <v/>
      </c>
      <c r="W449" s="9" t="str">
        <f>IF(D449=$W$3,1,"")</f>
        <v/>
      </c>
      <c r="X449" s="9" t="str">
        <f>IF(D449=$X$3,1,"")</f>
        <v/>
      </c>
      <c r="Y449" s="9" t="e">
        <f>IF(#REF!=$X$3,1,"")</f>
        <v>#REF!</v>
      </c>
      <c r="Z449" s="9">
        <f t="shared" si="103"/>
        <v>1</v>
      </c>
      <c r="AA449" s="9">
        <f t="shared" si="104"/>
        <v>1</v>
      </c>
      <c r="AB449" s="9">
        <f t="shared" si="105"/>
        <v>1</v>
      </c>
      <c r="AC449" s="9">
        <f t="shared" si="106"/>
        <v>1</v>
      </c>
      <c r="AD449" s="9">
        <f t="shared" si="107"/>
        <v>1</v>
      </c>
    </row>
    <row r="450" spans="1:30" ht="21" customHeight="1" x14ac:dyDescent="0.2">
      <c r="A450" s="15" t="str">
        <f t="shared" si="102"/>
        <v/>
      </c>
      <c r="B450" s="34"/>
      <c r="C450" s="20" t="str">
        <f t="shared" si="108"/>
        <v/>
      </c>
      <c r="D450" s="21"/>
      <c r="E450" s="20"/>
      <c r="F450" s="18"/>
      <c r="G450" s="9"/>
      <c r="H450" s="19"/>
      <c r="M450" s="9" t="str">
        <f>IF(D450=$M$3,1,"")</f>
        <v/>
      </c>
      <c r="N450" s="9" t="str">
        <f>IF(D450=$N$3,1,"")</f>
        <v/>
      </c>
      <c r="O450" s="9" t="str">
        <f>IF(D450=$O$3,1,"")</f>
        <v/>
      </c>
      <c r="P450" s="9" t="str">
        <f>IF(D450=$P$3,1,"")</f>
        <v/>
      </c>
      <c r="Q450" s="9" t="str">
        <f>IF(D450=$Q$3,1,"")</f>
        <v/>
      </c>
      <c r="R450" s="9" t="str">
        <f>IF(D450=$R$3,1,"")</f>
        <v/>
      </c>
      <c r="S450" s="9" t="str">
        <f>IF(D450=$S$3,1,"")</f>
        <v/>
      </c>
      <c r="T450" s="9" t="str">
        <f>IF(D450=$T$3,1,"")</f>
        <v/>
      </c>
      <c r="U450" s="9" t="str">
        <f>IF(D450=$U$3,1,"")</f>
        <v/>
      </c>
      <c r="V450" s="9" t="str">
        <f>IF(D450=$V$3,1,"")</f>
        <v/>
      </c>
      <c r="W450" s="9" t="str">
        <f>IF(D450=$W$3,1,"")</f>
        <v/>
      </c>
      <c r="X450" s="9" t="str">
        <f>IF(D450=$X$3,1,"")</f>
        <v/>
      </c>
      <c r="Y450" s="9" t="e">
        <f>IF(#REF!=$X$3,1,"")</f>
        <v>#REF!</v>
      </c>
      <c r="Z450" s="9">
        <f t="shared" si="103"/>
        <v>1</v>
      </c>
      <c r="AA450" s="9">
        <f t="shared" si="104"/>
        <v>1</v>
      </c>
      <c r="AB450" s="9">
        <f t="shared" si="105"/>
        <v>1</v>
      </c>
      <c r="AC450" s="9">
        <f t="shared" si="106"/>
        <v>1</v>
      </c>
      <c r="AD450" s="9">
        <f t="shared" si="107"/>
        <v>1</v>
      </c>
    </row>
    <row r="451" spans="1:30" ht="21" customHeight="1" x14ac:dyDescent="0.2">
      <c r="A451" s="15" t="str">
        <f t="shared" si="102"/>
        <v/>
      </c>
      <c r="B451" s="34"/>
      <c r="C451" s="20" t="str">
        <f t="shared" si="108"/>
        <v/>
      </c>
      <c r="D451" s="21"/>
      <c r="E451" s="20"/>
      <c r="F451" s="18"/>
      <c r="G451" s="9"/>
      <c r="H451" s="19"/>
      <c r="M451" s="9" t="str">
        <f>IF(D451=$M$3,1,"")</f>
        <v/>
      </c>
      <c r="N451" s="9" t="str">
        <f>IF(D451=$N$3,1,"")</f>
        <v/>
      </c>
      <c r="O451" s="9" t="str">
        <f>IF(D451=$O$3,1,"")</f>
        <v/>
      </c>
      <c r="P451" s="9" t="str">
        <f>IF(D451=$P$3,1,"")</f>
        <v/>
      </c>
      <c r="Q451" s="9" t="str">
        <f>IF(D451=$Q$3,1,"")</f>
        <v/>
      </c>
      <c r="R451" s="9" t="str">
        <f>IF(D451=$R$3,1,"")</f>
        <v/>
      </c>
      <c r="S451" s="9" t="str">
        <f>IF(D451=$S$3,1,"")</f>
        <v/>
      </c>
      <c r="T451" s="9" t="str">
        <f>IF(D451=$T$3,1,"")</f>
        <v/>
      </c>
      <c r="U451" s="9" t="str">
        <f>IF(D451=$U$3,1,"")</f>
        <v/>
      </c>
      <c r="V451" s="9" t="str">
        <f>IF(D451=$V$3,1,"")</f>
        <v/>
      </c>
      <c r="W451" s="9" t="str">
        <f>IF(D451=$W$3,1,"")</f>
        <v/>
      </c>
      <c r="X451" s="9" t="str">
        <f>IF(D451=$X$3,1,"")</f>
        <v/>
      </c>
      <c r="Y451" s="9" t="e">
        <f>IF(#REF!=$X$3,1,"")</f>
        <v>#REF!</v>
      </c>
      <c r="Z451" s="9">
        <f t="shared" si="103"/>
        <v>1</v>
      </c>
      <c r="AA451" s="9">
        <f t="shared" si="104"/>
        <v>1</v>
      </c>
      <c r="AB451" s="9">
        <f t="shared" si="105"/>
        <v>1</v>
      </c>
      <c r="AC451" s="9">
        <f t="shared" si="106"/>
        <v>1</v>
      </c>
      <c r="AD451" s="9">
        <f t="shared" si="107"/>
        <v>1</v>
      </c>
    </row>
    <row r="452" spans="1:30" ht="21" customHeight="1" x14ac:dyDescent="0.2">
      <c r="A452" s="15" t="str">
        <f t="shared" si="102"/>
        <v/>
      </c>
      <c r="B452" s="34"/>
      <c r="C452" s="20" t="str">
        <f t="shared" si="108"/>
        <v/>
      </c>
      <c r="D452" s="21"/>
      <c r="E452" s="20"/>
      <c r="F452" s="18"/>
      <c r="G452" s="9"/>
      <c r="H452" s="19"/>
      <c r="M452" s="9" t="str">
        <f>IF(D452=$M$3,1,"")</f>
        <v/>
      </c>
      <c r="N452" s="9" t="str">
        <f>IF(D452=$N$3,1,"")</f>
        <v/>
      </c>
      <c r="O452" s="9" t="str">
        <f>IF(D452=$O$3,1,"")</f>
        <v/>
      </c>
      <c r="P452" s="9" t="str">
        <f>IF(D452=$P$3,1,"")</f>
        <v/>
      </c>
      <c r="Q452" s="9" t="str">
        <f>IF(D452=$Q$3,1,"")</f>
        <v/>
      </c>
      <c r="R452" s="9" t="str">
        <f>IF(D452=$R$3,1,"")</f>
        <v/>
      </c>
      <c r="S452" s="9" t="str">
        <f>IF(D452=$S$3,1,"")</f>
        <v/>
      </c>
      <c r="T452" s="9" t="str">
        <f>IF(D452=$T$3,1,"")</f>
        <v/>
      </c>
      <c r="U452" s="9" t="str">
        <f>IF(D452=$U$3,1,"")</f>
        <v/>
      </c>
      <c r="V452" s="9" t="str">
        <f>IF(D452=$V$3,1,"")</f>
        <v/>
      </c>
      <c r="W452" s="9" t="str">
        <f>IF(D452=$W$3,1,"")</f>
        <v/>
      </c>
      <c r="X452" s="9" t="str">
        <f>IF(D452=$X$3,1,"")</f>
        <v/>
      </c>
      <c r="Y452" s="9" t="e">
        <f>IF(#REF!=$X$3,1,"")</f>
        <v>#REF!</v>
      </c>
      <c r="Z452" s="9">
        <f t="shared" si="103"/>
        <v>1</v>
      </c>
      <c r="AA452" s="9">
        <f t="shared" si="104"/>
        <v>1</v>
      </c>
      <c r="AB452" s="9">
        <f t="shared" si="105"/>
        <v>1</v>
      </c>
      <c r="AC452" s="9">
        <f t="shared" si="106"/>
        <v>1</v>
      </c>
      <c r="AD452" s="9">
        <f t="shared" si="107"/>
        <v>1</v>
      </c>
    </row>
    <row r="453" spans="1:30" ht="21" customHeight="1" x14ac:dyDescent="0.2">
      <c r="A453" s="15" t="str">
        <f t="shared" si="102"/>
        <v/>
      </c>
      <c r="B453" s="34"/>
      <c r="C453" s="20" t="str">
        <f t="shared" si="108"/>
        <v/>
      </c>
      <c r="D453" s="21"/>
      <c r="E453" s="20"/>
      <c r="F453" s="18"/>
      <c r="G453" s="9"/>
      <c r="H453" s="19"/>
      <c r="M453" s="9" t="str">
        <f>IF(D453=$M$3,1,"")</f>
        <v/>
      </c>
      <c r="N453" s="9" t="str">
        <f>IF(D453=$N$3,1,"")</f>
        <v/>
      </c>
      <c r="O453" s="9" t="str">
        <f>IF(D453=$O$3,1,"")</f>
        <v/>
      </c>
      <c r="P453" s="9" t="str">
        <f>IF(D453=$P$3,1,"")</f>
        <v/>
      </c>
      <c r="Q453" s="9" t="str">
        <f>IF(D453=$Q$3,1,"")</f>
        <v/>
      </c>
      <c r="R453" s="9" t="str">
        <f>IF(D453=$R$3,1,"")</f>
        <v/>
      </c>
      <c r="S453" s="9" t="str">
        <f>IF(D453=$S$3,1,"")</f>
        <v/>
      </c>
      <c r="T453" s="9" t="str">
        <f>IF(D453=$T$3,1,"")</f>
        <v/>
      </c>
      <c r="U453" s="9" t="str">
        <f>IF(D453=$U$3,1,"")</f>
        <v/>
      </c>
      <c r="V453" s="9" t="str">
        <f>IF(D453=$V$3,1,"")</f>
        <v/>
      </c>
      <c r="W453" s="9" t="str">
        <f>IF(D453=$W$3,1,"")</f>
        <v/>
      </c>
      <c r="X453" s="9" t="str">
        <f>IF(D453=$X$3,1,"")</f>
        <v/>
      </c>
      <c r="Y453" s="9" t="e">
        <f>IF(#REF!=$X$3,1,"")</f>
        <v>#REF!</v>
      </c>
      <c r="Z453" s="9">
        <f t="shared" si="103"/>
        <v>1</v>
      </c>
      <c r="AA453" s="9">
        <f t="shared" si="104"/>
        <v>1</v>
      </c>
      <c r="AB453" s="9">
        <f t="shared" si="105"/>
        <v>1</v>
      </c>
      <c r="AC453" s="9">
        <f t="shared" si="106"/>
        <v>1</v>
      </c>
      <c r="AD453" s="9">
        <f t="shared" si="107"/>
        <v>1</v>
      </c>
    </row>
    <row r="454" spans="1:30" ht="21" customHeight="1" x14ac:dyDescent="0.2">
      <c r="A454" s="15" t="str">
        <f t="shared" si="102"/>
        <v/>
      </c>
      <c r="B454" s="34"/>
      <c r="C454" s="20" t="str">
        <f t="shared" si="108"/>
        <v/>
      </c>
      <c r="D454" s="21"/>
      <c r="E454" s="20"/>
      <c r="F454" s="18"/>
      <c r="G454" s="9"/>
      <c r="H454" s="19"/>
      <c r="M454" s="9" t="str">
        <f>IF(D454=$M$3,1,"")</f>
        <v/>
      </c>
      <c r="N454" s="9" t="str">
        <f>IF(D454=$N$3,1,"")</f>
        <v/>
      </c>
      <c r="O454" s="9" t="str">
        <f>IF(D454=$O$3,1,"")</f>
        <v/>
      </c>
      <c r="P454" s="9" t="str">
        <f>IF(D454=$P$3,1,"")</f>
        <v/>
      </c>
      <c r="Q454" s="9" t="str">
        <f>IF(D454=$Q$3,1,"")</f>
        <v/>
      </c>
      <c r="R454" s="9" t="str">
        <f>IF(D454=$R$3,1,"")</f>
        <v/>
      </c>
      <c r="S454" s="9" t="str">
        <f>IF(D454=$S$3,1,"")</f>
        <v/>
      </c>
      <c r="T454" s="9" t="str">
        <f>IF(D454=$T$3,1,"")</f>
        <v/>
      </c>
      <c r="U454" s="9" t="str">
        <f>IF(D454=$U$3,1,"")</f>
        <v/>
      </c>
      <c r="V454" s="9" t="str">
        <f>IF(D454=$V$3,1,"")</f>
        <v/>
      </c>
      <c r="W454" s="9" t="str">
        <f>IF(D454=$W$3,1,"")</f>
        <v/>
      </c>
      <c r="X454" s="9" t="str">
        <f>IF(D454=$X$3,1,"")</f>
        <v/>
      </c>
      <c r="Y454" s="9" t="e">
        <f>IF(#REF!=$X$3,1,"")</f>
        <v>#REF!</v>
      </c>
      <c r="Z454" s="9">
        <f t="shared" si="103"/>
        <v>1</v>
      </c>
      <c r="AA454" s="9">
        <f t="shared" si="104"/>
        <v>1</v>
      </c>
      <c r="AB454" s="9">
        <f t="shared" si="105"/>
        <v>1</v>
      </c>
      <c r="AC454" s="9">
        <f t="shared" si="106"/>
        <v>1</v>
      </c>
      <c r="AD454" s="9">
        <f t="shared" si="107"/>
        <v>1</v>
      </c>
    </row>
    <row r="455" spans="1:30" ht="21" customHeight="1" x14ac:dyDescent="0.2">
      <c r="A455" s="15" t="str">
        <f t="shared" si="102"/>
        <v/>
      </c>
      <c r="B455" s="34"/>
      <c r="C455" s="20" t="str">
        <f t="shared" si="108"/>
        <v/>
      </c>
      <c r="D455" s="21"/>
      <c r="E455" s="20"/>
      <c r="F455" s="18"/>
      <c r="G455" s="9"/>
      <c r="H455" s="19"/>
      <c r="M455" s="9" t="str">
        <f>IF(D455=$M$3,1,"")</f>
        <v/>
      </c>
      <c r="N455" s="9" t="str">
        <f>IF(D455=$N$3,1,"")</f>
        <v/>
      </c>
      <c r="O455" s="9" t="str">
        <f>IF(D455=$O$3,1,"")</f>
        <v/>
      </c>
      <c r="P455" s="9" t="str">
        <f>IF(D455=$P$3,1,"")</f>
        <v/>
      </c>
      <c r="Q455" s="9" t="str">
        <f>IF(D455=$Q$3,1,"")</f>
        <v/>
      </c>
      <c r="R455" s="9" t="str">
        <f>IF(D455=$R$3,1,"")</f>
        <v/>
      </c>
      <c r="S455" s="9" t="str">
        <f>IF(D455=$S$3,1,"")</f>
        <v/>
      </c>
      <c r="T455" s="9" t="str">
        <f>IF(D455=$T$3,1,"")</f>
        <v/>
      </c>
      <c r="U455" s="9" t="str">
        <f>IF(D455=$U$3,1,"")</f>
        <v/>
      </c>
      <c r="V455" s="9" t="str">
        <f>IF(D455=$V$3,1,"")</f>
        <v/>
      </c>
      <c r="W455" s="9" t="str">
        <f>IF(D455=$W$3,1,"")</f>
        <v/>
      </c>
      <c r="X455" s="9" t="str">
        <f>IF(D455=$X$3,1,"")</f>
        <v/>
      </c>
      <c r="Y455" s="9" t="e">
        <f>IF(#REF!=$X$3,1,"")</f>
        <v>#REF!</v>
      </c>
      <c r="Z455" s="9">
        <f t="shared" si="103"/>
        <v>1</v>
      </c>
      <c r="AA455" s="9">
        <f t="shared" si="104"/>
        <v>1</v>
      </c>
      <c r="AB455" s="9">
        <f t="shared" si="105"/>
        <v>1</v>
      </c>
      <c r="AC455" s="9">
        <f t="shared" si="106"/>
        <v>1</v>
      </c>
      <c r="AD455" s="9">
        <f t="shared" si="107"/>
        <v>1</v>
      </c>
    </row>
    <row r="456" spans="1:30" ht="21" customHeight="1" x14ac:dyDescent="0.2">
      <c r="A456" s="15" t="str">
        <f t="shared" si="102"/>
        <v/>
      </c>
      <c r="B456" s="34"/>
      <c r="C456" s="20" t="str">
        <f t="shared" si="108"/>
        <v/>
      </c>
      <c r="D456" s="21"/>
      <c r="E456" s="20"/>
      <c r="F456" s="18"/>
      <c r="G456" s="9"/>
      <c r="H456" s="19"/>
      <c r="M456" s="9" t="str">
        <f>IF(D456=$M$3,1,"")</f>
        <v/>
      </c>
      <c r="N456" s="9" t="str">
        <f>IF(D456=$N$3,1,"")</f>
        <v/>
      </c>
      <c r="O456" s="9" t="str">
        <f>IF(D456=$O$3,1,"")</f>
        <v/>
      </c>
      <c r="P456" s="9" t="str">
        <f>IF(D456=$P$3,1,"")</f>
        <v/>
      </c>
      <c r="Q456" s="9" t="str">
        <f>IF(D456=$Q$3,1,"")</f>
        <v/>
      </c>
      <c r="R456" s="9" t="str">
        <f>IF(D456=$R$3,1,"")</f>
        <v/>
      </c>
      <c r="S456" s="9" t="str">
        <f>IF(D456=$S$3,1,"")</f>
        <v/>
      </c>
      <c r="T456" s="9" t="str">
        <f>IF(D456=$T$3,1,"")</f>
        <v/>
      </c>
      <c r="U456" s="9" t="str">
        <f>IF(D456=$U$3,1,"")</f>
        <v/>
      </c>
      <c r="V456" s="9" t="str">
        <f>IF(D456=$V$3,1,"")</f>
        <v/>
      </c>
      <c r="W456" s="9" t="str">
        <f>IF(D456=$W$3,1,"")</f>
        <v/>
      </c>
      <c r="X456" s="9" t="str">
        <f>IF(D456=$X$3,1,"")</f>
        <v/>
      </c>
      <c r="Y456" s="9" t="e">
        <f>IF(#REF!=$X$3,1,"")</f>
        <v>#REF!</v>
      </c>
      <c r="Z456" s="9">
        <f t="shared" si="103"/>
        <v>1</v>
      </c>
      <c r="AA456" s="9">
        <f t="shared" si="104"/>
        <v>1</v>
      </c>
      <c r="AB456" s="9">
        <f t="shared" si="105"/>
        <v>1</v>
      </c>
      <c r="AC456" s="9">
        <f t="shared" si="106"/>
        <v>1</v>
      </c>
      <c r="AD456" s="9">
        <f t="shared" si="107"/>
        <v>1</v>
      </c>
    </row>
    <row r="457" spans="1:30" ht="21" customHeight="1" x14ac:dyDescent="0.2">
      <c r="A457" s="15" t="str">
        <f t="shared" si="102"/>
        <v/>
      </c>
      <c r="B457" s="34"/>
      <c r="C457" s="20" t="str">
        <f t="shared" si="108"/>
        <v/>
      </c>
      <c r="D457" s="21"/>
      <c r="E457" s="20"/>
      <c r="F457" s="18"/>
      <c r="G457" s="9"/>
      <c r="H457" s="19"/>
      <c r="M457" s="9" t="str">
        <f>IF(D457=$M$3,1,"")</f>
        <v/>
      </c>
      <c r="N457" s="9" t="str">
        <f>IF(D457=$N$3,1,"")</f>
        <v/>
      </c>
      <c r="O457" s="9" t="str">
        <f>IF(D457=$O$3,1,"")</f>
        <v/>
      </c>
      <c r="P457" s="9" t="str">
        <f>IF(D457=$P$3,1,"")</f>
        <v/>
      </c>
      <c r="Q457" s="9" t="str">
        <f>IF(D457=$Q$3,1,"")</f>
        <v/>
      </c>
      <c r="R457" s="9" t="str">
        <f>IF(D457=$R$3,1,"")</f>
        <v/>
      </c>
      <c r="S457" s="9" t="str">
        <f>IF(D457=$S$3,1,"")</f>
        <v/>
      </c>
      <c r="T457" s="9" t="str">
        <f>IF(D457=$T$3,1,"")</f>
        <v/>
      </c>
      <c r="U457" s="9" t="str">
        <f>IF(D457=$U$3,1,"")</f>
        <v/>
      </c>
      <c r="V457" s="9" t="str">
        <f>IF(D457=$V$3,1,"")</f>
        <v/>
      </c>
      <c r="W457" s="9" t="str">
        <f>IF(D457=$W$3,1,"")</f>
        <v/>
      </c>
      <c r="X457" s="9" t="str">
        <f>IF(D457=$X$3,1,"")</f>
        <v/>
      </c>
      <c r="Y457" s="9" t="e">
        <f>IF(#REF!=$X$3,1,"")</f>
        <v>#REF!</v>
      </c>
      <c r="Z457" s="9">
        <f t="shared" si="103"/>
        <v>1</v>
      </c>
      <c r="AA457" s="9">
        <f t="shared" si="104"/>
        <v>1</v>
      </c>
      <c r="AB457" s="9">
        <f t="shared" si="105"/>
        <v>1</v>
      </c>
      <c r="AC457" s="9">
        <f t="shared" si="106"/>
        <v>1</v>
      </c>
      <c r="AD457" s="9">
        <f t="shared" si="107"/>
        <v>1</v>
      </c>
    </row>
    <row r="458" spans="1:30" ht="21" customHeight="1" x14ac:dyDescent="0.2">
      <c r="A458" s="15" t="str">
        <f t="shared" si="102"/>
        <v/>
      </c>
      <c r="B458" s="34"/>
      <c r="C458" s="20" t="str">
        <f t="shared" si="108"/>
        <v/>
      </c>
      <c r="D458" s="21"/>
      <c r="E458" s="20"/>
      <c r="F458" s="18"/>
      <c r="G458" s="9"/>
      <c r="H458" s="19"/>
      <c r="M458" s="9" t="str">
        <f>IF(D458=$M$3,1,"")</f>
        <v/>
      </c>
      <c r="N458" s="9" t="str">
        <f>IF(D458=$N$3,1,"")</f>
        <v/>
      </c>
      <c r="O458" s="9" t="str">
        <f>IF(D458=$O$3,1,"")</f>
        <v/>
      </c>
      <c r="P458" s="9" t="str">
        <f>IF(D458=$P$3,1,"")</f>
        <v/>
      </c>
      <c r="Q458" s="9" t="str">
        <f>IF(D458=$Q$3,1,"")</f>
        <v/>
      </c>
      <c r="R458" s="9" t="str">
        <f>IF(D458=$R$3,1,"")</f>
        <v/>
      </c>
      <c r="S458" s="9" t="str">
        <f>IF(D458=$S$3,1,"")</f>
        <v/>
      </c>
      <c r="T458" s="9" t="str">
        <f>IF(D458=$T$3,1,"")</f>
        <v/>
      </c>
      <c r="U458" s="9" t="str">
        <f>IF(D458=$U$3,1,"")</f>
        <v/>
      </c>
      <c r="V458" s="9" t="str">
        <f>IF(D458=$V$3,1,"")</f>
        <v/>
      </c>
      <c r="W458" s="9" t="str">
        <f>IF(D458=$W$3,1,"")</f>
        <v/>
      </c>
      <c r="X458" s="9" t="str">
        <f>IF(D458=$X$3,1,"")</f>
        <v/>
      </c>
      <c r="Y458" s="9" t="e">
        <f>IF(#REF!=$X$3,1,"")</f>
        <v>#REF!</v>
      </c>
      <c r="Z458" s="9">
        <f t="shared" si="103"/>
        <v>1</v>
      </c>
      <c r="AA458" s="9">
        <f t="shared" si="104"/>
        <v>1</v>
      </c>
      <c r="AB458" s="9">
        <f t="shared" si="105"/>
        <v>1</v>
      </c>
      <c r="AC458" s="9">
        <f t="shared" si="106"/>
        <v>1</v>
      </c>
      <c r="AD458" s="9">
        <f t="shared" si="107"/>
        <v>1</v>
      </c>
    </row>
    <row r="459" spans="1:30" ht="21" customHeight="1" x14ac:dyDescent="0.2">
      <c r="A459" s="15" t="str">
        <f t="shared" si="102"/>
        <v/>
      </c>
      <c r="B459" s="34"/>
      <c r="C459" s="20" t="str">
        <f t="shared" si="108"/>
        <v/>
      </c>
      <c r="D459" s="21"/>
      <c r="E459" s="20"/>
      <c r="F459" s="18"/>
      <c r="G459" s="9"/>
      <c r="H459" s="19"/>
      <c r="M459" s="9" t="str">
        <f>IF(D459=$M$3,1,"")</f>
        <v/>
      </c>
      <c r="N459" s="9" t="str">
        <f>IF(D459=$N$3,1,"")</f>
        <v/>
      </c>
      <c r="O459" s="9" t="str">
        <f>IF(D459=$O$3,1,"")</f>
        <v/>
      </c>
      <c r="P459" s="9" t="str">
        <f>IF(D459=$P$3,1,"")</f>
        <v/>
      </c>
      <c r="Q459" s="9" t="str">
        <f>IF(D459=$Q$3,1,"")</f>
        <v/>
      </c>
      <c r="R459" s="9" t="str">
        <f>IF(D459=$R$3,1,"")</f>
        <v/>
      </c>
      <c r="S459" s="9" t="str">
        <f>IF(D459=$S$3,1,"")</f>
        <v/>
      </c>
      <c r="T459" s="9" t="str">
        <f>IF(D459=$T$3,1,"")</f>
        <v/>
      </c>
      <c r="U459" s="9" t="str">
        <f>IF(D459=$U$3,1,"")</f>
        <v/>
      </c>
      <c r="V459" s="9" t="str">
        <f>IF(D459=$V$3,1,"")</f>
        <v/>
      </c>
      <c r="W459" s="9" t="str">
        <f>IF(D459=$W$3,1,"")</f>
        <v/>
      </c>
      <c r="X459" s="9" t="str">
        <f>IF(D459=$X$3,1,"")</f>
        <v/>
      </c>
      <c r="Y459" s="9" t="e">
        <f>IF(#REF!=$X$3,1,"")</f>
        <v>#REF!</v>
      </c>
      <c r="Z459" s="9">
        <f t="shared" si="103"/>
        <v>1</v>
      </c>
      <c r="AA459" s="9">
        <f t="shared" si="104"/>
        <v>1</v>
      </c>
      <c r="AB459" s="9">
        <f t="shared" si="105"/>
        <v>1</v>
      </c>
      <c r="AC459" s="9">
        <f t="shared" si="106"/>
        <v>1</v>
      </c>
      <c r="AD459" s="9">
        <f t="shared" si="107"/>
        <v>1</v>
      </c>
    </row>
    <row r="460" spans="1:30" ht="21" customHeight="1" x14ac:dyDescent="0.2">
      <c r="A460" s="15" t="str">
        <f t="shared" si="102"/>
        <v/>
      </c>
      <c r="B460" s="34"/>
      <c r="C460" s="20" t="str">
        <f t="shared" si="108"/>
        <v/>
      </c>
      <c r="D460" s="21"/>
      <c r="E460" s="20"/>
      <c r="F460" s="18"/>
      <c r="G460" s="9"/>
      <c r="H460" s="19"/>
      <c r="M460" s="9" t="str">
        <f>IF(D460=$M$3,1,"")</f>
        <v/>
      </c>
      <c r="N460" s="9" t="str">
        <f>IF(D460=$N$3,1,"")</f>
        <v/>
      </c>
      <c r="O460" s="9" t="str">
        <f>IF(D460=$O$3,1,"")</f>
        <v/>
      </c>
      <c r="P460" s="9" t="str">
        <f>IF(D460=$P$3,1,"")</f>
        <v/>
      </c>
      <c r="Q460" s="9" t="str">
        <f>IF(D460=$Q$3,1,"")</f>
        <v/>
      </c>
      <c r="R460" s="9" t="str">
        <f>IF(D460=$R$3,1,"")</f>
        <v/>
      </c>
      <c r="S460" s="9" t="str">
        <f>IF(D460=$S$3,1,"")</f>
        <v/>
      </c>
      <c r="T460" s="9" t="str">
        <f>IF(D460=$T$3,1,"")</f>
        <v/>
      </c>
      <c r="U460" s="9" t="str">
        <f>IF(D460=$U$3,1,"")</f>
        <v/>
      </c>
      <c r="V460" s="9" t="str">
        <f>IF(D460=$V$3,1,"")</f>
        <v/>
      </c>
      <c r="W460" s="9" t="str">
        <f>IF(D460=$W$3,1,"")</f>
        <v/>
      </c>
      <c r="X460" s="9" t="str">
        <f>IF(D460=$X$3,1,"")</f>
        <v/>
      </c>
      <c r="Y460" s="9" t="e">
        <f>IF(#REF!=$X$3,1,"")</f>
        <v>#REF!</v>
      </c>
      <c r="Z460" s="9">
        <f t="shared" si="103"/>
        <v>1</v>
      </c>
      <c r="AA460" s="9">
        <f t="shared" si="104"/>
        <v>1</v>
      </c>
      <c r="AB460" s="9">
        <f t="shared" si="105"/>
        <v>1</v>
      </c>
      <c r="AC460" s="9">
        <f t="shared" si="106"/>
        <v>1</v>
      </c>
      <c r="AD460" s="9">
        <f t="shared" si="107"/>
        <v>1</v>
      </c>
    </row>
    <row r="461" spans="1:30" ht="21" customHeight="1" x14ac:dyDescent="0.2">
      <c r="A461" s="15" t="str">
        <f t="shared" si="102"/>
        <v/>
      </c>
      <c r="B461" s="34"/>
      <c r="C461" s="20" t="str">
        <f t="shared" si="108"/>
        <v/>
      </c>
      <c r="D461" s="21"/>
      <c r="E461" s="20"/>
      <c r="F461" s="18"/>
      <c r="G461" s="9"/>
      <c r="H461" s="19"/>
      <c r="M461" s="9" t="str">
        <f>IF(D461=$M$3,1,"")</f>
        <v/>
      </c>
      <c r="N461" s="9" t="str">
        <f>IF(D461=$N$3,1,"")</f>
        <v/>
      </c>
      <c r="O461" s="9" t="str">
        <f>IF(D461=$O$3,1,"")</f>
        <v/>
      </c>
      <c r="P461" s="9" t="str">
        <f>IF(D461=$P$3,1,"")</f>
        <v/>
      </c>
      <c r="Q461" s="9" t="str">
        <f>IF(D461=$Q$3,1,"")</f>
        <v/>
      </c>
      <c r="R461" s="9" t="str">
        <f>IF(D461=$R$3,1,"")</f>
        <v/>
      </c>
      <c r="S461" s="9" t="str">
        <f>IF(D461=$S$3,1,"")</f>
        <v/>
      </c>
      <c r="T461" s="9" t="str">
        <f>IF(D461=$T$3,1,"")</f>
        <v/>
      </c>
      <c r="U461" s="9" t="str">
        <f>IF(D461=$U$3,1,"")</f>
        <v/>
      </c>
      <c r="V461" s="9" t="str">
        <f>IF(D461=$V$3,1,"")</f>
        <v/>
      </c>
      <c r="W461" s="9" t="str">
        <f>IF(D461=$W$3,1,"")</f>
        <v/>
      </c>
      <c r="X461" s="9" t="str">
        <f>IF(D461=$X$3,1,"")</f>
        <v/>
      </c>
      <c r="Y461" s="9" t="e">
        <f>IF(#REF!=$X$3,1,"")</f>
        <v>#REF!</v>
      </c>
      <c r="Z461" s="9">
        <f t="shared" si="103"/>
        <v>1</v>
      </c>
      <c r="AA461" s="9">
        <f t="shared" si="104"/>
        <v>1</v>
      </c>
      <c r="AB461" s="9">
        <f t="shared" si="105"/>
        <v>1</v>
      </c>
      <c r="AC461" s="9">
        <f t="shared" si="106"/>
        <v>1</v>
      </c>
      <c r="AD461" s="9">
        <f t="shared" si="107"/>
        <v>1</v>
      </c>
    </row>
    <row r="462" spans="1:30" ht="21" customHeight="1" x14ac:dyDescent="0.2">
      <c r="A462" s="15" t="str">
        <f t="shared" ref="A462:A524" si="109">IF(B462="","",A461+1)</f>
        <v/>
      </c>
      <c r="B462" s="34"/>
      <c r="C462" s="20" t="str">
        <f t="shared" si="108"/>
        <v/>
      </c>
      <c r="D462" s="21"/>
      <c r="E462" s="20"/>
      <c r="F462" s="18"/>
      <c r="G462" s="9"/>
      <c r="H462" s="19"/>
      <c r="M462" s="9" t="str">
        <f>IF(D462=$M$3,1,"")</f>
        <v/>
      </c>
      <c r="N462" s="9" t="str">
        <f>IF(D462=$N$3,1,"")</f>
        <v/>
      </c>
      <c r="O462" s="9" t="str">
        <f>IF(D462=$O$3,1,"")</f>
        <v/>
      </c>
      <c r="P462" s="9" t="str">
        <f>IF(D462=$P$3,1,"")</f>
        <v/>
      </c>
      <c r="Q462" s="9" t="str">
        <f>IF(D462=$Q$3,1,"")</f>
        <v/>
      </c>
      <c r="R462" s="9" t="str">
        <f>IF(D462=$R$3,1,"")</f>
        <v/>
      </c>
      <c r="S462" s="9" t="str">
        <f>IF(D462=$S$3,1,"")</f>
        <v/>
      </c>
      <c r="T462" s="9" t="str">
        <f>IF(D462=$T$3,1,"")</f>
        <v/>
      </c>
      <c r="U462" s="9" t="str">
        <f>IF(D462=$U$3,1,"")</f>
        <v/>
      </c>
      <c r="V462" s="9" t="str">
        <f>IF(D462=$V$3,1,"")</f>
        <v/>
      </c>
      <c r="W462" s="9" t="str">
        <f>IF(D462=$W$3,1,"")</f>
        <v/>
      </c>
      <c r="X462" s="9" t="str">
        <f>IF(D462=$X$3,1,"")</f>
        <v/>
      </c>
      <c r="Y462" s="9" t="e">
        <f>IF(#REF!=$X$3,1,"")</f>
        <v>#REF!</v>
      </c>
      <c r="Z462" s="9">
        <f t="shared" si="103"/>
        <v>1</v>
      </c>
      <c r="AA462" s="9">
        <f t="shared" si="104"/>
        <v>1</v>
      </c>
      <c r="AB462" s="9">
        <f t="shared" si="105"/>
        <v>1</v>
      </c>
      <c r="AC462" s="9">
        <f t="shared" si="106"/>
        <v>1</v>
      </c>
      <c r="AD462" s="9">
        <f t="shared" si="107"/>
        <v>1</v>
      </c>
    </row>
    <row r="463" spans="1:30" ht="21" customHeight="1" x14ac:dyDescent="0.2">
      <c r="A463" s="15" t="str">
        <f t="shared" si="109"/>
        <v/>
      </c>
      <c r="B463" s="34"/>
      <c r="C463" s="20" t="str">
        <f t="shared" si="108"/>
        <v/>
      </c>
      <c r="D463" s="21"/>
      <c r="E463" s="20"/>
      <c r="F463" s="18"/>
      <c r="G463" s="9"/>
      <c r="H463" s="19"/>
      <c r="M463" s="9" t="str">
        <f>IF(D463=$M$3,1,"")</f>
        <v/>
      </c>
      <c r="N463" s="9" t="str">
        <f>IF(D463=$N$3,1,"")</f>
        <v/>
      </c>
      <c r="O463" s="9" t="str">
        <f>IF(D463=$O$3,1,"")</f>
        <v/>
      </c>
      <c r="P463" s="9" t="str">
        <f>IF(D463=$P$3,1,"")</f>
        <v/>
      </c>
      <c r="Q463" s="9" t="str">
        <f>IF(D463=$Q$3,1,"")</f>
        <v/>
      </c>
      <c r="R463" s="9" t="str">
        <f>IF(D463=$R$3,1,"")</f>
        <v/>
      </c>
      <c r="S463" s="9" t="str">
        <f>IF(D463=$S$3,1,"")</f>
        <v/>
      </c>
      <c r="T463" s="9" t="str">
        <f>IF(D463=$T$3,1,"")</f>
        <v/>
      </c>
      <c r="U463" s="9" t="str">
        <f>IF(D463=$U$3,1,"")</f>
        <v/>
      </c>
      <c r="V463" s="9" t="str">
        <f>IF(D463=$V$3,1,"")</f>
        <v/>
      </c>
      <c r="W463" s="9" t="str">
        <f>IF(D463=$W$3,1,"")</f>
        <v/>
      </c>
      <c r="X463" s="9" t="str">
        <f>IF(D463=$X$3,1,"")</f>
        <v/>
      </c>
      <c r="Y463" s="9" t="e">
        <f>IF(#REF!=$X$3,1,"")</f>
        <v>#REF!</v>
      </c>
      <c r="Z463" s="9">
        <f t="shared" si="103"/>
        <v>1</v>
      </c>
      <c r="AA463" s="9">
        <f t="shared" si="104"/>
        <v>1</v>
      </c>
      <c r="AB463" s="9">
        <f t="shared" si="105"/>
        <v>1</v>
      </c>
      <c r="AC463" s="9">
        <f t="shared" si="106"/>
        <v>1</v>
      </c>
      <c r="AD463" s="9">
        <f t="shared" si="107"/>
        <v>1</v>
      </c>
    </row>
    <row r="464" spans="1:30" ht="21" customHeight="1" x14ac:dyDescent="0.2">
      <c r="A464" s="15" t="str">
        <f t="shared" si="109"/>
        <v/>
      </c>
      <c r="B464" s="34"/>
      <c r="C464" s="20" t="str">
        <f t="shared" si="108"/>
        <v/>
      </c>
      <c r="D464" s="21"/>
      <c r="E464" s="20"/>
      <c r="F464" s="18"/>
      <c r="G464" s="9"/>
      <c r="H464" s="19"/>
      <c r="M464" s="9" t="str">
        <f>IF(D464=$M$3,1,"")</f>
        <v/>
      </c>
      <c r="N464" s="9" t="str">
        <f>IF(D464=$N$3,1,"")</f>
        <v/>
      </c>
      <c r="O464" s="9" t="str">
        <f>IF(D464=$O$3,1,"")</f>
        <v/>
      </c>
      <c r="P464" s="9" t="str">
        <f>IF(D464=$P$3,1,"")</f>
        <v/>
      </c>
      <c r="Q464" s="9" t="str">
        <f>IF(D464=$Q$3,1,"")</f>
        <v/>
      </c>
      <c r="R464" s="9" t="str">
        <f>IF(D464=$R$3,1,"")</f>
        <v/>
      </c>
      <c r="S464" s="9" t="str">
        <f>IF(D464=$S$3,1,"")</f>
        <v/>
      </c>
      <c r="T464" s="9" t="str">
        <f>IF(D464=$T$3,1,"")</f>
        <v/>
      </c>
      <c r="U464" s="9" t="str">
        <f>IF(D464=$U$3,1,"")</f>
        <v/>
      </c>
      <c r="V464" s="9" t="str">
        <f>IF(D464=$V$3,1,"")</f>
        <v/>
      </c>
      <c r="W464" s="9" t="str">
        <f>IF(D464=$W$3,1,"")</f>
        <v/>
      </c>
      <c r="X464" s="9" t="str">
        <f>IF(D464=$X$3,1,"")</f>
        <v/>
      </c>
      <c r="Y464" s="9" t="e">
        <f>IF(#REF!=$X$3,1,"")</f>
        <v>#REF!</v>
      </c>
      <c r="Z464" s="9">
        <f t="shared" si="103"/>
        <v>1</v>
      </c>
      <c r="AA464" s="9">
        <f t="shared" si="104"/>
        <v>1</v>
      </c>
      <c r="AB464" s="9">
        <f t="shared" si="105"/>
        <v>1</v>
      </c>
      <c r="AC464" s="9">
        <f t="shared" si="106"/>
        <v>1</v>
      </c>
      <c r="AD464" s="9">
        <f t="shared" si="107"/>
        <v>1</v>
      </c>
    </row>
    <row r="465" spans="1:30" ht="21" customHeight="1" x14ac:dyDescent="0.2">
      <c r="A465" s="15" t="str">
        <f t="shared" si="109"/>
        <v/>
      </c>
      <c r="B465" s="34"/>
      <c r="C465" s="20" t="str">
        <f t="shared" si="108"/>
        <v/>
      </c>
      <c r="D465" s="21"/>
      <c r="E465" s="20"/>
      <c r="F465" s="18"/>
      <c r="G465" s="9"/>
      <c r="H465" s="19"/>
      <c r="M465" s="9" t="str">
        <f>IF(D465=$M$3,1,"")</f>
        <v/>
      </c>
      <c r="N465" s="9" t="str">
        <f>IF(D465=$N$3,1,"")</f>
        <v/>
      </c>
      <c r="O465" s="9" t="str">
        <f>IF(D465=$O$3,1,"")</f>
        <v/>
      </c>
      <c r="P465" s="9" t="str">
        <f>IF(D465=$P$3,1,"")</f>
        <v/>
      </c>
      <c r="Q465" s="9" t="str">
        <f>IF(D465=$Q$3,1,"")</f>
        <v/>
      </c>
      <c r="R465" s="9" t="str">
        <f>IF(D465=$R$3,1,"")</f>
        <v/>
      </c>
      <c r="S465" s="9" t="str">
        <f>IF(D465=$S$3,1,"")</f>
        <v/>
      </c>
      <c r="T465" s="9" t="str">
        <f>IF(D465=$T$3,1,"")</f>
        <v/>
      </c>
      <c r="U465" s="9" t="str">
        <f>IF(D465=$U$3,1,"")</f>
        <v/>
      </c>
      <c r="V465" s="9" t="str">
        <f>IF(D465=$V$3,1,"")</f>
        <v/>
      </c>
      <c r="W465" s="9" t="str">
        <f>IF(D465=$W$3,1,"")</f>
        <v/>
      </c>
      <c r="X465" s="9" t="str">
        <f>IF(D465=$X$3,1,"")</f>
        <v/>
      </c>
      <c r="Y465" s="9" t="e">
        <f>IF(#REF!=$X$3,1,"")</f>
        <v>#REF!</v>
      </c>
      <c r="Z465" s="9">
        <f t="shared" si="103"/>
        <v>1</v>
      </c>
      <c r="AA465" s="9">
        <f t="shared" si="104"/>
        <v>1</v>
      </c>
      <c r="AB465" s="9">
        <f t="shared" si="105"/>
        <v>1</v>
      </c>
      <c r="AC465" s="9">
        <f t="shared" si="106"/>
        <v>1</v>
      </c>
      <c r="AD465" s="9">
        <f t="shared" si="107"/>
        <v>1</v>
      </c>
    </row>
    <row r="466" spans="1:30" ht="21" customHeight="1" x14ac:dyDescent="0.2">
      <c r="A466" s="15" t="str">
        <f t="shared" si="109"/>
        <v/>
      </c>
      <c r="B466" s="34"/>
      <c r="C466" s="20" t="str">
        <f t="shared" si="108"/>
        <v/>
      </c>
      <c r="D466" s="21"/>
      <c r="E466" s="20"/>
      <c r="F466" s="18"/>
      <c r="G466" s="9"/>
      <c r="H466" s="19"/>
      <c r="M466" s="9" t="str">
        <f>IF(D466=$M$3,1,"")</f>
        <v/>
      </c>
      <c r="N466" s="9" t="str">
        <f>IF(D466=$N$3,1,"")</f>
        <v/>
      </c>
      <c r="O466" s="9" t="str">
        <f>IF(D466=$O$3,1,"")</f>
        <v/>
      </c>
      <c r="P466" s="9" t="str">
        <f>IF(D466=$P$3,1,"")</f>
        <v/>
      </c>
      <c r="Q466" s="9" t="str">
        <f>IF(D466=$Q$3,1,"")</f>
        <v/>
      </c>
      <c r="R466" s="9" t="str">
        <f>IF(D466=$R$3,1,"")</f>
        <v/>
      </c>
      <c r="S466" s="9" t="str">
        <f>IF(D466=$S$3,1,"")</f>
        <v/>
      </c>
      <c r="T466" s="9" t="str">
        <f>IF(D466=$T$3,1,"")</f>
        <v/>
      </c>
      <c r="U466" s="9" t="str">
        <f>IF(D466=$U$3,1,"")</f>
        <v/>
      </c>
      <c r="V466" s="9" t="str">
        <f>IF(D466=$V$3,1,"")</f>
        <v/>
      </c>
      <c r="W466" s="9" t="str">
        <f>IF(D466=$W$3,1,"")</f>
        <v/>
      </c>
      <c r="X466" s="9" t="str">
        <f>IF(D466=$X$3,1,"")</f>
        <v/>
      </c>
      <c r="Y466" s="9" t="e">
        <f>IF(#REF!=$X$3,1,"")</f>
        <v>#REF!</v>
      </c>
      <c r="Z466" s="9">
        <f t="shared" si="103"/>
        <v>1</v>
      </c>
      <c r="AA466" s="9">
        <f t="shared" si="104"/>
        <v>1</v>
      </c>
      <c r="AB466" s="9">
        <f t="shared" si="105"/>
        <v>1</v>
      </c>
      <c r="AC466" s="9">
        <f t="shared" si="106"/>
        <v>1</v>
      </c>
      <c r="AD466" s="9">
        <f t="shared" si="107"/>
        <v>1</v>
      </c>
    </row>
    <row r="467" spans="1:30" ht="21" customHeight="1" x14ac:dyDescent="0.2">
      <c r="A467" s="15" t="str">
        <f t="shared" si="109"/>
        <v/>
      </c>
      <c r="B467" s="34"/>
      <c r="C467" s="20" t="str">
        <f t="shared" si="108"/>
        <v/>
      </c>
      <c r="D467" s="21"/>
      <c r="E467" s="20"/>
      <c r="F467" s="18"/>
      <c r="G467" s="9"/>
      <c r="H467" s="19"/>
      <c r="M467" s="9" t="str">
        <f>IF(D467=$M$3,1,"")</f>
        <v/>
      </c>
      <c r="N467" s="9" t="str">
        <f>IF(D467=$N$3,1,"")</f>
        <v/>
      </c>
      <c r="O467" s="9" t="str">
        <f>IF(D467=$O$3,1,"")</f>
        <v/>
      </c>
      <c r="P467" s="9" t="str">
        <f>IF(D467=$P$3,1,"")</f>
        <v/>
      </c>
      <c r="Q467" s="9" t="str">
        <f>IF(D467=$Q$3,1,"")</f>
        <v/>
      </c>
      <c r="R467" s="9" t="str">
        <f>IF(D467=$R$3,1,"")</f>
        <v/>
      </c>
      <c r="S467" s="9" t="str">
        <f>IF(D467=$S$3,1,"")</f>
        <v/>
      </c>
      <c r="T467" s="9" t="str">
        <f>IF(D467=$T$3,1,"")</f>
        <v/>
      </c>
      <c r="U467" s="9" t="str">
        <f>IF(D467=$U$3,1,"")</f>
        <v/>
      </c>
      <c r="V467" s="9" t="str">
        <f>IF(D467=$V$3,1,"")</f>
        <v/>
      </c>
      <c r="W467" s="9" t="str">
        <f>IF(D467=$W$3,1,"")</f>
        <v/>
      </c>
      <c r="X467" s="9" t="str">
        <f>IF(D467=$X$3,1,"")</f>
        <v/>
      </c>
      <c r="Y467" s="9" t="e">
        <f>IF(#REF!=$X$3,1,"")</f>
        <v>#REF!</v>
      </c>
      <c r="Z467" s="9">
        <f t="shared" si="103"/>
        <v>1</v>
      </c>
      <c r="AA467" s="9">
        <f t="shared" si="104"/>
        <v>1</v>
      </c>
      <c r="AB467" s="9">
        <f t="shared" si="105"/>
        <v>1</v>
      </c>
      <c r="AC467" s="9">
        <f t="shared" si="106"/>
        <v>1</v>
      </c>
      <c r="AD467" s="9">
        <f t="shared" si="107"/>
        <v>1</v>
      </c>
    </row>
    <row r="468" spans="1:30" ht="21" customHeight="1" x14ac:dyDescent="0.2">
      <c r="A468" s="15" t="str">
        <f t="shared" si="109"/>
        <v/>
      </c>
      <c r="B468" s="34"/>
      <c r="C468" s="20" t="str">
        <f t="shared" si="108"/>
        <v/>
      </c>
      <c r="D468" s="21"/>
      <c r="E468" s="20"/>
      <c r="F468" s="18"/>
      <c r="G468" s="9"/>
      <c r="H468" s="19"/>
      <c r="M468" s="9" t="str">
        <f>IF(D468=$M$3,1,"")</f>
        <v/>
      </c>
      <c r="N468" s="9" t="str">
        <f>IF(D468=$N$3,1,"")</f>
        <v/>
      </c>
      <c r="O468" s="9" t="str">
        <f>IF(D468=$O$3,1,"")</f>
        <v/>
      </c>
      <c r="P468" s="9" t="str">
        <f>IF(D468=$P$3,1,"")</f>
        <v/>
      </c>
      <c r="Q468" s="9" t="str">
        <f>IF(D468=$Q$3,1,"")</f>
        <v/>
      </c>
      <c r="R468" s="9" t="str">
        <f>IF(D468=$R$3,1,"")</f>
        <v/>
      </c>
      <c r="S468" s="9" t="str">
        <f>IF(D468=$S$3,1,"")</f>
        <v/>
      </c>
      <c r="T468" s="9" t="str">
        <f>IF(D468=$T$3,1,"")</f>
        <v/>
      </c>
      <c r="U468" s="9" t="str">
        <f>IF(D468=$U$3,1,"")</f>
        <v/>
      </c>
      <c r="V468" s="9" t="str">
        <f>IF(D468=$V$3,1,"")</f>
        <v/>
      </c>
      <c r="W468" s="9" t="str">
        <f>IF(D468=$W$3,1,"")</f>
        <v/>
      </c>
      <c r="X468" s="9" t="str">
        <f>IF(D468=$X$3,1,"")</f>
        <v/>
      </c>
      <c r="Y468" s="9" t="e">
        <f>IF(#REF!=$X$3,1,"")</f>
        <v>#REF!</v>
      </c>
      <c r="Z468" s="9">
        <f t="shared" si="103"/>
        <v>1</v>
      </c>
      <c r="AA468" s="9">
        <f t="shared" si="104"/>
        <v>1</v>
      </c>
      <c r="AB468" s="9">
        <f t="shared" si="105"/>
        <v>1</v>
      </c>
      <c r="AC468" s="9">
        <f t="shared" si="106"/>
        <v>1</v>
      </c>
      <c r="AD468" s="9">
        <f t="shared" si="107"/>
        <v>1</v>
      </c>
    </row>
    <row r="469" spans="1:30" ht="21" customHeight="1" x14ac:dyDescent="0.2">
      <c r="A469" s="15" t="str">
        <f t="shared" si="109"/>
        <v/>
      </c>
      <c r="B469" s="34"/>
      <c r="C469" s="20" t="str">
        <f t="shared" si="108"/>
        <v/>
      </c>
      <c r="D469" s="21"/>
      <c r="E469" s="20"/>
      <c r="F469" s="18"/>
      <c r="G469" s="9"/>
      <c r="H469" s="19"/>
      <c r="M469" s="9" t="str">
        <f>IF(D469=$M$3,1,"")</f>
        <v/>
      </c>
      <c r="N469" s="9" t="str">
        <f>IF(D469=$N$3,1,"")</f>
        <v/>
      </c>
      <c r="O469" s="9" t="str">
        <f>IF(D469=$O$3,1,"")</f>
        <v/>
      </c>
      <c r="P469" s="9" t="str">
        <f>IF(D469=$P$3,1,"")</f>
        <v/>
      </c>
      <c r="Q469" s="9" t="str">
        <f>IF(D469=$Q$3,1,"")</f>
        <v/>
      </c>
      <c r="R469" s="9" t="str">
        <f>IF(D469=$R$3,1,"")</f>
        <v/>
      </c>
      <c r="S469" s="9" t="str">
        <f>IF(D469=$S$3,1,"")</f>
        <v/>
      </c>
      <c r="T469" s="9" t="str">
        <f>IF(D469=$T$3,1,"")</f>
        <v/>
      </c>
      <c r="U469" s="9" t="str">
        <f>IF(D469=$U$3,1,"")</f>
        <v/>
      </c>
      <c r="V469" s="9" t="str">
        <f>IF(D469=$V$3,1,"")</f>
        <v/>
      </c>
      <c r="W469" s="9" t="str">
        <f>IF(D469=$W$3,1,"")</f>
        <v/>
      </c>
      <c r="X469" s="9" t="str">
        <f>IF(D469=$X$3,1,"")</f>
        <v/>
      </c>
      <c r="Y469" s="9" t="e">
        <f>IF(#REF!=$X$3,1,"")</f>
        <v>#REF!</v>
      </c>
      <c r="Z469" s="9">
        <f t="shared" si="103"/>
        <v>1</v>
      </c>
      <c r="AA469" s="9">
        <f t="shared" si="104"/>
        <v>1</v>
      </c>
      <c r="AB469" s="9">
        <f t="shared" si="105"/>
        <v>1</v>
      </c>
      <c r="AC469" s="9">
        <f t="shared" si="106"/>
        <v>1</v>
      </c>
      <c r="AD469" s="9">
        <f t="shared" si="107"/>
        <v>1</v>
      </c>
    </row>
    <row r="470" spans="1:30" ht="21" customHeight="1" x14ac:dyDescent="0.2">
      <c r="A470" s="15" t="str">
        <f t="shared" si="109"/>
        <v/>
      </c>
      <c r="B470" s="34"/>
      <c r="C470" s="20" t="str">
        <f t="shared" si="108"/>
        <v/>
      </c>
      <c r="D470" s="21"/>
      <c r="E470" s="20"/>
      <c r="F470" s="18"/>
      <c r="G470" s="9"/>
      <c r="H470" s="19"/>
      <c r="M470" s="9" t="str">
        <f>IF(D470=$M$3,1,"")</f>
        <v/>
      </c>
      <c r="N470" s="9" t="str">
        <f>IF(D470=$N$3,1,"")</f>
        <v/>
      </c>
      <c r="O470" s="9" t="str">
        <f>IF(D470=$O$3,1,"")</f>
        <v/>
      </c>
      <c r="P470" s="9" t="str">
        <f>IF(D470=$P$3,1,"")</f>
        <v/>
      </c>
      <c r="Q470" s="9" t="str">
        <f>IF(D470=$Q$3,1,"")</f>
        <v/>
      </c>
      <c r="R470" s="9" t="str">
        <f>IF(D470=$R$3,1,"")</f>
        <v/>
      </c>
      <c r="S470" s="9" t="str">
        <f>IF(D470=$S$3,1,"")</f>
        <v/>
      </c>
      <c r="T470" s="9" t="str">
        <f>IF(D470=$T$3,1,"")</f>
        <v/>
      </c>
      <c r="U470" s="9" t="str">
        <f>IF(D470=$U$3,1,"")</f>
        <v/>
      </c>
      <c r="V470" s="9" t="str">
        <f>IF(D470=$V$3,1,"")</f>
        <v/>
      </c>
      <c r="W470" s="9" t="str">
        <f>IF(D470=$W$3,1,"")</f>
        <v/>
      </c>
      <c r="X470" s="9" t="str">
        <f>IF(D470=$X$3,1,"")</f>
        <v/>
      </c>
      <c r="Y470" s="9" t="e">
        <f>IF(#REF!=$X$3,1,"")</f>
        <v>#REF!</v>
      </c>
      <c r="Z470" s="9">
        <f t="shared" si="103"/>
        <v>1</v>
      </c>
      <c r="AA470" s="9">
        <f t="shared" si="104"/>
        <v>1</v>
      </c>
      <c r="AB470" s="9">
        <f t="shared" si="105"/>
        <v>1</v>
      </c>
      <c r="AC470" s="9">
        <f t="shared" si="106"/>
        <v>1</v>
      </c>
      <c r="AD470" s="9">
        <f t="shared" si="107"/>
        <v>1</v>
      </c>
    </row>
    <row r="471" spans="1:30" ht="21" customHeight="1" x14ac:dyDescent="0.2">
      <c r="A471" s="15" t="str">
        <f t="shared" si="109"/>
        <v/>
      </c>
      <c r="B471" s="34"/>
      <c r="C471" s="20" t="str">
        <f t="shared" si="108"/>
        <v/>
      </c>
      <c r="D471" s="21"/>
      <c r="E471" s="20"/>
      <c r="F471" s="18"/>
      <c r="G471" s="9"/>
      <c r="H471" s="19"/>
      <c r="M471" s="9" t="str">
        <f>IF(D471=$M$3,1,"")</f>
        <v/>
      </c>
      <c r="N471" s="9" t="str">
        <f>IF(D471=$N$3,1,"")</f>
        <v/>
      </c>
      <c r="O471" s="9" t="str">
        <f>IF(D471=$O$3,1,"")</f>
        <v/>
      </c>
      <c r="P471" s="9" t="str">
        <f>IF(D471=$P$3,1,"")</f>
        <v/>
      </c>
      <c r="Q471" s="9" t="str">
        <f>IF(D471=$Q$3,1,"")</f>
        <v/>
      </c>
      <c r="R471" s="9" t="str">
        <f>IF(D471=$R$3,1,"")</f>
        <v/>
      </c>
      <c r="S471" s="9" t="str">
        <f>IF(D471=$S$3,1,"")</f>
        <v/>
      </c>
      <c r="T471" s="9" t="str">
        <f>IF(D471=$T$3,1,"")</f>
        <v/>
      </c>
      <c r="U471" s="9" t="str">
        <f>IF(D471=$U$3,1,"")</f>
        <v/>
      </c>
      <c r="V471" s="9" t="str">
        <f>IF(D471=$V$3,1,"")</f>
        <v/>
      </c>
      <c r="W471" s="9" t="str">
        <f>IF(D471=$W$3,1,"")</f>
        <v/>
      </c>
      <c r="X471" s="9" t="str">
        <f>IF(D471=$X$3,1,"")</f>
        <v/>
      </c>
      <c r="Y471" s="9" t="e">
        <f>IF(#REF!=$X$3,1,"")</f>
        <v>#REF!</v>
      </c>
      <c r="Z471" s="9">
        <f t="shared" si="103"/>
        <v>1</v>
      </c>
      <c r="AA471" s="9">
        <f t="shared" si="104"/>
        <v>1</v>
      </c>
      <c r="AB471" s="9">
        <f t="shared" si="105"/>
        <v>1</v>
      </c>
      <c r="AC471" s="9">
        <f t="shared" si="106"/>
        <v>1</v>
      </c>
      <c r="AD471" s="9">
        <f t="shared" si="107"/>
        <v>1</v>
      </c>
    </row>
    <row r="472" spans="1:30" ht="21" customHeight="1" x14ac:dyDescent="0.2">
      <c r="A472" s="15" t="str">
        <f t="shared" si="109"/>
        <v/>
      </c>
      <c r="B472" s="34"/>
      <c r="C472" s="20" t="str">
        <f t="shared" si="108"/>
        <v/>
      </c>
      <c r="D472" s="21"/>
      <c r="E472" s="20"/>
      <c r="F472" s="18"/>
      <c r="G472" s="9"/>
      <c r="H472" s="19"/>
      <c r="M472" s="9" t="str">
        <f>IF(D472=$M$3,1,"")</f>
        <v/>
      </c>
      <c r="N472" s="9" t="str">
        <f>IF(D472=$N$3,1,"")</f>
        <v/>
      </c>
      <c r="O472" s="9" t="str">
        <f>IF(D472=$O$3,1,"")</f>
        <v/>
      </c>
      <c r="P472" s="9" t="str">
        <f>IF(D472=$P$3,1,"")</f>
        <v/>
      </c>
      <c r="Q472" s="9" t="str">
        <f>IF(D472=$Q$3,1,"")</f>
        <v/>
      </c>
      <c r="R472" s="9" t="str">
        <f>IF(D472=$R$3,1,"")</f>
        <v/>
      </c>
      <c r="S472" s="9" t="str">
        <f>IF(D472=$S$3,1,"")</f>
        <v/>
      </c>
      <c r="T472" s="9" t="str">
        <f>IF(D472=$T$3,1,"")</f>
        <v/>
      </c>
      <c r="U472" s="9" t="str">
        <f>IF(D472=$U$3,1,"")</f>
        <v/>
      </c>
      <c r="V472" s="9" t="str">
        <f>IF(D472=$V$3,1,"")</f>
        <v/>
      </c>
      <c r="W472" s="9" t="str">
        <f>IF(D472=$W$3,1,"")</f>
        <v/>
      </c>
      <c r="X472" s="9" t="str">
        <f>IF(D472=$X$3,1,"")</f>
        <v/>
      </c>
      <c r="Y472" s="9" t="e">
        <f>IF(#REF!=$X$3,1,"")</f>
        <v>#REF!</v>
      </c>
      <c r="Z472" s="9">
        <f t="shared" ref="Z472:Z524" si="110">IF(F472=$Z$3,1,"")</f>
        <v>1</v>
      </c>
      <c r="AA472" s="9">
        <f t="shared" ref="AA472:AA524" si="111">IF(F472=$AA$3,1,"")</f>
        <v>1</v>
      </c>
      <c r="AB472" s="9">
        <f t="shared" ref="AB472:AB524" si="112">IF(F472=$AB$3,1,"")</f>
        <v>1</v>
      </c>
      <c r="AC472" s="9">
        <f t="shared" ref="AC472:AC524" si="113">IF(F472=$AC$3,1,"")</f>
        <v>1</v>
      </c>
      <c r="AD472" s="9">
        <f t="shared" ref="AD472:AD524" si="114">IF(F472=$AE$3,1,"")</f>
        <v>1</v>
      </c>
    </row>
    <row r="473" spans="1:30" ht="21" customHeight="1" x14ac:dyDescent="0.2">
      <c r="A473" s="15" t="str">
        <f t="shared" si="109"/>
        <v/>
      </c>
      <c r="B473" s="34"/>
      <c r="C473" s="20" t="str">
        <f t="shared" si="108"/>
        <v/>
      </c>
      <c r="D473" s="21"/>
      <c r="E473" s="20"/>
      <c r="F473" s="18"/>
      <c r="G473" s="9"/>
      <c r="H473" s="19"/>
      <c r="M473" s="9" t="str">
        <f>IF(D473=$M$3,1,"")</f>
        <v/>
      </c>
      <c r="N473" s="9" t="str">
        <f>IF(D473=$N$3,1,"")</f>
        <v/>
      </c>
      <c r="O473" s="9" t="str">
        <f>IF(D473=$O$3,1,"")</f>
        <v/>
      </c>
      <c r="P473" s="9" t="str">
        <f>IF(D473=$P$3,1,"")</f>
        <v/>
      </c>
      <c r="Q473" s="9" t="str">
        <f>IF(D473=$Q$3,1,"")</f>
        <v/>
      </c>
      <c r="R473" s="9" t="str">
        <f>IF(D473=$R$3,1,"")</f>
        <v/>
      </c>
      <c r="S473" s="9" t="str">
        <f>IF(D473=$S$3,1,"")</f>
        <v/>
      </c>
      <c r="T473" s="9" t="str">
        <f>IF(D473=$T$3,1,"")</f>
        <v/>
      </c>
      <c r="U473" s="9" t="str">
        <f>IF(D473=$U$3,1,"")</f>
        <v/>
      </c>
      <c r="V473" s="9" t="str">
        <f>IF(D473=$V$3,1,"")</f>
        <v/>
      </c>
      <c r="W473" s="9" t="str">
        <f>IF(D473=$W$3,1,"")</f>
        <v/>
      </c>
      <c r="X473" s="9" t="str">
        <f>IF(D473=$X$3,1,"")</f>
        <v/>
      </c>
      <c r="Y473" s="9" t="e">
        <f>IF(#REF!=$X$3,1,"")</f>
        <v>#REF!</v>
      </c>
      <c r="Z473" s="9">
        <f t="shared" si="110"/>
        <v>1</v>
      </c>
      <c r="AA473" s="9">
        <f t="shared" si="111"/>
        <v>1</v>
      </c>
      <c r="AB473" s="9">
        <f t="shared" si="112"/>
        <v>1</v>
      </c>
      <c r="AC473" s="9">
        <f t="shared" si="113"/>
        <v>1</v>
      </c>
      <c r="AD473" s="9">
        <f t="shared" si="114"/>
        <v>1</v>
      </c>
    </row>
    <row r="474" spans="1:30" ht="21" customHeight="1" x14ac:dyDescent="0.2">
      <c r="A474" s="15" t="str">
        <f t="shared" si="109"/>
        <v/>
      </c>
      <c r="B474" s="34"/>
      <c r="C474" s="20" t="str">
        <f t="shared" si="108"/>
        <v/>
      </c>
      <c r="D474" s="21"/>
      <c r="E474" s="20"/>
      <c r="F474" s="18"/>
      <c r="G474" s="9"/>
      <c r="H474" s="19"/>
      <c r="M474" s="9" t="str">
        <f>IF(D474=$M$3,1,"")</f>
        <v/>
      </c>
      <c r="N474" s="9" t="str">
        <f>IF(D474=$N$3,1,"")</f>
        <v/>
      </c>
      <c r="O474" s="9" t="str">
        <f>IF(D474=$O$3,1,"")</f>
        <v/>
      </c>
      <c r="P474" s="9" t="str">
        <f>IF(D474=$P$3,1,"")</f>
        <v/>
      </c>
      <c r="Q474" s="9" t="str">
        <f>IF(D474=$Q$3,1,"")</f>
        <v/>
      </c>
      <c r="R474" s="9" t="str">
        <f>IF(D474=$R$3,1,"")</f>
        <v/>
      </c>
      <c r="S474" s="9" t="str">
        <f>IF(D474=$S$3,1,"")</f>
        <v/>
      </c>
      <c r="T474" s="9" t="str">
        <f>IF(D474=$T$3,1,"")</f>
        <v/>
      </c>
      <c r="U474" s="9" t="str">
        <f>IF(D474=$U$3,1,"")</f>
        <v/>
      </c>
      <c r="V474" s="9" t="str">
        <f>IF(D474=$V$3,1,"")</f>
        <v/>
      </c>
      <c r="W474" s="9" t="str">
        <f>IF(D474=$W$3,1,"")</f>
        <v/>
      </c>
      <c r="X474" s="9" t="str">
        <f>IF(D474=$X$3,1,"")</f>
        <v/>
      </c>
      <c r="Y474" s="9" t="e">
        <f>IF(#REF!=$X$3,1,"")</f>
        <v>#REF!</v>
      </c>
      <c r="Z474" s="9">
        <f t="shared" si="110"/>
        <v>1</v>
      </c>
      <c r="AA474" s="9">
        <f t="shared" si="111"/>
        <v>1</v>
      </c>
      <c r="AB474" s="9">
        <f t="shared" si="112"/>
        <v>1</v>
      </c>
      <c r="AC474" s="9">
        <f t="shared" si="113"/>
        <v>1</v>
      </c>
      <c r="AD474" s="9">
        <f t="shared" si="114"/>
        <v>1</v>
      </c>
    </row>
    <row r="475" spans="1:30" ht="21" customHeight="1" x14ac:dyDescent="0.2">
      <c r="A475" s="15" t="str">
        <f t="shared" si="109"/>
        <v/>
      </c>
      <c r="B475" s="34"/>
      <c r="C475" s="20" t="str">
        <f t="shared" si="108"/>
        <v/>
      </c>
      <c r="D475" s="21"/>
      <c r="E475" s="20"/>
      <c r="F475" s="18"/>
      <c r="G475" s="9"/>
      <c r="H475" s="19"/>
      <c r="M475" s="9" t="str">
        <f>IF(D475=$M$3,1,"")</f>
        <v/>
      </c>
      <c r="N475" s="9" t="str">
        <f>IF(D475=$N$3,1,"")</f>
        <v/>
      </c>
      <c r="O475" s="9" t="str">
        <f>IF(D475=$O$3,1,"")</f>
        <v/>
      </c>
      <c r="P475" s="9" t="str">
        <f>IF(D475=$P$3,1,"")</f>
        <v/>
      </c>
      <c r="Q475" s="9" t="str">
        <f>IF(D475=$Q$3,1,"")</f>
        <v/>
      </c>
      <c r="R475" s="9" t="str">
        <f>IF(D475=$R$3,1,"")</f>
        <v/>
      </c>
      <c r="S475" s="9" t="str">
        <f>IF(D475=$S$3,1,"")</f>
        <v/>
      </c>
      <c r="T475" s="9" t="str">
        <f>IF(D475=$T$3,1,"")</f>
        <v/>
      </c>
      <c r="U475" s="9" t="str">
        <f>IF(D475=$U$3,1,"")</f>
        <v/>
      </c>
      <c r="V475" s="9" t="str">
        <f>IF(D475=$V$3,1,"")</f>
        <v/>
      </c>
      <c r="W475" s="9" t="str">
        <f>IF(D475=$W$3,1,"")</f>
        <v/>
      </c>
      <c r="X475" s="9" t="str">
        <f>IF(D475=$X$3,1,"")</f>
        <v/>
      </c>
      <c r="Y475" s="9" t="e">
        <f>IF(#REF!=$X$3,1,"")</f>
        <v>#REF!</v>
      </c>
      <c r="Z475" s="9">
        <f t="shared" si="110"/>
        <v>1</v>
      </c>
      <c r="AA475" s="9">
        <f t="shared" si="111"/>
        <v>1</v>
      </c>
      <c r="AB475" s="9">
        <f t="shared" si="112"/>
        <v>1</v>
      </c>
      <c r="AC475" s="9">
        <f t="shared" si="113"/>
        <v>1</v>
      </c>
      <c r="AD475" s="9">
        <f t="shared" si="114"/>
        <v>1</v>
      </c>
    </row>
    <row r="476" spans="1:30" ht="21" customHeight="1" x14ac:dyDescent="0.2">
      <c r="A476" s="15" t="str">
        <f t="shared" si="109"/>
        <v/>
      </c>
      <c r="B476" s="34"/>
      <c r="C476" s="20" t="str">
        <f t="shared" si="108"/>
        <v/>
      </c>
      <c r="D476" s="21"/>
      <c r="E476" s="20"/>
      <c r="F476" s="18"/>
      <c r="G476" s="9"/>
      <c r="H476" s="19"/>
      <c r="M476" s="9" t="str">
        <f>IF(D476=$M$3,1,"")</f>
        <v/>
      </c>
      <c r="N476" s="9" t="str">
        <f>IF(D476=$N$3,1,"")</f>
        <v/>
      </c>
      <c r="O476" s="9" t="str">
        <f>IF(D476=$O$3,1,"")</f>
        <v/>
      </c>
      <c r="P476" s="9" t="str">
        <f>IF(D476=$P$3,1,"")</f>
        <v/>
      </c>
      <c r="Q476" s="9" t="str">
        <f>IF(D476=$Q$3,1,"")</f>
        <v/>
      </c>
      <c r="R476" s="9" t="str">
        <f>IF(D476=$R$3,1,"")</f>
        <v/>
      </c>
      <c r="S476" s="9" t="str">
        <f>IF(D476=$S$3,1,"")</f>
        <v/>
      </c>
      <c r="T476" s="9" t="str">
        <f>IF(D476=$T$3,1,"")</f>
        <v/>
      </c>
      <c r="U476" s="9" t="str">
        <f>IF(D476=$U$3,1,"")</f>
        <v/>
      </c>
      <c r="V476" s="9" t="str">
        <f>IF(D476=$V$3,1,"")</f>
        <v/>
      </c>
      <c r="W476" s="9" t="str">
        <f>IF(D476=$W$3,1,"")</f>
        <v/>
      </c>
      <c r="X476" s="9" t="str">
        <f>IF(D476=$X$3,1,"")</f>
        <v/>
      </c>
      <c r="Y476" s="9" t="e">
        <f>IF(#REF!=$X$3,1,"")</f>
        <v>#REF!</v>
      </c>
      <c r="Z476" s="9">
        <f t="shared" si="110"/>
        <v>1</v>
      </c>
      <c r="AA476" s="9">
        <f t="shared" si="111"/>
        <v>1</v>
      </c>
      <c r="AB476" s="9">
        <f t="shared" si="112"/>
        <v>1</v>
      </c>
      <c r="AC476" s="9">
        <f t="shared" si="113"/>
        <v>1</v>
      </c>
      <c r="AD476" s="9">
        <f t="shared" si="114"/>
        <v>1</v>
      </c>
    </row>
    <row r="477" spans="1:30" ht="21" customHeight="1" x14ac:dyDescent="0.2">
      <c r="A477" s="15" t="str">
        <f t="shared" si="109"/>
        <v/>
      </c>
      <c r="B477" s="34"/>
      <c r="C477" s="20" t="str">
        <f t="shared" si="108"/>
        <v/>
      </c>
      <c r="D477" s="21"/>
      <c r="E477" s="20"/>
      <c r="F477" s="18"/>
      <c r="G477" s="9"/>
      <c r="H477" s="19"/>
      <c r="M477" s="9" t="str">
        <f>IF(D477=$M$3,1,"")</f>
        <v/>
      </c>
      <c r="N477" s="9" t="str">
        <f>IF(D477=$N$3,1,"")</f>
        <v/>
      </c>
      <c r="O477" s="9" t="str">
        <f>IF(D477=$O$3,1,"")</f>
        <v/>
      </c>
      <c r="P477" s="9" t="str">
        <f>IF(D477=$P$3,1,"")</f>
        <v/>
      </c>
      <c r="Q477" s="9" t="str">
        <f>IF(D477=$Q$3,1,"")</f>
        <v/>
      </c>
      <c r="R477" s="9" t="str">
        <f>IF(D477=$R$3,1,"")</f>
        <v/>
      </c>
      <c r="S477" s="9" t="str">
        <f>IF(D477=$S$3,1,"")</f>
        <v/>
      </c>
      <c r="T477" s="9" t="str">
        <f>IF(D477=$T$3,1,"")</f>
        <v/>
      </c>
      <c r="U477" s="9" t="str">
        <f>IF(D477=$U$3,1,"")</f>
        <v/>
      </c>
      <c r="V477" s="9" t="str">
        <f>IF(D477=$V$3,1,"")</f>
        <v/>
      </c>
      <c r="W477" s="9" t="str">
        <f>IF(D477=$W$3,1,"")</f>
        <v/>
      </c>
      <c r="X477" s="9" t="str">
        <f>IF(D477=$X$3,1,"")</f>
        <v/>
      </c>
      <c r="Y477" s="9" t="e">
        <f>IF(#REF!=$X$3,1,"")</f>
        <v>#REF!</v>
      </c>
      <c r="Z477" s="9">
        <f t="shared" si="110"/>
        <v>1</v>
      </c>
      <c r="AA477" s="9">
        <f t="shared" si="111"/>
        <v>1</v>
      </c>
      <c r="AB477" s="9">
        <f t="shared" si="112"/>
        <v>1</v>
      </c>
      <c r="AC477" s="9">
        <f t="shared" si="113"/>
        <v>1</v>
      </c>
      <c r="AD477" s="9">
        <f t="shared" si="114"/>
        <v>1</v>
      </c>
    </row>
    <row r="478" spans="1:30" ht="21" customHeight="1" x14ac:dyDescent="0.2">
      <c r="A478" s="15" t="str">
        <f>IF(B478="","",A462+1)</f>
        <v/>
      </c>
      <c r="B478" s="34"/>
      <c r="C478" s="20" t="str">
        <f t="shared" ref="C478:C508" si="115">IF(B478="","","vs")</f>
        <v/>
      </c>
      <c r="D478" s="21"/>
      <c r="E478" s="20"/>
      <c r="F478" s="18"/>
      <c r="G478" s="9"/>
      <c r="H478" s="19"/>
      <c r="M478" s="9" t="str">
        <f>IF(D478=$M$3,1,"")</f>
        <v/>
      </c>
      <c r="N478" s="9" t="str">
        <f>IF(D478=$N$3,1,"")</f>
        <v/>
      </c>
      <c r="O478" s="9" t="str">
        <f>IF(D478=$O$3,1,"")</f>
        <v/>
      </c>
      <c r="P478" s="9" t="str">
        <f>IF(D478=$P$3,1,"")</f>
        <v/>
      </c>
      <c r="Q478" s="9" t="str">
        <f>IF(D478=$Q$3,1,"")</f>
        <v/>
      </c>
      <c r="R478" s="9" t="str">
        <f>IF(D478=$R$3,1,"")</f>
        <v/>
      </c>
      <c r="S478" s="9" t="str">
        <f>IF(D478=$S$3,1,"")</f>
        <v/>
      </c>
      <c r="T478" s="9" t="str">
        <f>IF(D478=$T$3,1,"")</f>
        <v/>
      </c>
      <c r="U478" s="9" t="str">
        <f>IF(D478=$U$3,1,"")</f>
        <v/>
      </c>
      <c r="V478" s="9" t="str">
        <f>IF(D478=$V$3,1,"")</f>
        <v/>
      </c>
      <c r="W478" s="9" t="str">
        <f>IF(D478=$W$3,1,"")</f>
        <v/>
      </c>
      <c r="X478" s="9" t="str">
        <f>IF(D478=$X$3,1,"")</f>
        <v/>
      </c>
      <c r="Y478" s="9" t="e">
        <f>IF(#REF!=$X$3,1,"")</f>
        <v>#REF!</v>
      </c>
      <c r="Z478" s="9">
        <f t="shared" ref="Z478:Z508" si="116">IF(F478=$Z$3,1,"")</f>
        <v>1</v>
      </c>
      <c r="AA478" s="9">
        <f t="shared" ref="AA478:AA508" si="117">IF(F478=$AA$3,1,"")</f>
        <v>1</v>
      </c>
      <c r="AB478" s="9">
        <f t="shared" ref="AB478:AB508" si="118">IF(F478=$AB$3,1,"")</f>
        <v>1</v>
      </c>
      <c r="AC478" s="9">
        <f t="shared" ref="AC478:AC508" si="119">IF(F478=$AC$3,1,"")</f>
        <v>1</v>
      </c>
      <c r="AD478" s="9">
        <f t="shared" ref="AD478:AD508" si="120">IF(F478=$AE$3,1,"")</f>
        <v>1</v>
      </c>
    </row>
    <row r="479" spans="1:30" ht="21" customHeight="1" x14ac:dyDescent="0.2">
      <c r="A479" s="15" t="str">
        <f t="shared" ref="A479:A508" si="121">IF(B479="","",A478+1)</f>
        <v/>
      </c>
      <c r="B479" s="34"/>
      <c r="C479" s="20" t="str">
        <f t="shared" si="115"/>
        <v/>
      </c>
      <c r="D479" s="21"/>
      <c r="E479" s="20"/>
      <c r="F479" s="18"/>
      <c r="G479" s="9"/>
      <c r="H479" s="19"/>
      <c r="M479" s="9" t="str">
        <f>IF(D479=$M$3,1,"")</f>
        <v/>
      </c>
      <c r="N479" s="9" t="str">
        <f>IF(D479=$N$3,1,"")</f>
        <v/>
      </c>
      <c r="O479" s="9" t="str">
        <f>IF(D479=$O$3,1,"")</f>
        <v/>
      </c>
      <c r="P479" s="9" t="str">
        <f>IF(D479=$P$3,1,"")</f>
        <v/>
      </c>
      <c r="Q479" s="9" t="str">
        <f>IF(D479=$Q$3,1,"")</f>
        <v/>
      </c>
      <c r="R479" s="9" t="str">
        <f>IF(D479=$R$3,1,"")</f>
        <v/>
      </c>
      <c r="S479" s="9" t="str">
        <f>IF(D479=$S$3,1,"")</f>
        <v/>
      </c>
      <c r="T479" s="9" t="str">
        <f>IF(D479=$T$3,1,"")</f>
        <v/>
      </c>
      <c r="U479" s="9" t="str">
        <f>IF(D479=$U$3,1,"")</f>
        <v/>
      </c>
      <c r="V479" s="9" t="str">
        <f>IF(D479=$V$3,1,"")</f>
        <v/>
      </c>
      <c r="W479" s="9" t="str">
        <f>IF(D479=$W$3,1,"")</f>
        <v/>
      </c>
      <c r="X479" s="9" t="str">
        <f>IF(D479=$X$3,1,"")</f>
        <v/>
      </c>
      <c r="Y479" s="9" t="e">
        <f>IF(#REF!=$X$3,1,"")</f>
        <v>#REF!</v>
      </c>
      <c r="Z479" s="9">
        <f t="shared" si="116"/>
        <v>1</v>
      </c>
      <c r="AA479" s="9">
        <f t="shared" si="117"/>
        <v>1</v>
      </c>
      <c r="AB479" s="9">
        <f t="shared" si="118"/>
        <v>1</v>
      </c>
      <c r="AC479" s="9">
        <f t="shared" si="119"/>
        <v>1</v>
      </c>
      <c r="AD479" s="9">
        <f t="shared" si="120"/>
        <v>1</v>
      </c>
    </row>
    <row r="480" spans="1:30" ht="21" customHeight="1" x14ac:dyDescent="0.2">
      <c r="A480" s="15" t="str">
        <f t="shared" si="121"/>
        <v/>
      </c>
      <c r="B480" s="34"/>
      <c r="C480" s="20" t="str">
        <f t="shared" si="115"/>
        <v/>
      </c>
      <c r="D480" s="21"/>
      <c r="E480" s="20"/>
      <c r="F480" s="18"/>
      <c r="G480" s="9"/>
      <c r="H480" s="19"/>
      <c r="M480" s="9" t="str">
        <f>IF(D480=$M$3,1,"")</f>
        <v/>
      </c>
      <c r="N480" s="9" t="str">
        <f>IF(D480=$N$3,1,"")</f>
        <v/>
      </c>
      <c r="O480" s="9" t="str">
        <f>IF(D480=$O$3,1,"")</f>
        <v/>
      </c>
      <c r="P480" s="9" t="str">
        <f>IF(D480=$P$3,1,"")</f>
        <v/>
      </c>
      <c r="Q480" s="9" t="str">
        <f>IF(D480=$Q$3,1,"")</f>
        <v/>
      </c>
      <c r="R480" s="9" t="str">
        <f>IF(D480=$R$3,1,"")</f>
        <v/>
      </c>
      <c r="S480" s="9" t="str">
        <f>IF(D480=$S$3,1,"")</f>
        <v/>
      </c>
      <c r="T480" s="9" t="str">
        <f>IF(D480=$T$3,1,"")</f>
        <v/>
      </c>
      <c r="U480" s="9" t="str">
        <f>IF(D480=$U$3,1,"")</f>
        <v/>
      </c>
      <c r="V480" s="9" t="str">
        <f>IF(D480=$V$3,1,"")</f>
        <v/>
      </c>
      <c r="W480" s="9" t="str">
        <f>IF(D480=$W$3,1,"")</f>
        <v/>
      </c>
      <c r="X480" s="9" t="str">
        <f>IF(D480=$X$3,1,"")</f>
        <v/>
      </c>
      <c r="Y480" s="9" t="e">
        <f>IF(#REF!=$X$3,1,"")</f>
        <v>#REF!</v>
      </c>
      <c r="Z480" s="9">
        <f t="shared" si="116"/>
        <v>1</v>
      </c>
      <c r="AA480" s="9">
        <f t="shared" si="117"/>
        <v>1</v>
      </c>
      <c r="AB480" s="9">
        <f t="shared" si="118"/>
        <v>1</v>
      </c>
      <c r="AC480" s="9">
        <f t="shared" si="119"/>
        <v>1</v>
      </c>
      <c r="AD480" s="9">
        <f t="shared" si="120"/>
        <v>1</v>
      </c>
    </row>
    <row r="481" spans="1:30" ht="21" customHeight="1" x14ac:dyDescent="0.2">
      <c r="A481" s="15" t="str">
        <f t="shared" si="121"/>
        <v/>
      </c>
      <c r="B481" s="34"/>
      <c r="C481" s="20" t="str">
        <f t="shared" si="115"/>
        <v/>
      </c>
      <c r="D481" s="21"/>
      <c r="E481" s="20"/>
      <c r="F481" s="18"/>
      <c r="G481" s="9"/>
      <c r="H481" s="19"/>
      <c r="M481" s="9" t="str">
        <f>IF(D481=$M$3,1,"")</f>
        <v/>
      </c>
      <c r="N481" s="9" t="str">
        <f>IF(D481=$N$3,1,"")</f>
        <v/>
      </c>
      <c r="O481" s="9" t="str">
        <f>IF(D481=$O$3,1,"")</f>
        <v/>
      </c>
      <c r="P481" s="9" t="str">
        <f>IF(D481=$P$3,1,"")</f>
        <v/>
      </c>
      <c r="Q481" s="9" t="str">
        <f>IF(D481=$Q$3,1,"")</f>
        <v/>
      </c>
      <c r="R481" s="9" t="str">
        <f>IF(D481=$R$3,1,"")</f>
        <v/>
      </c>
      <c r="S481" s="9" t="str">
        <f>IF(D481=$S$3,1,"")</f>
        <v/>
      </c>
      <c r="T481" s="9" t="str">
        <f>IF(D481=$T$3,1,"")</f>
        <v/>
      </c>
      <c r="U481" s="9" t="str">
        <f>IF(D481=$U$3,1,"")</f>
        <v/>
      </c>
      <c r="V481" s="9" t="str">
        <f>IF(D481=$V$3,1,"")</f>
        <v/>
      </c>
      <c r="W481" s="9" t="str">
        <f>IF(D481=$W$3,1,"")</f>
        <v/>
      </c>
      <c r="X481" s="9" t="str">
        <f>IF(D481=$X$3,1,"")</f>
        <v/>
      </c>
      <c r="Y481" s="9" t="e">
        <f>IF(#REF!=$X$3,1,"")</f>
        <v>#REF!</v>
      </c>
      <c r="Z481" s="9">
        <f t="shared" si="116"/>
        <v>1</v>
      </c>
      <c r="AA481" s="9">
        <f t="shared" si="117"/>
        <v>1</v>
      </c>
      <c r="AB481" s="9">
        <f t="shared" si="118"/>
        <v>1</v>
      </c>
      <c r="AC481" s="9">
        <f t="shared" si="119"/>
        <v>1</v>
      </c>
      <c r="AD481" s="9">
        <f t="shared" si="120"/>
        <v>1</v>
      </c>
    </row>
    <row r="482" spans="1:30" ht="21" customHeight="1" x14ac:dyDescent="0.2">
      <c r="A482" s="15" t="str">
        <f t="shared" si="121"/>
        <v/>
      </c>
      <c r="B482" s="34"/>
      <c r="C482" s="20" t="str">
        <f t="shared" si="115"/>
        <v/>
      </c>
      <c r="D482" s="21"/>
      <c r="E482" s="20"/>
      <c r="F482" s="18"/>
      <c r="G482" s="9"/>
      <c r="H482" s="19"/>
      <c r="M482" s="9" t="str">
        <f>IF(D482=$M$3,1,"")</f>
        <v/>
      </c>
      <c r="N482" s="9" t="str">
        <f>IF(D482=$N$3,1,"")</f>
        <v/>
      </c>
      <c r="O482" s="9" t="str">
        <f>IF(D482=$O$3,1,"")</f>
        <v/>
      </c>
      <c r="P482" s="9" t="str">
        <f>IF(D482=$P$3,1,"")</f>
        <v/>
      </c>
      <c r="Q482" s="9" t="str">
        <f>IF(D482=$Q$3,1,"")</f>
        <v/>
      </c>
      <c r="R482" s="9" t="str">
        <f>IF(D482=$R$3,1,"")</f>
        <v/>
      </c>
      <c r="S482" s="9" t="str">
        <f>IF(D482=$S$3,1,"")</f>
        <v/>
      </c>
      <c r="T482" s="9" t="str">
        <f>IF(D482=$T$3,1,"")</f>
        <v/>
      </c>
      <c r="U482" s="9" t="str">
        <f>IF(D482=$U$3,1,"")</f>
        <v/>
      </c>
      <c r="V482" s="9" t="str">
        <f>IF(D482=$V$3,1,"")</f>
        <v/>
      </c>
      <c r="W482" s="9" t="str">
        <f>IF(D482=$W$3,1,"")</f>
        <v/>
      </c>
      <c r="X482" s="9" t="str">
        <f>IF(D482=$X$3,1,"")</f>
        <v/>
      </c>
      <c r="Y482" s="9" t="e">
        <f>IF(#REF!=$X$3,1,"")</f>
        <v>#REF!</v>
      </c>
      <c r="Z482" s="9">
        <f t="shared" si="116"/>
        <v>1</v>
      </c>
      <c r="AA482" s="9">
        <f t="shared" si="117"/>
        <v>1</v>
      </c>
      <c r="AB482" s="9">
        <f t="shared" si="118"/>
        <v>1</v>
      </c>
      <c r="AC482" s="9">
        <f t="shared" si="119"/>
        <v>1</v>
      </c>
      <c r="AD482" s="9">
        <f t="shared" si="120"/>
        <v>1</v>
      </c>
    </row>
    <row r="483" spans="1:30" ht="21" customHeight="1" x14ac:dyDescent="0.2">
      <c r="A483" s="15" t="str">
        <f t="shared" si="121"/>
        <v/>
      </c>
      <c r="B483" s="34"/>
      <c r="C483" s="20" t="str">
        <f t="shared" si="115"/>
        <v/>
      </c>
      <c r="D483" s="21"/>
      <c r="E483" s="20"/>
      <c r="F483" s="18"/>
      <c r="G483" s="9"/>
      <c r="H483" s="19"/>
      <c r="M483" s="9" t="str">
        <f>IF(D483=$M$3,1,"")</f>
        <v/>
      </c>
      <c r="N483" s="9" t="str">
        <f>IF(D483=$N$3,1,"")</f>
        <v/>
      </c>
      <c r="O483" s="9" t="str">
        <f>IF(D483=$O$3,1,"")</f>
        <v/>
      </c>
      <c r="P483" s="9" t="str">
        <f>IF(D483=$P$3,1,"")</f>
        <v/>
      </c>
      <c r="Q483" s="9" t="str">
        <f>IF(D483=$Q$3,1,"")</f>
        <v/>
      </c>
      <c r="R483" s="9" t="str">
        <f>IF(D483=$R$3,1,"")</f>
        <v/>
      </c>
      <c r="S483" s="9" t="str">
        <f>IF(D483=$S$3,1,"")</f>
        <v/>
      </c>
      <c r="T483" s="9" t="str">
        <f>IF(D483=$T$3,1,"")</f>
        <v/>
      </c>
      <c r="U483" s="9" t="str">
        <f>IF(D483=$U$3,1,"")</f>
        <v/>
      </c>
      <c r="V483" s="9" t="str">
        <f>IF(D483=$V$3,1,"")</f>
        <v/>
      </c>
      <c r="W483" s="9" t="str">
        <f>IF(D483=$W$3,1,"")</f>
        <v/>
      </c>
      <c r="X483" s="9" t="str">
        <f>IF(D483=$X$3,1,"")</f>
        <v/>
      </c>
      <c r="Y483" s="9" t="e">
        <f>IF(#REF!=$X$3,1,"")</f>
        <v>#REF!</v>
      </c>
      <c r="Z483" s="9">
        <f t="shared" si="116"/>
        <v>1</v>
      </c>
      <c r="AA483" s="9">
        <f t="shared" si="117"/>
        <v>1</v>
      </c>
      <c r="AB483" s="9">
        <f t="shared" si="118"/>
        <v>1</v>
      </c>
      <c r="AC483" s="9">
        <f t="shared" si="119"/>
        <v>1</v>
      </c>
      <c r="AD483" s="9">
        <f t="shared" si="120"/>
        <v>1</v>
      </c>
    </row>
    <row r="484" spans="1:30" ht="21" customHeight="1" x14ac:dyDescent="0.2">
      <c r="A484" s="15" t="str">
        <f t="shared" si="121"/>
        <v/>
      </c>
      <c r="B484" s="34"/>
      <c r="C484" s="20" t="str">
        <f t="shared" si="115"/>
        <v/>
      </c>
      <c r="D484" s="21"/>
      <c r="E484" s="20"/>
      <c r="F484" s="18"/>
      <c r="G484" s="9"/>
      <c r="H484" s="19"/>
      <c r="M484" s="9" t="str">
        <f>IF(D484=$M$3,1,"")</f>
        <v/>
      </c>
      <c r="N484" s="9" t="str">
        <f>IF(D484=$N$3,1,"")</f>
        <v/>
      </c>
      <c r="O484" s="9" t="str">
        <f>IF(D484=$O$3,1,"")</f>
        <v/>
      </c>
      <c r="P484" s="9" t="str">
        <f>IF(D484=$P$3,1,"")</f>
        <v/>
      </c>
      <c r="Q484" s="9" t="str">
        <f>IF(D484=$Q$3,1,"")</f>
        <v/>
      </c>
      <c r="R484" s="9" t="str">
        <f>IF(D484=$R$3,1,"")</f>
        <v/>
      </c>
      <c r="S484" s="9" t="str">
        <f>IF(D484=$S$3,1,"")</f>
        <v/>
      </c>
      <c r="T484" s="9" t="str">
        <f>IF(D484=$T$3,1,"")</f>
        <v/>
      </c>
      <c r="U484" s="9" t="str">
        <f>IF(D484=$U$3,1,"")</f>
        <v/>
      </c>
      <c r="V484" s="9" t="str">
        <f>IF(D484=$V$3,1,"")</f>
        <v/>
      </c>
      <c r="W484" s="9" t="str">
        <f>IF(D484=$W$3,1,"")</f>
        <v/>
      </c>
      <c r="X484" s="9" t="str">
        <f>IF(D484=$X$3,1,"")</f>
        <v/>
      </c>
      <c r="Y484" s="9" t="e">
        <f>IF(#REF!=$X$3,1,"")</f>
        <v>#REF!</v>
      </c>
      <c r="Z484" s="9">
        <f t="shared" si="116"/>
        <v>1</v>
      </c>
      <c r="AA484" s="9">
        <f t="shared" si="117"/>
        <v>1</v>
      </c>
      <c r="AB484" s="9">
        <f t="shared" si="118"/>
        <v>1</v>
      </c>
      <c r="AC484" s="9">
        <f t="shared" si="119"/>
        <v>1</v>
      </c>
      <c r="AD484" s="9">
        <f t="shared" si="120"/>
        <v>1</v>
      </c>
    </row>
    <row r="485" spans="1:30" ht="21" customHeight="1" x14ac:dyDescent="0.2">
      <c r="A485" s="15" t="str">
        <f t="shared" si="121"/>
        <v/>
      </c>
      <c r="B485" s="34"/>
      <c r="C485" s="20" t="str">
        <f t="shared" si="115"/>
        <v/>
      </c>
      <c r="D485" s="21"/>
      <c r="E485" s="20"/>
      <c r="F485" s="18"/>
      <c r="G485" s="9"/>
      <c r="H485" s="19"/>
      <c r="M485" s="9" t="str">
        <f>IF(D485=$M$3,1,"")</f>
        <v/>
      </c>
      <c r="N485" s="9" t="str">
        <f>IF(D485=$N$3,1,"")</f>
        <v/>
      </c>
      <c r="O485" s="9" t="str">
        <f>IF(D485=$O$3,1,"")</f>
        <v/>
      </c>
      <c r="P485" s="9" t="str">
        <f>IF(D485=$P$3,1,"")</f>
        <v/>
      </c>
      <c r="Q485" s="9" t="str">
        <f>IF(D485=$Q$3,1,"")</f>
        <v/>
      </c>
      <c r="R485" s="9" t="str">
        <f>IF(D485=$R$3,1,"")</f>
        <v/>
      </c>
      <c r="S485" s="9" t="str">
        <f>IF(D485=$S$3,1,"")</f>
        <v/>
      </c>
      <c r="T485" s="9" t="str">
        <f>IF(D485=$T$3,1,"")</f>
        <v/>
      </c>
      <c r="U485" s="9" t="str">
        <f>IF(D485=$U$3,1,"")</f>
        <v/>
      </c>
      <c r="V485" s="9" t="str">
        <f>IF(D485=$V$3,1,"")</f>
        <v/>
      </c>
      <c r="W485" s="9" t="str">
        <f>IF(D485=$W$3,1,"")</f>
        <v/>
      </c>
      <c r="X485" s="9" t="str">
        <f>IF(D485=$X$3,1,"")</f>
        <v/>
      </c>
      <c r="Y485" s="9" t="e">
        <f>IF(#REF!=$X$3,1,"")</f>
        <v>#REF!</v>
      </c>
      <c r="Z485" s="9">
        <f t="shared" si="116"/>
        <v>1</v>
      </c>
      <c r="AA485" s="9">
        <f t="shared" si="117"/>
        <v>1</v>
      </c>
      <c r="AB485" s="9">
        <f t="shared" si="118"/>
        <v>1</v>
      </c>
      <c r="AC485" s="9">
        <f t="shared" si="119"/>
        <v>1</v>
      </c>
      <c r="AD485" s="9">
        <f t="shared" si="120"/>
        <v>1</v>
      </c>
    </row>
    <row r="486" spans="1:30" ht="21" customHeight="1" x14ac:dyDescent="0.2">
      <c r="A486" s="15" t="str">
        <f t="shared" si="121"/>
        <v/>
      </c>
      <c r="B486" s="34"/>
      <c r="C486" s="20" t="str">
        <f t="shared" si="115"/>
        <v/>
      </c>
      <c r="D486" s="21"/>
      <c r="E486" s="20"/>
      <c r="F486" s="18"/>
      <c r="G486" s="9"/>
      <c r="H486" s="19"/>
      <c r="M486" s="9" t="str">
        <f>IF(D486=$M$3,1,"")</f>
        <v/>
      </c>
      <c r="N486" s="9" t="str">
        <f>IF(D486=$N$3,1,"")</f>
        <v/>
      </c>
      <c r="O486" s="9" t="str">
        <f>IF(D486=$O$3,1,"")</f>
        <v/>
      </c>
      <c r="P486" s="9" t="str">
        <f>IF(D486=$P$3,1,"")</f>
        <v/>
      </c>
      <c r="Q486" s="9" t="str">
        <f>IF(D486=$Q$3,1,"")</f>
        <v/>
      </c>
      <c r="R486" s="9" t="str">
        <f>IF(D486=$R$3,1,"")</f>
        <v/>
      </c>
      <c r="S486" s="9" t="str">
        <f>IF(D486=$S$3,1,"")</f>
        <v/>
      </c>
      <c r="T486" s="9" t="str">
        <f>IF(D486=$T$3,1,"")</f>
        <v/>
      </c>
      <c r="U486" s="9" t="str">
        <f>IF(D486=$U$3,1,"")</f>
        <v/>
      </c>
      <c r="V486" s="9" t="str">
        <f>IF(D486=$V$3,1,"")</f>
        <v/>
      </c>
      <c r="W486" s="9" t="str">
        <f>IF(D486=$W$3,1,"")</f>
        <v/>
      </c>
      <c r="X486" s="9" t="str">
        <f>IF(D486=$X$3,1,"")</f>
        <v/>
      </c>
      <c r="Y486" s="9" t="e">
        <f>IF(#REF!=$X$3,1,"")</f>
        <v>#REF!</v>
      </c>
      <c r="Z486" s="9">
        <f t="shared" si="116"/>
        <v>1</v>
      </c>
      <c r="AA486" s="9">
        <f t="shared" si="117"/>
        <v>1</v>
      </c>
      <c r="AB486" s="9">
        <f t="shared" si="118"/>
        <v>1</v>
      </c>
      <c r="AC486" s="9">
        <f t="shared" si="119"/>
        <v>1</v>
      </c>
      <c r="AD486" s="9">
        <f t="shared" si="120"/>
        <v>1</v>
      </c>
    </row>
    <row r="487" spans="1:30" ht="21" customHeight="1" x14ac:dyDescent="0.2">
      <c r="A487" s="15" t="str">
        <f t="shared" si="121"/>
        <v/>
      </c>
      <c r="B487" s="34"/>
      <c r="C487" s="20" t="str">
        <f t="shared" si="115"/>
        <v/>
      </c>
      <c r="D487" s="21"/>
      <c r="E487" s="20"/>
      <c r="F487" s="18"/>
      <c r="G487" s="9"/>
      <c r="H487" s="19"/>
      <c r="M487" s="9" t="str">
        <f>IF(D487=$M$3,1,"")</f>
        <v/>
      </c>
      <c r="N487" s="9" t="str">
        <f>IF(D487=$N$3,1,"")</f>
        <v/>
      </c>
      <c r="O487" s="9" t="str">
        <f>IF(D487=$O$3,1,"")</f>
        <v/>
      </c>
      <c r="P487" s="9" t="str">
        <f>IF(D487=$P$3,1,"")</f>
        <v/>
      </c>
      <c r="Q487" s="9" t="str">
        <f>IF(D487=$Q$3,1,"")</f>
        <v/>
      </c>
      <c r="R487" s="9" t="str">
        <f>IF(D487=$R$3,1,"")</f>
        <v/>
      </c>
      <c r="S487" s="9" t="str">
        <f>IF(D487=$S$3,1,"")</f>
        <v/>
      </c>
      <c r="T487" s="9" t="str">
        <f>IF(D487=$T$3,1,"")</f>
        <v/>
      </c>
      <c r="U487" s="9" t="str">
        <f>IF(D487=$U$3,1,"")</f>
        <v/>
      </c>
      <c r="V487" s="9" t="str">
        <f>IF(D487=$V$3,1,"")</f>
        <v/>
      </c>
      <c r="W487" s="9" t="str">
        <f>IF(D487=$W$3,1,"")</f>
        <v/>
      </c>
      <c r="X487" s="9" t="str">
        <f>IF(D487=$X$3,1,"")</f>
        <v/>
      </c>
      <c r="Y487" s="9" t="e">
        <f>IF(#REF!=$X$3,1,"")</f>
        <v>#REF!</v>
      </c>
      <c r="Z487" s="9">
        <f t="shared" si="116"/>
        <v>1</v>
      </c>
      <c r="AA487" s="9">
        <f t="shared" si="117"/>
        <v>1</v>
      </c>
      <c r="AB487" s="9">
        <f t="shared" si="118"/>
        <v>1</v>
      </c>
      <c r="AC487" s="9">
        <f t="shared" si="119"/>
        <v>1</v>
      </c>
      <c r="AD487" s="9">
        <f t="shared" si="120"/>
        <v>1</v>
      </c>
    </row>
    <row r="488" spans="1:30" ht="21" customHeight="1" x14ac:dyDescent="0.2">
      <c r="A488" s="15" t="str">
        <f t="shared" si="121"/>
        <v/>
      </c>
      <c r="B488" s="34"/>
      <c r="C488" s="20" t="str">
        <f t="shared" si="115"/>
        <v/>
      </c>
      <c r="D488" s="21"/>
      <c r="E488" s="20"/>
      <c r="F488" s="18"/>
      <c r="G488" s="9"/>
      <c r="H488" s="19"/>
      <c r="M488" s="9" t="str">
        <f>IF(D488=$M$3,1,"")</f>
        <v/>
      </c>
      <c r="N488" s="9" t="str">
        <f>IF(D488=$N$3,1,"")</f>
        <v/>
      </c>
      <c r="O488" s="9" t="str">
        <f>IF(D488=$O$3,1,"")</f>
        <v/>
      </c>
      <c r="P488" s="9" t="str">
        <f>IF(D488=$P$3,1,"")</f>
        <v/>
      </c>
      <c r="Q488" s="9" t="str">
        <f>IF(D488=$Q$3,1,"")</f>
        <v/>
      </c>
      <c r="R488" s="9" t="str">
        <f>IF(D488=$R$3,1,"")</f>
        <v/>
      </c>
      <c r="S488" s="9" t="str">
        <f>IF(D488=$S$3,1,"")</f>
        <v/>
      </c>
      <c r="T488" s="9" t="str">
        <f>IF(D488=$T$3,1,"")</f>
        <v/>
      </c>
      <c r="U488" s="9" t="str">
        <f>IF(D488=$U$3,1,"")</f>
        <v/>
      </c>
      <c r="V488" s="9" t="str">
        <f>IF(D488=$V$3,1,"")</f>
        <v/>
      </c>
      <c r="W488" s="9" t="str">
        <f>IF(D488=$W$3,1,"")</f>
        <v/>
      </c>
      <c r="X488" s="9" t="str">
        <f>IF(D488=$X$3,1,"")</f>
        <v/>
      </c>
      <c r="Y488" s="9" t="e">
        <f>IF(#REF!=$X$3,1,"")</f>
        <v>#REF!</v>
      </c>
      <c r="Z488" s="9">
        <f t="shared" si="116"/>
        <v>1</v>
      </c>
      <c r="AA488" s="9">
        <f t="shared" si="117"/>
        <v>1</v>
      </c>
      <c r="AB488" s="9">
        <f t="shared" si="118"/>
        <v>1</v>
      </c>
      <c r="AC488" s="9">
        <f t="shared" si="119"/>
        <v>1</v>
      </c>
      <c r="AD488" s="9">
        <f t="shared" si="120"/>
        <v>1</v>
      </c>
    </row>
    <row r="489" spans="1:30" ht="21" customHeight="1" x14ac:dyDescent="0.2">
      <c r="A489" s="15" t="str">
        <f t="shared" si="121"/>
        <v/>
      </c>
      <c r="B489" s="34"/>
      <c r="C489" s="20" t="str">
        <f t="shared" si="115"/>
        <v/>
      </c>
      <c r="D489" s="21"/>
      <c r="E489" s="20"/>
      <c r="F489" s="18"/>
      <c r="G489" s="9"/>
      <c r="H489" s="19"/>
      <c r="M489" s="9" t="str">
        <f>IF(D489=$M$3,1,"")</f>
        <v/>
      </c>
      <c r="N489" s="9" t="str">
        <f>IF(D489=$N$3,1,"")</f>
        <v/>
      </c>
      <c r="O489" s="9" t="str">
        <f>IF(D489=$O$3,1,"")</f>
        <v/>
      </c>
      <c r="P489" s="9" t="str">
        <f>IF(D489=$P$3,1,"")</f>
        <v/>
      </c>
      <c r="Q489" s="9" t="str">
        <f>IF(D489=$Q$3,1,"")</f>
        <v/>
      </c>
      <c r="R489" s="9" t="str">
        <f>IF(D489=$R$3,1,"")</f>
        <v/>
      </c>
      <c r="S489" s="9" t="str">
        <f>IF(D489=$S$3,1,"")</f>
        <v/>
      </c>
      <c r="T489" s="9" t="str">
        <f>IF(D489=$T$3,1,"")</f>
        <v/>
      </c>
      <c r="U489" s="9" t="str">
        <f>IF(D489=$U$3,1,"")</f>
        <v/>
      </c>
      <c r="V489" s="9" t="str">
        <f>IF(D489=$V$3,1,"")</f>
        <v/>
      </c>
      <c r="W489" s="9" t="str">
        <f>IF(D489=$W$3,1,"")</f>
        <v/>
      </c>
      <c r="X489" s="9" t="str">
        <f>IF(D489=$X$3,1,"")</f>
        <v/>
      </c>
      <c r="Y489" s="9" t="e">
        <f>IF(#REF!=$X$3,1,"")</f>
        <v>#REF!</v>
      </c>
      <c r="Z489" s="9">
        <f t="shared" si="116"/>
        <v>1</v>
      </c>
      <c r="AA489" s="9">
        <f t="shared" si="117"/>
        <v>1</v>
      </c>
      <c r="AB489" s="9">
        <f t="shared" si="118"/>
        <v>1</v>
      </c>
      <c r="AC489" s="9">
        <f t="shared" si="119"/>
        <v>1</v>
      </c>
      <c r="AD489" s="9">
        <f t="shared" si="120"/>
        <v>1</v>
      </c>
    </row>
    <row r="490" spans="1:30" ht="21" customHeight="1" x14ac:dyDescent="0.2">
      <c r="A490" s="15" t="str">
        <f t="shared" si="121"/>
        <v/>
      </c>
      <c r="B490" s="34"/>
      <c r="C490" s="20" t="str">
        <f t="shared" si="115"/>
        <v/>
      </c>
      <c r="D490" s="21"/>
      <c r="E490" s="20"/>
      <c r="F490" s="18"/>
      <c r="G490" s="9"/>
      <c r="H490" s="19"/>
      <c r="M490" s="9" t="str">
        <f>IF(D490=$M$3,1,"")</f>
        <v/>
      </c>
      <c r="N490" s="9" t="str">
        <f>IF(D490=$N$3,1,"")</f>
        <v/>
      </c>
      <c r="O490" s="9" t="str">
        <f>IF(D490=$O$3,1,"")</f>
        <v/>
      </c>
      <c r="P490" s="9" t="str">
        <f>IF(D490=$P$3,1,"")</f>
        <v/>
      </c>
      <c r="Q490" s="9" t="str">
        <f>IF(D490=$Q$3,1,"")</f>
        <v/>
      </c>
      <c r="R490" s="9" t="str">
        <f>IF(D490=$R$3,1,"")</f>
        <v/>
      </c>
      <c r="S490" s="9" t="str">
        <f>IF(D490=$S$3,1,"")</f>
        <v/>
      </c>
      <c r="T490" s="9" t="str">
        <f>IF(D490=$T$3,1,"")</f>
        <v/>
      </c>
      <c r="U490" s="9" t="str">
        <f>IF(D490=$U$3,1,"")</f>
        <v/>
      </c>
      <c r="V490" s="9" t="str">
        <f>IF(D490=$V$3,1,"")</f>
        <v/>
      </c>
      <c r="W490" s="9" t="str">
        <f>IF(D490=$W$3,1,"")</f>
        <v/>
      </c>
      <c r="X490" s="9" t="str">
        <f>IF(D490=$X$3,1,"")</f>
        <v/>
      </c>
      <c r="Y490" s="9" t="e">
        <f>IF(#REF!=$X$3,1,"")</f>
        <v>#REF!</v>
      </c>
      <c r="Z490" s="9">
        <f t="shared" si="116"/>
        <v>1</v>
      </c>
      <c r="AA490" s="9">
        <f t="shared" si="117"/>
        <v>1</v>
      </c>
      <c r="AB490" s="9">
        <f t="shared" si="118"/>
        <v>1</v>
      </c>
      <c r="AC490" s="9">
        <f t="shared" si="119"/>
        <v>1</v>
      </c>
      <c r="AD490" s="9">
        <f t="shared" si="120"/>
        <v>1</v>
      </c>
    </row>
    <row r="491" spans="1:30" ht="21" customHeight="1" x14ac:dyDescent="0.2">
      <c r="A491" s="15" t="str">
        <f t="shared" ref="A491" si="122">IF(B491="","",A490+1)</f>
        <v/>
      </c>
      <c r="B491" s="34"/>
      <c r="C491" s="20" t="str">
        <f t="shared" ref="C491:C506" si="123">IF(B491="","","vs")</f>
        <v/>
      </c>
      <c r="D491" s="21"/>
      <c r="E491" s="20"/>
      <c r="F491" s="18"/>
      <c r="G491" s="9"/>
      <c r="H491" s="19"/>
      <c r="M491" s="9" t="str">
        <f>IF(D491=$M$3,1,"")</f>
        <v/>
      </c>
      <c r="N491" s="9" t="str">
        <f>IF(D491=$N$3,1,"")</f>
        <v/>
      </c>
      <c r="O491" s="9" t="str">
        <f>IF(D491=$O$3,1,"")</f>
        <v/>
      </c>
      <c r="P491" s="9" t="str">
        <f>IF(D491=$P$3,1,"")</f>
        <v/>
      </c>
      <c r="Q491" s="9" t="str">
        <f>IF(D491=$Q$3,1,"")</f>
        <v/>
      </c>
      <c r="R491" s="9" t="str">
        <f>IF(D491=$R$3,1,"")</f>
        <v/>
      </c>
      <c r="S491" s="9" t="str">
        <f>IF(D491=$S$3,1,"")</f>
        <v/>
      </c>
      <c r="T491" s="9" t="str">
        <f>IF(D491=$T$3,1,"")</f>
        <v/>
      </c>
      <c r="U491" s="9" t="str">
        <f>IF(D491=$U$3,1,"")</f>
        <v/>
      </c>
      <c r="V491" s="9" t="str">
        <f>IF(D491=$V$3,1,"")</f>
        <v/>
      </c>
      <c r="W491" s="9" t="str">
        <f>IF(D491=$W$3,1,"")</f>
        <v/>
      </c>
      <c r="X491" s="9" t="str">
        <f>IF(D491=$X$3,1,"")</f>
        <v/>
      </c>
      <c r="Y491" s="9" t="e">
        <f>IF(#REF!=$X$3,1,"")</f>
        <v>#REF!</v>
      </c>
      <c r="Z491" s="9">
        <f t="shared" ref="Z491:Z506" si="124">IF(F491=$Z$3,1,"")</f>
        <v>1</v>
      </c>
      <c r="AA491" s="9">
        <f t="shared" ref="AA491:AA506" si="125">IF(F491=$AA$3,1,"")</f>
        <v>1</v>
      </c>
      <c r="AB491" s="9">
        <f t="shared" ref="AB491:AB506" si="126">IF(F491=$AB$3,1,"")</f>
        <v>1</v>
      </c>
      <c r="AC491" s="9">
        <f t="shared" ref="AC491:AC506" si="127">IF(F491=$AC$3,1,"")</f>
        <v>1</v>
      </c>
      <c r="AD491" s="9">
        <f t="shared" ref="AD491:AD506" si="128">IF(F491=$AE$3,1,"")</f>
        <v>1</v>
      </c>
    </row>
    <row r="492" spans="1:30" ht="21" customHeight="1" x14ac:dyDescent="0.2">
      <c r="A492" s="15" t="str">
        <f>IF(B492="","",A460+1)</f>
        <v/>
      </c>
      <c r="B492" s="34"/>
      <c r="C492" s="20" t="str">
        <f t="shared" si="123"/>
        <v/>
      </c>
      <c r="D492" s="21"/>
      <c r="E492" s="20"/>
      <c r="F492" s="18"/>
      <c r="G492" s="9"/>
      <c r="H492" s="19"/>
      <c r="M492" s="9" t="str">
        <f>IF(D492=$M$3,1,"")</f>
        <v/>
      </c>
      <c r="N492" s="9" t="str">
        <f>IF(D492=$N$3,1,"")</f>
        <v/>
      </c>
      <c r="O492" s="9" t="str">
        <f>IF(D492=$O$3,1,"")</f>
        <v/>
      </c>
      <c r="P492" s="9" t="str">
        <f>IF(D492=$P$3,1,"")</f>
        <v/>
      </c>
      <c r="Q492" s="9" t="str">
        <f>IF(D492=$Q$3,1,"")</f>
        <v/>
      </c>
      <c r="R492" s="9" t="str">
        <f>IF(D492=$R$3,1,"")</f>
        <v/>
      </c>
      <c r="S492" s="9" t="str">
        <f>IF(D492=$S$3,1,"")</f>
        <v/>
      </c>
      <c r="T492" s="9" t="str">
        <f>IF(D492=$T$3,1,"")</f>
        <v/>
      </c>
      <c r="U492" s="9" t="str">
        <f>IF(D492=$U$3,1,"")</f>
        <v/>
      </c>
      <c r="V492" s="9" t="str">
        <f>IF(D492=$V$3,1,"")</f>
        <v/>
      </c>
      <c r="W492" s="9" t="str">
        <f>IF(D492=$W$3,1,"")</f>
        <v/>
      </c>
      <c r="X492" s="9" t="str">
        <f>IF(D492=$X$3,1,"")</f>
        <v/>
      </c>
      <c r="Y492" s="9" t="e">
        <f>IF(#REF!=$X$3,1,"")</f>
        <v>#REF!</v>
      </c>
      <c r="Z492" s="9">
        <f t="shared" si="124"/>
        <v>1</v>
      </c>
      <c r="AA492" s="9">
        <f t="shared" si="125"/>
        <v>1</v>
      </c>
      <c r="AB492" s="9">
        <f t="shared" si="126"/>
        <v>1</v>
      </c>
      <c r="AC492" s="9">
        <f t="shared" si="127"/>
        <v>1</v>
      </c>
      <c r="AD492" s="9">
        <f t="shared" si="128"/>
        <v>1</v>
      </c>
    </row>
    <row r="493" spans="1:30" ht="21" customHeight="1" x14ac:dyDescent="0.2">
      <c r="A493" s="15" t="str">
        <f t="shared" ref="A493:A506" si="129">IF(B493="","",A492+1)</f>
        <v/>
      </c>
      <c r="B493" s="34"/>
      <c r="C493" s="20" t="str">
        <f t="shared" si="123"/>
        <v/>
      </c>
      <c r="D493" s="21"/>
      <c r="E493" s="20"/>
      <c r="F493" s="18"/>
      <c r="G493" s="9"/>
      <c r="H493" s="19"/>
      <c r="M493" s="9" t="str">
        <f>IF(D493=$M$3,1,"")</f>
        <v/>
      </c>
      <c r="N493" s="9" t="str">
        <f>IF(D493=$N$3,1,"")</f>
        <v/>
      </c>
      <c r="O493" s="9" t="str">
        <f>IF(D493=$O$3,1,"")</f>
        <v/>
      </c>
      <c r="P493" s="9" t="str">
        <f>IF(D493=$P$3,1,"")</f>
        <v/>
      </c>
      <c r="Q493" s="9" t="str">
        <f>IF(D493=$Q$3,1,"")</f>
        <v/>
      </c>
      <c r="R493" s="9" t="str">
        <f>IF(D493=$R$3,1,"")</f>
        <v/>
      </c>
      <c r="S493" s="9" t="str">
        <f>IF(D493=$S$3,1,"")</f>
        <v/>
      </c>
      <c r="T493" s="9" t="str">
        <f>IF(D493=$T$3,1,"")</f>
        <v/>
      </c>
      <c r="U493" s="9" t="str">
        <f>IF(D493=$U$3,1,"")</f>
        <v/>
      </c>
      <c r="V493" s="9" t="str">
        <f>IF(D493=$V$3,1,"")</f>
        <v/>
      </c>
      <c r="W493" s="9" t="str">
        <f>IF(D493=$W$3,1,"")</f>
        <v/>
      </c>
      <c r="X493" s="9" t="str">
        <f>IF(D493=$X$3,1,"")</f>
        <v/>
      </c>
      <c r="Y493" s="9" t="e">
        <f>IF(#REF!=$X$3,1,"")</f>
        <v>#REF!</v>
      </c>
      <c r="Z493" s="9">
        <f t="shared" si="124"/>
        <v>1</v>
      </c>
      <c r="AA493" s="9">
        <f t="shared" si="125"/>
        <v>1</v>
      </c>
      <c r="AB493" s="9">
        <f t="shared" si="126"/>
        <v>1</v>
      </c>
      <c r="AC493" s="9">
        <f t="shared" si="127"/>
        <v>1</v>
      </c>
      <c r="AD493" s="9">
        <f t="shared" si="128"/>
        <v>1</v>
      </c>
    </row>
    <row r="494" spans="1:30" ht="21" customHeight="1" x14ac:dyDescent="0.2">
      <c r="A494" s="15" t="str">
        <f t="shared" si="129"/>
        <v/>
      </c>
      <c r="B494" s="34"/>
      <c r="C494" s="20" t="str">
        <f t="shared" si="123"/>
        <v/>
      </c>
      <c r="D494" s="21"/>
      <c r="E494" s="20"/>
      <c r="F494" s="18"/>
      <c r="G494" s="9"/>
      <c r="H494" s="19"/>
      <c r="M494" s="9" t="str">
        <f>IF(D494=$M$3,1,"")</f>
        <v/>
      </c>
      <c r="N494" s="9" t="str">
        <f>IF(D494=$N$3,1,"")</f>
        <v/>
      </c>
      <c r="O494" s="9" t="str">
        <f>IF(D494=$O$3,1,"")</f>
        <v/>
      </c>
      <c r="P494" s="9" t="str">
        <f>IF(D494=$P$3,1,"")</f>
        <v/>
      </c>
      <c r="Q494" s="9" t="str">
        <f>IF(D494=$Q$3,1,"")</f>
        <v/>
      </c>
      <c r="R494" s="9" t="str">
        <f>IF(D494=$R$3,1,"")</f>
        <v/>
      </c>
      <c r="S494" s="9" t="str">
        <f>IF(D494=$S$3,1,"")</f>
        <v/>
      </c>
      <c r="T494" s="9" t="str">
        <f>IF(D494=$T$3,1,"")</f>
        <v/>
      </c>
      <c r="U494" s="9" t="str">
        <f>IF(D494=$U$3,1,"")</f>
        <v/>
      </c>
      <c r="V494" s="9" t="str">
        <f>IF(D494=$V$3,1,"")</f>
        <v/>
      </c>
      <c r="W494" s="9" t="str">
        <f>IF(D494=$W$3,1,"")</f>
        <v/>
      </c>
      <c r="X494" s="9" t="str">
        <f>IF(D494=$X$3,1,"")</f>
        <v/>
      </c>
      <c r="Y494" s="9" t="e">
        <f>IF(#REF!=$X$3,1,"")</f>
        <v>#REF!</v>
      </c>
      <c r="Z494" s="9">
        <f t="shared" si="124"/>
        <v>1</v>
      </c>
      <c r="AA494" s="9">
        <f t="shared" si="125"/>
        <v>1</v>
      </c>
      <c r="AB494" s="9">
        <f t="shared" si="126"/>
        <v>1</v>
      </c>
      <c r="AC494" s="9">
        <f t="shared" si="127"/>
        <v>1</v>
      </c>
      <c r="AD494" s="9">
        <f t="shared" si="128"/>
        <v>1</v>
      </c>
    </row>
    <row r="495" spans="1:30" ht="21" customHeight="1" x14ac:dyDescent="0.2">
      <c r="A495" s="15" t="str">
        <f t="shared" si="129"/>
        <v/>
      </c>
      <c r="B495" s="34"/>
      <c r="C495" s="20" t="str">
        <f t="shared" si="123"/>
        <v/>
      </c>
      <c r="D495" s="21"/>
      <c r="E495" s="20"/>
      <c r="F495" s="18"/>
      <c r="G495" s="9"/>
      <c r="H495" s="19"/>
      <c r="M495" s="9" t="str">
        <f>IF(D495=$M$3,1,"")</f>
        <v/>
      </c>
      <c r="N495" s="9" t="str">
        <f>IF(D495=$N$3,1,"")</f>
        <v/>
      </c>
      <c r="O495" s="9" t="str">
        <f>IF(D495=$O$3,1,"")</f>
        <v/>
      </c>
      <c r="P495" s="9" t="str">
        <f>IF(D495=$P$3,1,"")</f>
        <v/>
      </c>
      <c r="Q495" s="9" t="str">
        <f>IF(D495=$Q$3,1,"")</f>
        <v/>
      </c>
      <c r="R495" s="9" t="str">
        <f>IF(D495=$R$3,1,"")</f>
        <v/>
      </c>
      <c r="S495" s="9" t="str">
        <f>IF(D495=$S$3,1,"")</f>
        <v/>
      </c>
      <c r="T495" s="9" t="str">
        <f>IF(D495=$T$3,1,"")</f>
        <v/>
      </c>
      <c r="U495" s="9" t="str">
        <f>IF(D495=$U$3,1,"")</f>
        <v/>
      </c>
      <c r="V495" s="9" t="str">
        <f>IF(D495=$V$3,1,"")</f>
        <v/>
      </c>
      <c r="W495" s="9" t="str">
        <f>IF(D495=$W$3,1,"")</f>
        <v/>
      </c>
      <c r="X495" s="9" t="str">
        <f>IF(D495=$X$3,1,"")</f>
        <v/>
      </c>
      <c r="Y495" s="9" t="e">
        <f>IF(#REF!=$X$3,1,"")</f>
        <v>#REF!</v>
      </c>
      <c r="Z495" s="9">
        <f t="shared" si="124"/>
        <v>1</v>
      </c>
      <c r="AA495" s="9">
        <f t="shared" si="125"/>
        <v>1</v>
      </c>
      <c r="AB495" s="9">
        <f t="shared" si="126"/>
        <v>1</v>
      </c>
      <c r="AC495" s="9">
        <f t="shared" si="127"/>
        <v>1</v>
      </c>
      <c r="AD495" s="9">
        <f t="shared" si="128"/>
        <v>1</v>
      </c>
    </row>
    <row r="496" spans="1:30" ht="21" customHeight="1" x14ac:dyDescent="0.2">
      <c r="A496" s="15" t="str">
        <f t="shared" si="129"/>
        <v/>
      </c>
      <c r="B496" s="34"/>
      <c r="C496" s="20" t="str">
        <f t="shared" si="123"/>
        <v/>
      </c>
      <c r="D496" s="21"/>
      <c r="E496" s="20"/>
      <c r="F496" s="18"/>
      <c r="G496" s="9"/>
      <c r="H496" s="19"/>
      <c r="M496" s="9" t="str">
        <f>IF(D496=$M$3,1,"")</f>
        <v/>
      </c>
      <c r="N496" s="9" t="str">
        <f>IF(D496=$N$3,1,"")</f>
        <v/>
      </c>
      <c r="O496" s="9" t="str">
        <f>IF(D496=$O$3,1,"")</f>
        <v/>
      </c>
      <c r="P496" s="9" t="str">
        <f>IF(D496=$P$3,1,"")</f>
        <v/>
      </c>
      <c r="Q496" s="9" t="str">
        <f>IF(D496=$Q$3,1,"")</f>
        <v/>
      </c>
      <c r="R496" s="9" t="str">
        <f>IF(D496=$R$3,1,"")</f>
        <v/>
      </c>
      <c r="S496" s="9" t="str">
        <f>IF(D496=$S$3,1,"")</f>
        <v/>
      </c>
      <c r="T496" s="9" t="str">
        <f>IF(D496=$T$3,1,"")</f>
        <v/>
      </c>
      <c r="U496" s="9" t="str">
        <f>IF(D496=$U$3,1,"")</f>
        <v/>
      </c>
      <c r="V496" s="9" t="str">
        <f>IF(D496=$V$3,1,"")</f>
        <v/>
      </c>
      <c r="W496" s="9" t="str">
        <f>IF(D496=$W$3,1,"")</f>
        <v/>
      </c>
      <c r="X496" s="9" t="str">
        <f>IF(D496=$X$3,1,"")</f>
        <v/>
      </c>
      <c r="Y496" s="9" t="e">
        <f>IF(#REF!=$X$3,1,"")</f>
        <v>#REF!</v>
      </c>
      <c r="Z496" s="9">
        <f t="shared" si="124"/>
        <v>1</v>
      </c>
      <c r="AA496" s="9">
        <f t="shared" si="125"/>
        <v>1</v>
      </c>
      <c r="AB496" s="9">
        <f t="shared" si="126"/>
        <v>1</v>
      </c>
      <c r="AC496" s="9">
        <f t="shared" si="127"/>
        <v>1</v>
      </c>
      <c r="AD496" s="9">
        <f t="shared" si="128"/>
        <v>1</v>
      </c>
    </row>
    <row r="497" spans="1:30" ht="21" customHeight="1" x14ac:dyDescent="0.2">
      <c r="A497" s="15" t="str">
        <f t="shared" si="129"/>
        <v/>
      </c>
      <c r="B497" s="34"/>
      <c r="C497" s="20" t="str">
        <f t="shared" si="123"/>
        <v/>
      </c>
      <c r="D497" s="21"/>
      <c r="E497" s="20"/>
      <c r="F497" s="18"/>
      <c r="G497" s="9"/>
      <c r="H497" s="19"/>
      <c r="M497" s="9" t="str">
        <f>IF(D497=$M$3,1,"")</f>
        <v/>
      </c>
      <c r="N497" s="9" t="str">
        <f>IF(D497=$N$3,1,"")</f>
        <v/>
      </c>
      <c r="O497" s="9" t="str">
        <f>IF(D497=$O$3,1,"")</f>
        <v/>
      </c>
      <c r="P497" s="9" t="str">
        <f>IF(D497=$P$3,1,"")</f>
        <v/>
      </c>
      <c r="Q497" s="9" t="str">
        <f>IF(D497=$Q$3,1,"")</f>
        <v/>
      </c>
      <c r="R497" s="9" t="str">
        <f>IF(D497=$R$3,1,"")</f>
        <v/>
      </c>
      <c r="S497" s="9" t="str">
        <f>IF(D497=$S$3,1,"")</f>
        <v/>
      </c>
      <c r="T497" s="9" t="str">
        <f>IF(D497=$T$3,1,"")</f>
        <v/>
      </c>
      <c r="U497" s="9" t="str">
        <f>IF(D497=$U$3,1,"")</f>
        <v/>
      </c>
      <c r="V497" s="9" t="str">
        <f>IF(D497=$V$3,1,"")</f>
        <v/>
      </c>
      <c r="W497" s="9" t="str">
        <f>IF(D497=$W$3,1,"")</f>
        <v/>
      </c>
      <c r="X497" s="9" t="str">
        <f>IF(D497=$X$3,1,"")</f>
        <v/>
      </c>
      <c r="Y497" s="9" t="e">
        <f>IF(#REF!=$X$3,1,"")</f>
        <v>#REF!</v>
      </c>
      <c r="Z497" s="9">
        <f t="shared" si="124"/>
        <v>1</v>
      </c>
      <c r="AA497" s="9">
        <f t="shared" si="125"/>
        <v>1</v>
      </c>
      <c r="AB497" s="9">
        <f t="shared" si="126"/>
        <v>1</v>
      </c>
      <c r="AC497" s="9">
        <f t="shared" si="127"/>
        <v>1</v>
      </c>
      <c r="AD497" s="9">
        <f t="shared" si="128"/>
        <v>1</v>
      </c>
    </row>
    <row r="498" spans="1:30" ht="21" customHeight="1" x14ac:dyDescent="0.2">
      <c r="A498" s="15" t="str">
        <f t="shared" si="129"/>
        <v/>
      </c>
      <c r="B498" s="34"/>
      <c r="C498" s="20" t="str">
        <f t="shared" si="123"/>
        <v/>
      </c>
      <c r="D498" s="21"/>
      <c r="E498" s="20"/>
      <c r="F498" s="18"/>
      <c r="G498" s="9"/>
      <c r="H498" s="19"/>
      <c r="M498" s="9" t="str">
        <f>IF(D498=$M$3,1,"")</f>
        <v/>
      </c>
      <c r="N498" s="9" t="str">
        <f>IF(D498=$N$3,1,"")</f>
        <v/>
      </c>
      <c r="O498" s="9" t="str">
        <f>IF(D498=$O$3,1,"")</f>
        <v/>
      </c>
      <c r="P498" s="9" t="str">
        <f>IF(D498=$P$3,1,"")</f>
        <v/>
      </c>
      <c r="Q498" s="9" t="str">
        <f>IF(D498=$Q$3,1,"")</f>
        <v/>
      </c>
      <c r="R498" s="9" t="str">
        <f>IF(D498=$R$3,1,"")</f>
        <v/>
      </c>
      <c r="S498" s="9" t="str">
        <f>IF(D498=$S$3,1,"")</f>
        <v/>
      </c>
      <c r="T498" s="9" t="str">
        <f>IF(D498=$T$3,1,"")</f>
        <v/>
      </c>
      <c r="U498" s="9" t="str">
        <f>IF(D498=$U$3,1,"")</f>
        <v/>
      </c>
      <c r="V498" s="9" t="str">
        <f>IF(D498=$V$3,1,"")</f>
        <v/>
      </c>
      <c r="W498" s="9" t="str">
        <f>IF(D498=$W$3,1,"")</f>
        <v/>
      </c>
      <c r="X498" s="9" t="str">
        <f>IF(D498=$X$3,1,"")</f>
        <v/>
      </c>
      <c r="Y498" s="9" t="e">
        <f>IF(#REF!=$X$3,1,"")</f>
        <v>#REF!</v>
      </c>
      <c r="Z498" s="9">
        <f t="shared" si="124"/>
        <v>1</v>
      </c>
      <c r="AA498" s="9">
        <f t="shared" si="125"/>
        <v>1</v>
      </c>
      <c r="AB498" s="9">
        <f t="shared" si="126"/>
        <v>1</v>
      </c>
      <c r="AC498" s="9">
        <f t="shared" si="127"/>
        <v>1</v>
      </c>
      <c r="AD498" s="9">
        <f t="shared" si="128"/>
        <v>1</v>
      </c>
    </row>
    <row r="499" spans="1:30" ht="21" customHeight="1" x14ac:dyDescent="0.2">
      <c r="A499" s="15" t="str">
        <f t="shared" si="129"/>
        <v/>
      </c>
      <c r="B499" s="34"/>
      <c r="C499" s="20" t="str">
        <f t="shared" si="123"/>
        <v/>
      </c>
      <c r="D499" s="21"/>
      <c r="E499" s="20"/>
      <c r="F499" s="18"/>
      <c r="G499" s="9"/>
      <c r="H499" s="19"/>
      <c r="M499" s="9" t="str">
        <f>IF(D499=$M$3,1,"")</f>
        <v/>
      </c>
      <c r="N499" s="9" t="str">
        <f>IF(D499=$N$3,1,"")</f>
        <v/>
      </c>
      <c r="O499" s="9" t="str">
        <f>IF(D499=$O$3,1,"")</f>
        <v/>
      </c>
      <c r="P499" s="9" t="str">
        <f>IF(D499=$P$3,1,"")</f>
        <v/>
      </c>
      <c r="Q499" s="9" t="str">
        <f>IF(D499=$Q$3,1,"")</f>
        <v/>
      </c>
      <c r="R499" s="9" t="str">
        <f>IF(D499=$R$3,1,"")</f>
        <v/>
      </c>
      <c r="S499" s="9" t="str">
        <f>IF(D499=$S$3,1,"")</f>
        <v/>
      </c>
      <c r="T499" s="9" t="str">
        <f>IF(D499=$T$3,1,"")</f>
        <v/>
      </c>
      <c r="U499" s="9" t="str">
        <f>IF(D499=$U$3,1,"")</f>
        <v/>
      </c>
      <c r="V499" s="9" t="str">
        <f>IF(D499=$V$3,1,"")</f>
        <v/>
      </c>
      <c r="W499" s="9" t="str">
        <f>IF(D499=$W$3,1,"")</f>
        <v/>
      </c>
      <c r="X499" s="9" t="str">
        <f>IF(D499=$X$3,1,"")</f>
        <v/>
      </c>
      <c r="Y499" s="9" t="e">
        <f>IF(#REF!=$X$3,1,"")</f>
        <v>#REF!</v>
      </c>
      <c r="Z499" s="9">
        <f t="shared" si="124"/>
        <v>1</v>
      </c>
      <c r="AA499" s="9">
        <f t="shared" si="125"/>
        <v>1</v>
      </c>
      <c r="AB499" s="9">
        <f t="shared" si="126"/>
        <v>1</v>
      </c>
      <c r="AC499" s="9">
        <f t="shared" si="127"/>
        <v>1</v>
      </c>
      <c r="AD499" s="9">
        <f t="shared" si="128"/>
        <v>1</v>
      </c>
    </row>
    <row r="500" spans="1:30" ht="21" customHeight="1" x14ac:dyDescent="0.2">
      <c r="A500" s="15" t="str">
        <f t="shared" si="129"/>
        <v/>
      </c>
      <c r="B500" s="34"/>
      <c r="C500" s="20" t="str">
        <f t="shared" si="123"/>
        <v/>
      </c>
      <c r="D500" s="21"/>
      <c r="E500" s="20"/>
      <c r="F500" s="18"/>
      <c r="G500" s="9"/>
      <c r="H500" s="19"/>
      <c r="M500" s="9" t="str">
        <f>IF(D500=$M$3,1,"")</f>
        <v/>
      </c>
      <c r="N500" s="9" t="str">
        <f>IF(D500=$N$3,1,"")</f>
        <v/>
      </c>
      <c r="O500" s="9" t="str">
        <f>IF(D500=$O$3,1,"")</f>
        <v/>
      </c>
      <c r="P500" s="9" t="str">
        <f>IF(D500=$P$3,1,"")</f>
        <v/>
      </c>
      <c r="Q500" s="9" t="str">
        <f>IF(D500=$Q$3,1,"")</f>
        <v/>
      </c>
      <c r="R500" s="9" t="str">
        <f>IF(D500=$R$3,1,"")</f>
        <v/>
      </c>
      <c r="S500" s="9" t="str">
        <f>IF(D500=$S$3,1,"")</f>
        <v/>
      </c>
      <c r="T500" s="9" t="str">
        <f>IF(D500=$T$3,1,"")</f>
        <v/>
      </c>
      <c r="U500" s="9" t="str">
        <f>IF(D500=$U$3,1,"")</f>
        <v/>
      </c>
      <c r="V500" s="9" t="str">
        <f>IF(D500=$V$3,1,"")</f>
        <v/>
      </c>
      <c r="W500" s="9" t="str">
        <f>IF(D500=$W$3,1,"")</f>
        <v/>
      </c>
      <c r="X500" s="9" t="str">
        <f>IF(D500=$X$3,1,"")</f>
        <v/>
      </c>
      <c r="Y500" s="9" t="e">
        <f>IF(#REF!=$X$3,1,"")</f>
        <v>#REF!</v>
      </c>
      <c r="Z500" s="9">
        <f t="shared" si="124"/>
        <v>1</v>
      </c>
      <c r="AA500" s="9">
        <f t="shared" si="125"/>
        <v>1</v>
      </c>
      <c r="AB500" s="9">
        <f t="shared" si="126"/>
        <v>1</v>
      </c>
      <c r="AC500" s="9">
        <f t="shared" si="127"/>
        <v>1</v>
      </c>
      <c r="AD500" s="9">
        <f t="shared" si="128"/>
        <v>1</v>
      </c>
    </row>
    <row r="501" spans="1:30" ht="21" customHeight="1" x14ac:dyDescent="0.2">
      <c r="A501" s="15" t="str">
        <f t="shared" si="129"/>
        <v/>
      </c>
      <c r="B501" s="34"/>
      <c r="C501" s="20" t="str">
        <f t="shared" si="123"/>
        <v/>
      </c>
      <c r="D501" s="21"/>
      <c r="E501" s="20"/>
      <c r="F501" s="18"/>
      <c r="G501" s="9"/>
      <c r="H501" s="19"/>
      <c r="M501" s="9" t="str">
        <f>IF(D501=$M$3,1,"")</f>
        <v/>
      </c>
      <c r="N501" s="9" t="str">
        <f>IF(D501=$N$3,1,"")</f>
        <v/>
      </c>
      <c r="O501" s="9" t="str">
        <f>IF(D501=$O$3,1,"")</f>
        <v/>
      </c>
      <c r="P501" s="9" t="str">
        <f>IF(D501=$P$3,1,"")</f>
        <v/>
      </c>
      <c r="Q501" s="9" t="str">
        <f>IF(D501=$Q$3,1,"")</f>
        <v/>
      </c>
      <c r="R501" s="9" t="str">
        <f>IF(D501=$R$3,1,"")</f>
        <v/>
      </c>
      <c r="S501" s="9" t="str">
        <f>IF(D501=$S$3,1,"")</f>
        <v/>
      </c>
      <c r="T501" s="9" t="str">
        <f>IF(D501=$T$3,1,"")</f>
        <v/>
      </c>
      <c r="U501" s="9" t="str">
        <f>IF(D501=$U$3,1,"")</f>
        <v/>
      </c>
      <c r="V501" s="9" t="str">
        <f>IF(D501=$V$3,1,"")</f>
        <v/>
      </c>
      <c r="W501" s="9" t="str">
        <f>IF(D501=$W$3,1,"")</f>
        <v/>
      </c>
      <c r="X501" s="9" t="str">
        <f>IF(D501=$X$3,1,"")</f>
        <v/>
      </c>
      <c r="Y501" s="9" t="e">
        <f>IF(#REF!=$X$3,1,"")</f>
        <v>#REF!</v>
      </c>
      <c r="Z501" s="9">
        <f t="shared" si="124"/>
        <v>1</v>
      </c>
      <c r="AA501" s="9">
        <f t="shared" si="125"/>
        <v>1</v>
      </c>
      <c r="AB501" s="9">
        <f t="shared" si="126"/>
        <v>1</v>
      </c>
      <c r="AC501" s="9">
        <f t="shared" si="127"/>
        <v>1</v>
      </c>
      <c r="AD501" s="9">
        <f t="shared" si="128"/>
        <v>1</v>
      </c>
    </row>
    <row r="502" spans="1:30" ht="21" customHeight="1" x14ac:dyDescent="0.2">
      <c r="A502" s="15" t="str">
        <f t="shared" si="129"/>
        <v/>
      </c>
      <c r="B502" s="34"/>
      <c r="C502" s="20" t="str">
        <f t="shared" si="123"/>
        <v/>
      </c>
      <c r="D502" s="21"/>
      <c r="E502" s="20"/>
      <c r="F502" s="18"/>
      <c r="G502" s="9"/>
      <c r="H502" s="19"/>
      <c r="M502" s="9" t="str">
        <f>IF(D502=$M$3,1,"")</f>
        <v/>
      </c>
      <c r="N502" s="9" t="str">
        <f>IF(D502=$N$3,1,"")</f>
        <v/>
      </c>
      <c r="O502" s="9" t="str">
        <f>IF(D502=$O$3,1,"")</f>
        <v/>
      </c>
      <c r="P502" s="9" t="str">
        <f>IF(D502=$P$3,1,"")</f>
        <v/>
      </c>
      <c r="Q502" s="9" t="str">
        <f>IF(D502=$Q$3,1,"")</f>
        <v/>
      </c>
      <c r="R502" s="9" t="str">
        <f>IF(D502=$R$3,1,"")</f>
        <v/>
      </c>
      <c r="S502" s="9" t="str">
        <f>IF(D502=$S$3,1,"")</f>
        <v/>
      </c>
      <c r="T502" s="9" t="str">
        <f>IF(D502=$T$3,1,"")</f>
        <v/>
      </c>
      <c r="U502" s="9" t="str">
        <f>IF(D502=$U$3,1,"")</f>
        <v/>
      </c>
      <c r="V502" s="9" t="str">
        <f>IF(D502=$V$3,1,"")</f>
        <v/>
      </c>
      <c r="W502" s="9" t="str">
        <f>IF(D502=$W$3,1,"")</f>
        <v/>
      </c>
      <c r="X502" s="9" t="str">
        <f>IF(D502=$X$3,1,"")</f>
        <v/>
      </c>
      <c r="Y502" s="9" t="e">
        <f>IF(#REF!=$X$3,1,"")</f>
        <v>#REF!</v>
      </c>
      <c r="Z502" s="9">
        <f t="shared" si="124"/>
        <v>1</v>
      </c>
      <c r="AA502" s="9">
        <f t="shared" si="125"/>
        <v>1</v>
      </c>
      <c r="AB502" s="9">
        <f t="shared" si="126"/>
        <v>1</v>
      </c>
      <c r="AC502" s="9">
        <f t="shared" si="127"/>
        <v>1</v>
      </c>
      <c r="AD502" s="9">
        <f t="shared" si="128"/>
        <v>1</v>
      </c>
    </row>
    <row r="503" spans="1:30" ht="21" customHeight="1" x14ac:dyDescent="0.2">
      <c r="A503" s="15" t="str">
        <f t="shared" si="129"/>
        <v/>
      </c>
      <c r="B503" s="34"/>
      <c r="C503" s="20" t="str">
        <f t="shared" si="123"/>
        <v/>
      </c>
      <c r="D503" s="21"/>
      <c r="E503" s="20"/>
      <c r="F503" s="18"/>
      <c r="G503" s="9"/>
      <c r="H503" s="19"/>
      <c r="M503" s="9" t="str">
        <f>IF(D503=$M$3,1,"")</f>
        <v/>
      </c>
      <c r="N503" s="9" t="str">
        <f>IF(D503=$N$3,1,"")</f>
        <v/>
      </c>
      <c r="O503" s="9" t="str">
        <f>IF(D503=$O$3,1,"")</f>
        <v/>
      </c>
      <c r="P503" s="9" t="str">
        <f>IF(D503=$P$3,1,"")</f>
        <v/>
      </c>
      <c r="Q503" s="9" t="str">
        <f>IF(D503=$Q$3,1,"")</f>
        <v/>
      </c>
      <c r="R503" s="9" t="str">
        <f>IF(D503=$R$3,1,"")</f>
        <v/>
      </c>
      <c r="S503" s="9" t="str">
        <f>IF(D503=$S$3,1,"")</f>
        <v/>
      </c>
      <c r="T503" s="9" t="str">
        <f>IF(D503=$T$3,1,"")</f>
        <v/>
      </c>
      <c r="U503" s="9" t="str">
        <f>IF(D503=$U$3,1,"")</f>
        <v/>
      </c>
      <c r="V503" s="9" t="str">
        <f>IF(D503=$V$3,1,"")</f>
        <v/>
      </c>
      <c r="W503" s="9" t="str">
        <f>IF(D503=$W$3,1,"")</f>
        <v/>
      </c>
      <c r="X503" s="9" t="str">
        <f>IF(D503=$X$3,1,"")</f>
        <v/>
      </c>
      <c r="Y503" s="9" t="e">
        <f>IF(#REF!=$X$3,1,"")</f>
        <v>#REF!</v>
      </c>
      <c r="Z503" s="9">
        <f t="shared" si="124"/>
        <v>1</v>
      </c>
      <c r="AA503" s="9">
        <f t="shared" si="125"/>
        <v>1</v>
      </c>
      <c r="AB503" s="9">
        <f t="shared" si="126"/>
        <v>1</v>
      </c>
      <c r="AC503" s="9">
        <f t="shared" si="127"/>
        <v>1</v>
      </c>
      <c r="AD503" s="9">
        <f t="shared" si="128"/>
        <v>1</v>
      </c>
    </row>
    <row r="504" spans="1:30" ht="21" customHeight="1" x14ac:dyDescent="0.2">
      <c r="A504" s="15" t="str">
        <f t="shared" si="129"/>
        <v/>
      </c>
      <c r="B504" s="34"/>
      <c r="C504" s="20" t="str">
        <f t="shared" si="123"/>
        <v/>
      </c>
      <c r="D504" s="21"/>
      <c r="E504" s="20"/>
      <c r="F504" s="18"/>
      <c r="G504" s="9"/>
      <c r="H504" s="19"/>
      <c r="M504" s="9" t="str">
        <f>IF(D504=$M$3,1,"")</f>
        <v/>
      </c>
      <c r="N504" s="9" t="str">
        <f>IF(D504=$N$3,1,"")</f>
        <v/>
      </c>
      <c r="O504" s="9" t="str">
        <f>IF(D504=$O$3,1,"")</f>
        <v/>
      </c>
      <c r="P504" s="9" t="str">
        <f>IF(D504=$P$3,1,"")</f>
        <v/>
      </c>
      <c r="Q504" s="9" t="str">
        <f>IF(D504=$Q$3,1,"")</f>
        <v/>
      </c>
      <c r="R504" s="9" t="str">
        <f>IF(D504=$R$3,1,"")</f>
        <v/>
      </c>
      <c r="S504" s="9" t="str">
        <f>IF(D504=$S$3,1,"")</f>
        <v/>
      </c>
      <c r="T504" s="9" t="str">
        <f>IF(D504=$T$3,1,"")</f>
        <v/>
      </c>
      <c r="U504" s="9" t="str">
        <f>IF(D504=$U$3,1,"")</f>
        <v/>
      </c>
      <c r="V504" s="9" t="str">
        <f>IF(D504=$V$3,1,"")</f>
        <v/>
      </c>
      <c r="W504" s="9" t="str">
        <f>IF(D504=$W$3,1,"")</f>
        <v/>
      </c>
      <c r="X504" s="9" t="str">
        <f>IF(D504=$X$3,1,"")</f>
        <v/>
      </c>
      <c r="Y504" s="9" t="e">
        <f>IF(#REF!=$X$3,1,"")</f>
        <v>#REF!</v>
      </c>
      <c r="Z504" s="9">
        <f t="shared" si="124"/>
        <v>1</v>
      </c>
      <c r="AA504" s="9">
        <f t="shared" si="125"/>
        <v>1</v>
      </c>
      <c r="AB504" s="9">
        <f t="shared" si="126"/>
        <v>1</v>
      </c>
      <c r="AC504" s="9">
        <f t="shared" si="127"/>
        <v>1</v>
      </c>
      <c r="AD504" s="9">
        <f t="shared" si="128"/>
        <v>1</v>
      </c>
    </row>
    <row r="505" spans="1:30" ht="21" customHeight="1" x14ac:dyDescent="0.2">
      <c r="A505" s="15" t="str">
        <f t="shared" si="129"/>
        <v/>
      </c>
      <c r="B505" s="34"/>
      <c r="C505" s="20" t="str">
        <f t="shared" si="123"/>
        <v/>
      </c>
      <c r="D505" s="21"/>
      <c r="E505" s="20"/>
      <c r="F505" s="18"/>
      <c r="G505" s="9"/>
      <c r="H505" s="19"/>
      <c r="M505" s="9" t="str">
        <f>IF(D505=$M$3,1,"")</f>
        <v/>
      </c>
      <c r="N505" s="9" t="str">
        <f>IF(D505=$N$3,1,"")</f>
        <v/>
      </c>
      <c r="O505" s="9" t="str">
        <f>IF(D505=$O$3,1,"")</f>
        <v/>
      </c>
      <c r="P505" s="9" t="str">
        <f>IF(D505=$P$3,1,"")</f>
        <v/>
      </c>
      <c r="Q505" s="9" t="str">
        <f>IF(D505=$Q$3,1,"")</f>
        <v/>
      </c>
      <c r="R505" s="9" t="str">
        <f>IF(D505=$R$3,1,"")</f>
        <v/>
      </c>
      <c r="S505" s="9" t="str">
        <f>IF(D505=$S$3,1,"")</f>
        <v/>
      </c>
      <c r="T505" s="9" t="str">
        <f>IF(D505=$T$3,1,"")</f>
        <v/>
      </c>
      <c r="U505" s="9" t="str">
        <f>IF(D505=$U$3,1,"")</f>
        <v/>
      </c>
      <c r="V505" s="9" t="str">
        <f>IF(D505=$V$3,1,"")</f>
        <v/>
      </c>
      <c r="W505" s="9" t="str">
        <f>IF(D505=$W$3,1,"")</f>
        <v/>
      </c>
      <c r="X505" s="9" t="str">
        <f>IF(D505=$X$3,1,"")</f>
        <v/>
      </c>
      <c r="Y505" s="9" t="e">
        <f>IF(#REF!=$X$3,1,"")</f>
        <v>#REF!</v>
      </c>
      <c r="Z505" s="9">
        <f t="shared" si="124"/>
        <v>1</v>
      </c>
      <c r="AA505" s="9">
        <f t="shared" si="125"/>
        <v>1</v>
      </c>
      <c r="AB505" s="9">
        <f t="shared" si="126"/>
        <v>1</v>
      </c>
      <c r="AC505" s="9">
        <f t="shared" si="127"/>
        <v>1</v>
      </c>
      <c r="AD505" s="9">
        <f t="shared" si="128"/>
        <v>1</v>
      </c>
    </row>
    <row r="506" spans="1:30" ht="21" customHeight="1" x14ac:dyDescent="0.2">
      <c r="A506" s="15" t="str">
        <f t="shared" si="129"/>
        <v/>
      </c>
      <c r="B506" s="34"/>
      <c r="C506" s="20" t="str">
        <f t="shared" si="123"/>
        <v/>
      </c>
      <c r="D506" s="21"/>
      <c r="E506" s="20"/>
      <c r="F506" s="18"/>
      <c r="G506" s="9"/>
      <c r="H506" s="19"/>
      <c r="M506" s="9" t="str">
        <f>IF(D506=$M$3,1,"")</f>
        <v/>
      </c>
      <c r="N506" s="9" t="str">
        <f>IF(D506=$N$3,1,"")</f>
        <v/>
      </c>
      <c r="O506" s="9" t="str">
        <f>IF(D506=$O$3,1,"")</f>
        <v/>
      </c>
      <c r="P506" s="9" t="str">
        <f>IF(D506=$P$3,1,"")</f>
        <v/>
      </c>
      <c r="Q506" s="9" t="str">
        <f>IF(D506=$Q$3,1,"")</f>
        <v/>
      </c>
      <c r="R506" s="9" t="str">
        <f>IF(D506=$R$3,1,"")</f>
        <v/>
      </c>
      <c r="S506" s="9" t="str">
        <f>IF(D506=$S$3,1,"")</f>
        <v/>
      </c>
      <c r="T506" s="9" t="str">
        <f>IF(D506=$T$3,1,"")</f>
        <v/>
      </c>
      <c r="U506" s="9" t="str">
        <f>IF(D506=$U$3,1,"")</f>
        <v/>
      </c>
      <c r="V506" s="9" t="str">
        <f>IF(D506=$V$3,1,"")</f>
        <v/>
      </c>
      <c r="W506" s="9" t="str">
        <f>IF(D506=$W$3,1,"")</f>
        <v/>
      </c>
      <c r="X506" s="9" t="str">
        <f>IF(D506=$X$3,1,"")</f>
        <v/>
      </c>
      <c r="Y506" s="9" t="e">
        <f>IF(#REF!=$X$3,1,"")</f>
        <v>#REF!</v>
      </c>
      <c r="Z506" s="9">
        <f t="shared" si="124"/>
        <v>1</v>
      </c>
      <c r="AA506" s="9">
        <f t="shared" si="125"/>
        <v>1</v>
      </c>
      <c r="AB506" s="9">
        <f t="shared" si="126"/>
        <v>1</v>
      </c>
      <c r="AC506" s="9">
        <f t="shared" si="127"/>
        <v>1</v>
      </c>
      <c r="AD506" s="9">
        <f t="shared" si="128"/>
        <v>1</v>
      </c>
    </row>
    <row r="507" spans="1:30" ht="21" customHeight="1" x14ac:dyDescent="0.2">
      <c r="A507" s="15" t="str">
        <f>IF(B507="","",A490+1)</f>
        <v/>
      </c>
      <c r="B507" s="34"/>
      <c r="C507" s="20" t="str">
        <f t="shared" si="115"/>
        <v/>
      </c>
      <c r="D507" s="21"/>
      <c r="E507" s="20"/>
      <c r="F507" s="18"/>
      <c r="G507" s="9"/>
      <c r="H507" s="19"/>
      <c r="M507" s="9" t="str">
        <f>IF(D507=$M$3,1,"")</f>
        <v/>
      </c>
      <c r="N507" s="9" t="str">
        <f>IF(D507=$N$3,1,"")</f>
        <v/>
      </c>
      <c r="O507" s="9" t="str">
        <f>IF(D507=$O$3,1,"")</f>
        <v/>
      </c>
      <c r="P507" s="9" t="str">
        <f>IF(D507=$P$3,1,"")</f>
        <v/>
      </c>
      <c r="Q507" s="9" t="str">
        <f>IF(D507=$Q$3,1,"")</f>
        <v/>
      </c>
      <c r="R507" s="9" t="str">
        <f>IF(D507=$R$3,1,"")</f>
        <v/>
      </c>
      <c r="S507" s="9" t="str">
        <f>IF(D507=$S$3,1,"")</f>
        <v/>
      </c>
      <c r="T507" s="9" t="str">
        <f>IF(D507=$T$3,1,"")</f>
        <v/>
      </c>
      <c r="U507" s="9" t="str">
        <f>IF(D507=$U$3,1,"")</f>
        <v/>
      </c>
      <c r="V507" s="9" t="str">
        <f>IF(D507=$V$3,1,"")</f>
        <v/>
      </c>
      <c r="W507" s="9" t="str">
        <f>IF(D507=$W$3,1,"")</f>
        <v/>
      </c>
      <c r="X507" s="9" t="str">
        <f>IF(D507=$X$3,1,"")</f>
        <v/>
      </c>
      <c r="Y507" s="9" t="e">
        <f>IF(#REF!=$X$3,1,"")</f>
        <v>#REF!</v>
      </c>
      <c r="Z507" s="9">
        <f t="shared" si="116"/>
        <v>1</v>
      </c>
      <c r="AA507" s="9">
        <f t="shared" si="117"/>
        <v>1</v>
      </c>
      <c r="AB507" s="9">
        <f t="shared" si="118"/>
        <v>1</v>
      </c>
      <c r="AC507" s="9">
        <f t="shared" si="119"/>
        <v>1</v>
      </c>
      <c r="AD507" s="9">
        <f t="shared" si="120"/>
        <v>1</v>
      </c>
    </row>
    <row r="508" spans="1:30" ht="21" customHeight="1" x14ac:dyDescent="0.2">
      <c r="A508" s="15" t="str">
        <f t="shared" si="121"/>
        <v/>
      </c>
      <c r="B508" s="34"/>
      <c r="C508" s="20" t="str">
        <f t="shared" si="115"/>
        <v/>
      </c>
      <c r="D508" s="21"/>
      <c r="E508" s="20"/>
      <c r="F508" s="18"/>
      <c r="G508" s="9"/>
      <c r="H508" s="19"/>
      <c r="M508" s="9" t="str">
        <f>IF(D508=$M$3,1,"")</f>
        <v/>
      </c>
      <c r="N508" s="9" t="str">
        <f>IF(D508=$N$3,1,"")</f>
        <v/>
      </c>
      <c r="O508" s="9" t="str">
        <f>IF(D508=$O$3,1,"")</f>
        <v/>
      </c>
      <c r="P508" s="9" t="str">
        <f>IF(D508=$P$3,1,"")</f>
        <v/>
      </c>
      <c r="Q508" s="9" t="str">
        <f>IF(D508=$Q$3,1,"")</f>
        <v/>
      </c>
      <c r="R508" s="9" t="str">
        <f>IF(D508=$R$3,1,"")</f>
        <v/>
      </c>
      <c r="S508" s="9" t="str">
        <f>IF(D508=$S$3,1,"")</f>
        <v/>
      </c>
      <c r="T508" s="9" t="str">
        <f>IF(D508=$T$3,1,"")</f>
        <v/>
      </c>
      <c r="U508" s="9" t="str">
        <f>IF(D508=$U$3,1,"")</f>
        <v/>
      </c>
      <c r="V508" s="9" t="str">
        <f>IF(D508=$V$3,1,"")</f>
        <v/>
      </c>
      <c r="W508" s="9" t="str">
        <f>IF(D508=$W$3,1,"")</f>
        <v/>
      </c>
      <c r="X508" s="9" t="str">
        <f>IF(D508=$X$3,1,"")</f>
        <v/>
      </c>
      <c r="Y508" s="9" t="e">
        <f>IF(#REF!=$X$3,1,"")</f>
        <v>#REF!</v>
      </c>
      <c r="Z508" s="9">
        <f t="shared" si="116"/>
        <v>1</v>
      </c>
      <c r="AA508" s="9">
        <f t="shared" si="117"/>
        <v>1</v>
      </c>
      <c r="AB508" s="9">
        <f t="shared" si="118"/>
        <v>1</v>
      </c>
      <c r="AC508" s="9">
        <f t="shared" si="119"/>
        <v>1</v>
      </c>
      <c r="AD508" s="9">
        <f t="shared" si="120"/>
        <v>1</v>
      </c>
    </row>
    <row r="509" spans="1:30" ht="21" customHeight="1" x14ac:dyDescent="0.2">
      <c r="A509" s="15" t="str">
        <f>IF(B509="","",A477+1)</f>
        <v/>
      </c>
      <c r="B509" s="34"/>
      <c r="C509" s="20" t="str">
        <f t="shared" si="108"/>
        <v/>
      </c>
      <c r="D509" s="21"/>
      <c r="E509" s="20"/>
      <c r="F509" s="18"/>
      <c r="G509" s="9"/>
      <c r="H509" s="19"/>
      <c r="M509" s="9" t="str">
        <f>IF(D509=$M$3,1,"")</f>
        <v/>
      </c>
      <c r="N509" s="9" t="str">
        <f>IF(D509=$N$3,1,"")</f>
        <v/>
      </c>
      <c r="O509" s="9" t="str">
        <f>IF(D509=$O$3,1,"")</f>
        <v/>
      </c>
      <c r="P509" s="9" t="str">
        <f>IF(D509=$P$3,1,"")</f>
        <v/>
      </c>
      <c r="Q509" s="9" t="str">
        <f>IF(D509=$Q$3,1,"")</f>
        <v/>
      </c>
      <c r="R509" s="9" t="str">
        <f>IF(D509=$R$3,1,"")</f>
        <v/>
      </c>
      <c r="S509" s="9" t="str">
        <f>IF(D509=$S$3,1,"")</f>
        <v/>
      </c>
      <c r="T509" s="9" t="str">
        <f>IF(D509=$T$3,1,"")</f>
        <v/>
      </c>
      <c r="U509" s="9" t="str">
        <f>IF(D509=$U$3,1,"")</f>
        <v/>
      </c>
      <c r="V509" s="9" t="str">
        <f>IF(D509=$V$3,1,"")</f>
        <v/>
      </c>
      <c r="W509" s="9" t="str">
        <f>IF(D509=$W$3,1,"")</f>
        <v/>
      </c>
      <c r="X509" s="9" t="str">
        <f>IF(D509=$X$3,1,"")</f>
        <v/>
      </c>
      <c r="Y509" s="9" t="e">
        <f>IF(#REF!=$X$3,1,"")</f>
        <v>#REF!</v>
      </c>
      <c r="Z509" s="9">
        <f t="shared" si="110"/>
        <v>1</v>
      </c>
      <c r="AA509" s="9">
        <f t="shared" si="111"/>
        <v>1</v>
      </c>
      <c r="AB509" s="9">
        <f t="shared" si="112"/>
        <v>1</v>
      </c>
      <c r="AC509" s="9">
        <f t="shared" si="113"/>
        <v>1</v>
      </c>
      <c r="AD509" s="9">
        <f t="shared" si="114"/>
        <v>1</v>
      </c>
    </row>
    <row r="510" spans="1:30" ht="21" customHeight="1" x14ac:dyDescent="0.2">
      <c r="A510" s="15" t="str">
        <f t="shared" si="109"/>
        <v/>
      </c>
      <c r="B510" s="34"/>
      <c r="C510" s="20" t="str">
        <f t="shared" si="108"/>
        <v/>
      </c>
      <c r="D510" s="21"/>
      <c r="E510" s="20"/>
      <c r="F510" s="18"/>
      <c r="G510" s="9"/>
      <c r="H510" s="19"/>
      <c r="M510" s="9" t="str">
        <f>IF(D510=$M$3,1,"")</f>
        <v/>
      </c>
      <c r="N510" s="9" t="str">
        <f>IF(D510=$N$3,1,"")</f>
        <v/>
      </c>
      <c r="O510" s="9" t="str">
        <f>IF(D510=$O$3,1,"")</f>
        <v/>
      </c>
      <c r="P510" s="9" t="str">
        <f>IF(D510=$P$3,1,"")</f>
        <v/>
      </c>
      <c r="Q510" s="9" t="str">
        <f>IF(D510=$Q$3,1,"")</f>
        <v/>
      </c>
      <c r="R510" s="9" t="str">
        <f>IF(D510=$R$3,1,"")</f>
        <v/>
      </c>
      <c r="S510" s="9" t="str">
        <f>IF(D510=$S$3,1,"")</f>
        <v/>
      </c>
      <c r="T510" s="9" t="str">
        <f>IF(D510=$T$3,1,"")</f>
        <v/>
      </c>
      <c r="U510" s="9" t="str">
        <f>IF(D510=$U$3,1,"")</f>
        <v/>
      </c>
      <c r="V510" s="9" t="str">
        <f>IF(D510=$V$3,1,"")</f>
        <v/>
      </c>
      <c r="W510" s="9" t="str">
        <f>IF(D510=$W$3,1,"")</f>
        <v/>
      </c>
      <c r="X510" s="9" t="str">
        <f>IF(D510=$X$3,1,"")</f>
        <v/>
      </c>
      <c r="Y510" s="9" t="e">
        <f>IF(#REF!=$X$3,1,"")</f>
        <v>#REF!</v>
      </c>
      <c r="Z510" s="9">
        <f t="shared" si="110"/>
        <v>1</v>
      </c>
      <c r="AA510" s="9">
        <f t="shared" si="111"/>
        <v>1</v>
      </c>
      <c r="AB510" s="9">
        <f t="shared" si="112"/>
        <v>1</v>
      </c>
      <c r="AC510" s="9">
        <f t="shared" si="113"/>
        <v>1</v>
      </c>
      <c r="AD510" s="9">
        <f t="shared" si="114"/>
        <v>1</v>
      </c>
    </row>
    <row r="511" spans="1:30" ht="21" customHeight="1" x14ac:dyDescent="0.2">
      <c r="A511" s="15" t="str">
        <f t="shared" si="109"/>
        <v/>
      </c>
      <c r="B511" s="34"/>
      <c r="C511" s="20" t="str">
        <f t="shared" si="108"/>
        <v/>
      </c>
      <c r="D511" s="21"/>
      <c r="E511" s="20"/>
      <c r="F511" s="18"/>
      <c r="G511" s="9"/>
      <c r="H511" s="19"/>
      <c r="M511" s="9" t="str">
        <f>IF(D511=$M$3,1,"")</f>
        <v/>
      </c>
      <c r="N511" s="9" t="str">
        <f>IF(D511=$N$3,1,"")</f>
        <v/>
      </c>
      <c r="O511" s="9" t="str">
        <f>IF(D511=$O$3,1,"")</f>
        <v/>
      </c>
      <c r="P511" s="9" t="str">
        <f>IF(D511=$P$3,1,"")</f>
        <v/>
      </c>
      <c r="Q511" s="9" t="str">
        <f>IF(D511=$Q$3,1,"")</f>
        <v/>
      </c>
      <c r="R511" s="9" t="str">
        <f>IF(D511=$R$3,1,"")</f>
        <v/>
      </c>
      <c r="S511" s="9" t="str">
        <f>IF(D511=$S$3,1,"")</f>
        <v/>
      </c>
      <c r="T511" s="9" t="str">
        <f>IF(D511=$T$3,1,"")</f>
        <v/>
      </c>
      <c r="U511" s="9" t="str">
        <f>IF(D511=$U$3,1,"")</f>
        <v/>
      </c>
      <c r="V511" s="9" t="str">
        <f>IF(D511=$V$3,1,"")</f>
        <v/>
      </c>
      <c r="W511" s="9" t="str">
        <f>IF(D511=$W$3,1,"")</f>
        <v/>
      </c>
      <c r="X511" s="9" t="str">
        <f>IF(D511=$X$3,1,"")</f>
        <v/>
      </c>
      <c r="Y511" s="9" t="e">
        <f>IF(#REF!=$X$3,1,"")</f>
        <v>#REF!</v>
      </c>
      <c r="Z511" s="9">
        <f t="shared" si="110"/>
        <v>1</v>
      </c>
      <c r="AA511" s="9">
        <f t="shared" si="111"/>
        <v>1</v>
      </c>
      <c r="AB511" s="9">
        <f t="shared" si="112"/>
        <v>1</v>
      </c>
      <c r="AC511" s="9">
        <f t="shared" si="113"/>
        <v>1</v>
      </c>
      <c r="AD511" s="9">
        <f t="shared" si="114"/>
        <v>1</v>
      </c>
    </row>
    <row r="512" spans="1:30" ht="21" customHeight="1" x14ac:dyDescent="0.2">
      <c r="A512" s="15" t="str">
        <f t="shared" si="109"/>
        <v/>
      </c>
      <c r="B512" s="34"/>
      <c r="C512" s="20" t="str">
        <f t="shared" si="108"/>
        <v/>
      </c>
      <c r="D512" s="21"/>
      <c r="E512" s="20"/>
      <c r="F512" s="18"/>
      <c r="G512" s="9"/>
      <c r="H512" s="19"/>
      <c r="M512" s="9" t="str">
        <f>IF(D512=$M$3,1,"")</f>
        <v/>
      </c>
      <c r="N512" s="9" t="str">
        <f>IF(D512=$N$3,1,"")</f>
        <v/>
      </c>
      <c r="O512" s="9" t="str">
        <f>IF(D512=$O$3,1,"")</f>
        <v/>
      </c>
      <c r="P512" s="9" t="str">
        <f>IF(D512=$P$3,1,"")</f>
        <v/>
      </c>
      <c r="Q512" s="9" t="str">
        <f>IF(D512=$Q$3,1,"")</f>
        <v/>
      </c>
      <c r="R512" s="9" t="str">
        <f>IF(D512=$R$3,1,"")</f>
        <v/>
      </c>
      <c r="S512" s="9" t="str">
        <f>IF(D512=$S$3,1,"")</f>
        <v/>
      </c>
      <c r="T512" s="9" t="str">
        <f>IF(D512=$T$3,1,"")</f>
        <v/>
      </c>
      <c r="U512" s="9" t="str">
        <f>IF(D512=$U$3,1,"")</f>
        <v/>
      </c>
      <c r="V512" s="9" t="str">
        <f>IF(D512=$V$3,1,"")</f>
        <v/>
      </c>
      <c r="W512" s="9" t="str">
        <f>IF(D512=$W$3,1,"")</f>
        <v/>
      </c>
      <c r="X512" s="9" t="str">
        <f>IF(D512=$X$3,1,"")</f>
        <v/>
      </c>
      <c r="Y512" s="9" t="e">
        <f>IF(#REF!=$X$3,1,"")</f>
        <v>#REF!</v>
      </c>
      <c r="Z512" s="9">
        <f t="shared" si="110"/>
        <v>1</v>
      </c>
      <c r="AA512" s="9">
        <f t="shared" si="111"/>
        <v>1</v>
      </c>
      <c r="AB512" s="9">
        <f t="shared" si="112"/>
        <v>1</v>
      </c>
      <c r="AC512" s="9">
        <f t="shared" si="113"/>
        <v>1</v>
      </c>
      <c r="AD512" s="9">
        <f t="shared" si="114"/>
        <v>1</v>
      </c>
    </row>
    <row r="513" spans="1:30" ht="21" customHeight="1" x14ac:dyDescent="0.2">
      <c r="A513" s="15" t="str">
        <f t="shared" si="109"/>
        <v/>
      </c>
      <c r="B513" s="34"/>
      <c r="C513" s="20" t="str">
        <f t="shared" si="108"/>
        <v/>
      </c>
      <c r="D513" s="21"/>
      <c r="E513" s="20"/>
      <c r="F513" s="18"/>
      <c r="G513" s="9"/>
      <c r="H513" s="19"/>
      <c r="M513" s="9" t="str">
        <f>IF(D513=$M$3,1,"")</f>
        <v/>
      </c>
      <c r="N513" s="9" t="str">
        <f>IF(D513=$N$3,1,"")</f>
        <v/>
      </c>
      <c r="O513" s="9" t="str">
        <f>IF(D513=$O$3,1,"")</f>
        <v/>
      </c>
      <c r="P513" s="9" t="str">
        <f>IF(D513=$P$3,1,"")</f>
        <v/>
      </c>
      <c r="Q513" s="9" t="str">
        <f>IF(D513=$Q$3,1,"")</f>
        <v/>
      </c>
      <c r="R513" s="9" t="str">
        <f>IF(D513=$R$3,1,"")</f>
        <v/>
      </c>
      <c r="S513" s="9" t="str">
        <f>IF(D513=$S$3,1,"")</f>
        <v/>
      </c>
      <c r="T513" s="9" t="str">
        <f>IF(D513=$T$3,1,"")</f>
        <v/>
      </c>
      <c r="U513" s="9" t="str">
        <f>IF(D513=$U$3,1,"")</f>
        <v/>
      </c>
      <c r="V513" s="9" t="str">
        <f>IF(D513=$V$3,1,"")</f>
        <v/>
      </c>
      <c r="W513" s="9" t="str">
        <f>IF(D513=$W$3,1,"")</f>
        <v/>
      </c>
      <c r="X513" s="9" t="str">
        <f>IF(D513=$X$3,1,"")</f>
        <v/>
      </c>
      <c r="Y513" s="9" t="e">
        <f>IF(#REF!=$X$3,1,"")</f>
        <v>#REF!</v>
      </c>
      <c r="Z513" s="9">
        <f t="shared" si="110"/>
        <v>1</v>
      </c>
      <c r="AA513" s="9">
        <f t="shared" si="111"/>
        <v>1</v>
      </c>
      <c r="AB513" s="9">
        <f t="shared" si="112"/>
        <v>1</v>
      </c>
      <c r="AC513" s="9">
        <f t="shared" si="113"/>
        <v>1</v>
      </c>
      <c r="AD513" s="9">
        <f t="shared" si="114"/>
        <v>1</v>
      </c>
    </row>
    <row r="514" spans="1:30" ht="21" customHeight="1" x14ac:dyDescent="0.2">
      <c r="A514" s="15" t="str">
        <f t="shared" si="109"/>
        <v/>
      </c>
      <c r="B514" s="34"/>
      <c r="C514" s="20" t="str">
        <f t="shared" si="108"/>
        <v/>
      </c>
      <c r="D514" s="21"/>
      <c r="E514" s="20"/>
      <c r="F514" s="18"/>
      <c r="G514" s="9"/>
      <c r="H514" s="19"/>
      <c r="M514" s="9" t="str">
        <f>IF(D514=$M$3,1,"")</f>
        <v/>
      </c>
      <c r="N514" s="9" t="str">
        <f>IF(D514=$N$3,1,"")</f>
        <v/>
      </c>
      <c r="O514" s="9" t="str">
        <f>IF(D514=$O$3,1,"")</f>
        <v/>
      </c>
      <c r="P514" s="9" t="str">
        <f>IF(D514=$P$3,1,"")</f>
        <v/>
      </c>
      <c r="Q514" s="9" t="str">
        <f>IF(D514=$Q$3,1,"")</f>
        <v/>
      </c>
      <c r="R514" s="9" t="str">
        <f>IF(D514=$R$3,1,"")</f>
        <v/>
      </c>
      <c r="S514" s="9" t="str">
        <f>IF(D514=$S$3,1,"")</f>
        <v/>
      </c>
      <c r="T514" s="9" t="str">
        <f>IF(D514=$T$3,1,"")</f>
        <v/>
      </c>
      <c r="U514" s="9" t="str">
        <f>IF(D514=$U$3,1,"")</f>
        <v/>
      </c>
      <c r="V514" s="9" t="str">
        <f>IF(D514=$V$3,1,"")</f>
        <v/>
      </c>
      <c r="W514" s="9" t="str">
        <f>IF(D514=$W$3,1,"")</f>
        <v/>
      </c>
      <c r="X514" s="9" t="str">
        <f>IF(D514=$X$3,1,"")</f>
        <v/>
      </c>
      <c r="Y514" s="9" t="e">
        <f>IF(#REF!=$X$3,1,"")</f>
        <v>#REF!</v>
      </c>
      <c r="Z514" s="9">
        <f t="shared" si="110"/>
        <v>1</v>
      </c>
      <c r="AA514" s="9">
        <f t="shared" si="111"/>
        <v>1</v>
      </c>
      <c r="AB514" s="9">
        <f t="shared" si="112"/>
        <v>1</v>
      </c>
      <c r="AC514" s="9">
        <f t="shared" si="113"/>
        <v>1</v>
      </c>
      <c r="AD514" s="9">
        <f t="shared" si="114"/>
        <v>1</v>
      </c>
    </row>
    <row r="515" spans="1:30" ht="21" customHeight="1" x14ac:dyDescent="0.2">
      <c r="A515" s="15" t="str">
        <f t="shared" si="109"/>
        <v/>
      </c>
      <c r="B515" s="34"/>
      <c r="C515" s="20" t="str">
        <f t="shared" si="108"/>
        <v/>
      </c>
      <c r="D515" s="21"/>
      <c r="E515" s="20"/>
      <c r="F515" s="18"/>
      <c r="G515" s="9"/>
      <c r="H515" s="19"/>
      <c r="M515" s="9" t="str">
        <f>IF(D515=$M$3,1,"")</f>
        <v/>
      </c>
      <c r="N515" s="9" t="str">
        <f>IF(D515=$N$3,1,"")</f>
        <v/>
      </c>
      <c r="O515" s="9" t="str">
        <f>IF(D515=$O$3,1,"")</f>
        <v/>
      </c>
      <c r="P515" s="9" t="str">
        <f>IF(D515=$P$3,1,"")</f>
        <v/>
      </c>
      <c r="Q515" s="9" t="str">
        <f>IF(D515=$Q$3,1,"")</f>
        <v/>
      </c>
      <c r="R515" s="9" t="str">
        <f>IF(D515=$R$3,1,"")</f>
        <v/>
      </c>
      <c r="S515" s="9" t="str">
        <f>IF(D515=$S$3,1,"")</f>
        <v/>
      </c>
      <c r="T515" s="9" t="str">
        <f>IF(D515=$T$3,1,"")</f>
        <v/>
      </c>
      <c r="U515" s="9" t="str">
        <f>IF(D515=$U$3,1,"")</f>
        <v/>
      </c>
      <c r="V515" s="9" t="str">
        <f>IF(D515=$V$3,1,"")</f>
        <v/>
      </c>
      <c r="W515" s="9" t="str">
        <f>IF(D515=$W$3,1,"")</f>
        <v/>
      </c>
      <c r="X515" s="9" t="str">
        <f>IF(D515=$X$3,1,"")</f>
        <v/>
      </c>
      <c r="Y515" s="9" t="e">
        <f>IF(#REF!=$X$3,1,"")</f>
        <v>#REF!</v>
      </c>
      <c r="Z515" s="9">
        <f t="shared" si="110"/>
        <v>1</v>
      </c>
      <c r="AA515" s="9">
        <f t="shared" si="111"/>
        <v>1</v>
      </c>
      <c r="AB515" s="9">
        <f t="shared" si="112"/>
        <v>1</v>
      </c>
      <c r="AC515" s="9">
        <f t="shared" si="113"/>
        <v>1</v>
      </c>
      <c r="AD515" s="9">
        <f t="shared" si="114"/>
        <v>1</v>
      </c>
    </row>
    <row r="516" spans="1:30" ht="21" customHeight="1" x14ac:dyDescent="0.2">
      <c r="A516" s="15" t="str">
        <f t="shared" si="109"/>
        <v/>
      </c>
      <c r="B516" s="34"/>
      <c r="C516" s="20" t="str">
        <f t="shared" si="108"/>
        <v/>
      </c>
      <c r="D516" s="21"/>
      <c r="E516" s="20"/>
      <c r="F516" s="18"/>
      <c r="G516" s="9"/>
      <c r="H516" s="19"/>
      <c r="M516" s="9" t="str">
        <f>IF(D516=$M$3,1,"")</f>
        <v/>
      </c>
      <c r="N516" s="9" t="str">
        <f>IF(D516=$N$3,1,"")</f>
        <v/>
      </c>
      <c r="O516" s="9" t="str">
        <f>IF(D516=$O$3,1,"")</f>
        <v/>
      </c>
      <c r="P516" s="9" t="str">
        <f>IF(D516=$P$3,1,"")</f>
        <v/>
      </c>
      <c r="Q516" s="9" t="str">
        <f>IF(D516=$Q$3,1,"")</f>
        <v/>
      </c>
      <c r="R516" s="9" t="str">
        <f>IF(D516=$R$3,1,"")</f>
        <v/>
      </c>
      <c r="S516" s="9" t="str">
        <f>IF(D516=$S$3,1,"")</f>
        <v/>
      </c>
      <c r="T516" s="9" t="str">
        <f>IF(D516=$T$3,1,"")</f>
        <v/>
      </c>
      <c r="U516" s="9" t="str">
        <f>IF(D516=$U$3,1,"")</f>
        <v/>
      </c>
      <c r="V516" s="9" t="str">
        <f>IF(D516=$V$3,1,"")</f>
        <v/>
      </c>
      <c r="W516" s="9" t="str">
        <f>IF(D516=$W$3,1,"")</f>
        <v/>
      </c>
      <c r="X516" s="9" t="str">
        <f>IF(D516=$X$3,1,"")</f>
        <v/>
      </c>
      <c r="Y516" s="9" t="e">
        <f>IF(#REF!=$X$3,1,"")</f>
        <v>#REF!</v>
      </c>
      <c r="Z516" s="9">
        <f t="shared" si="110"/>
        <v>1</v>
      </c>
      <c r="AA516" s="9">
        <f t="shared" si="111"/>
        <v>1</v>
      </c>
      <c r="AB516" s="9">
        <f t="shared" si="112"/>
        <v>1</v>
      </c>
      <c r="AC516" s="9">
        <f t="shared" si="113"/>
        <v>1</v>
      </c>
      <c r="AD516" s="9">
        <f t="shared" si="114"/>
        <v>1</v>
      </c>
    </row>
    <row r="517" spans="1:30" ht="21" customHeight="1" x14ac:dyDescent="0.2">
      <c r="A517" s="15" t="str">
        <f t="shared" si="109"/>
        <v/>
      </c>
      <c r="B517" s="34"/>
      <c r="C517" s="20" t="str">
        <f t="shared" si="108"/>
        <v/>
      </c>
      <c r="D517" s="21"/>
      <c r="E517" s="20"/>
      <c r="F517" s="18"/>
      <c r="G517" s="9"/>
      <c r="H517" s="19"/>
      <c r="M517" s="9" t="str">
        <f>IF(D517=$M$3,1,"")</f>
        <v/>
      </c>
      <c r="N517" s="9" t="str">
        <f>IF(D517=$N$3,1,"")</f>
        <v/>
      </c>
      <c r="O517" s="9" t="str">
        <f>IF(D517=$O$3,1,"")</f>
        <v/>
      </c>
      <c r="P517" s="9" t="str">
        <f>IF(D517=$P$3,1,"")</f>
        <v/>
      </c>
      <c r="Q517" s="9" t="str">
        <f>IF(D517=$Q$3,1,"")</f>
        <v/>
      </c>
      <c r="R517" s="9" t="str">
        <f>IF(D517=$R$3,1,"")</f>
        <v/>
      </c>
      <c r="S517" s="9" t="str">
        <f>IF(D517=$S$3,1,"")</f>
        <v/>
      </c>
      <c r="T517" s="9" t="str">
        <f>IF(D517=$T$3,1,"")</f>
        <v/>
      </c>
      <c r="U517" s="9" t="str">
        <f>IF(D517=$U$3,1,"")</f>
        <v/>
      </c>
      <c r="V517" s="9" t="str">
        <f>IF(D517=$V$3,1,"")</f>
        <v/>
      </c>
      <c r="W517" s="9" t="str">
        <f>IF(D517=$W$3,1,"")</f>
        <v/>
      </c>
      <c r="X517" s="9" t="str">
        <f>IF(D517=$X$3,1,"")</f>
        <v/>
      </c>
      <c r="Y517" s="9" t="e">
        <f>IF(#REF!=$X$3,1,"")</f>
        <v>#REF!</v>
      </c>
      <c r="Z517" s="9">
        <f t="shared" si="110"/>
        <v>1</v>
      </c>
      <c r="AA517" s="9">
        <f t="shared" si="111"/>
        <v>1</v>
      </c>
      <c r="AB517" s="9">
        <f t="shared" si="112"/>
        <v>1</v>
      </c>
      <c r="AC517" s="9">
        <f t="shared" si="113"/>
        <v>1</v>
      </c>
      <c r="AD517" s="9">
        <f t="shared" si="114"/>
        <v>1</v>
      </c>
    </row>
    <row r="518" spans="1:30" ht="21" customHeight="1" x14ac:dyDescent="0.2">
      <c r="A518" s="15" t="str">
        <f t="shared" si="109"/>
        <v/>
      </c>
      <c r="B518" s="34"/>
      <c r="C518" s="20" t="str">
        <f t="shared" si="108"/>
        <v/>
      </c>
      <c r="D518" s="21"/>
      <c r="E518" s="20"/>
      <c r="F518" s="18"/>
      <c r="G518" s="9"/>
      <c r="H518" s="19"/>
      <c r="M518" s="9" t="str">
        <f>IF(D518=$M$3,1,"")</f>
        <v/>
      </c>
      <c r="N518" s="9" t="str">
        <f>IF(D518=$N$3,1,"")</f>
        <v/>
      </c>
      <c r="O518" s="9" t="str">
        <f>IF(D518=$O$3,1,"")</f>
        <v/>
      </c>
      <c r="P518" s="9" t="str">
        <f>IF(D518=$P$3,1,"")</f>
        <v/>
      </c>
      <c r="Q518" s="9" t="str">
        <f>IF(D518=$Q$3,1,"")</f>
        <v/>
      </c>
      <c r="R518" s="9" t="str">
        <f>IF(D518=$R$3,1,"")</f>
        <v/>
      </c>
      <c r="S518" s="9" t="str">
        <f>IF(D518=$S$3,1,"")</f>
        <v/>
      </c>
      <c r="T518" s="9" t="str">
        <f>IF(D518=$T$3,1,"")</f>
        <v/>
      </c>
      <c r="U518" s="9" t="str">
        <f>IF(D518=$U$3,1,"")</f>
        <v/>
      </c>
      <c r="V518" s="9" t="str">
        <f>IF(D518=$V$3,1,"")</f>
        <v/>
      </c>
      <c r="W518" s="9" t="str">
        <f>IF(D518=$W$3,1,"")</f>
        <v/>
      </c>
      <c r="X518" s="9" t="str">
        <f>IF(D518=$X$3,1,"")</f>
        <v/>
      </c>
      <c r="Y518" s="9" t="e">
        <f>IF(#REF!=$X$3,1,"")</f>
        <v>#REF!</v>
      </c>
      <c r="Z518" s="9">
        <f t="shared" si="110"/>
        <v>1</v>
      </c>
      <c r="AA518" s="9">
        <f t="shared" si="111"/>
        <v>1</v>
      </c>
      <c r="AB518" s="9">
        <f t="shared" si="112"/>
        <v>1</v>
      </c>
      <c r="AC518" s="9">
        <f t="shared" si="113"/>
        <v>1</v>
      </c>
      <c r="AD518" s="9">
        <f t="shared" si="114"/>
        <v>1</v>
      </c>
    </row>
    <row r="519" spans="1:30" ht="21" customHeight="1" x14ac:dyDescent="0.2">
      <c r="A519" s="15" t="str">
        <f t="shared" si="109"/>
        <v/>
      </c>
      <c r="B519" s="34"/>
      <c r="C519" s="20" t="str">
        <f t="shared" si="108"/>
        <v/>
      </c>
      <c r="D519" s="21"/>
      <c r="E519" s="20"/>
      <c r="F519" s="18"/>
      <c r="G519" s="9"/>
      <c r="H519" s="19"/>
      <c r="M519" s="9" t="str">
        <f>IF(D519=$M$3,1,"")</f>
        <v/>
      </c>
      <c r="N519" s="9" t="str">
        <f>IF(D519=$N$3,1,"")</f>
        <v/>
      </c>
      <c r="O519" s="9" t="str">
        <f>IF(D519=$O$3,1,"")</f>
        <v/>
      </c>
      <c r="P519" s="9" t="str">
        <f>IF(D519=$P$3,1,"")</f>
        <v/>
      </c>
      <c r="Q519" s="9" t="str">
        <f>IF(D519=$Q$3,1,"")</f>
        <v/>
      </c>
      <c r="R519" s="9" t="str">
        <f>IF(D519=$R$3,1,"")</f>
        <v/>
      </c>
      <c r="S519" s="9" t="str">
        <f>IF(D519=$S$3,1,"")</f>
        <v/>
      </c>
      <c r="T519" s="9" t="str">
        <f>IF(D519=$T$3,1,"")</f>
        <v/>
      </c>
      <c r="U519" s="9" t="str">
        <f>IF(D519=$U$3,1,"")</f>
        <v/>
      </c>
      <c r="V519" s="9" t="str">
        <f>IF(D519=$V$3,1,"")</f>
        <v/>
      </c>
      <c r="W519" s="9" t="str">
        <f>IF(D519=$W$3,1,"")</f>
        <v/>
      </c>
      <c r="X519" s="9" t="str">
        <f>IF(D519=$X$3,1,"")</f>
        <v/>
      </c>
      <c r="Y519" s="9" t="e">
        <f>IF(#REF!=$X$3,1,"")</f>
        <v>#REF!</v>
      </c>
      <c r="Z519" s="9">
        <f t="shared" si="110"/>
        <v>1</v>
      </c>
      <c r="AA519" s="9">
        <f t="shared" si="111"/>
        <v>1</v>
      </c>
      <c r="AB519" s="9">
        <f t="shared" si="112"/>
        <v>1</v>
      </c>
      <c r="AC519" s="9">
        <f t="shared" si="113"/>
        <v>1</v>
      </c>
      <c r="AD519" s="9">
        <f t="shared" si="114"/>
        <v>1</v>
      </c>
    </row>
    <row r="520" spans="1:30" ht="21" customHeight="1" x14ac:dyDescent="0.2">
      <c r="A520" s="15" t="str">
        <f t="shared" si="109"/>
        <v/>
      </c>
      <c r="B520" s="34"/>
      <c r="C520" s="20" t="str">
        <f t="shared" si="108"/>
        <v/>
      </c>
      <c r="D520" s="21"/>
      <c r="E520" s="20"/>
      <c r="F520" s="18"/>
      <c r="G520" s="9"/>
      <c r="H520" s="19"/>
      <c r="M520" s="9" t="str">
        <f>IF(D520=$M$3,1,"")</f>
        <v/>
      </c>
      <c r="N520" s="9" t="str">
        <f>IF(D520=$N$3,1,"")</f>
        <v/>
      </c>
      <c r="O520" s="9" t="str">
        <f>IF(D520=$O$3,1,"")</f>
        <v/>
      </c>
      <c r="P520" s="9" t="str">
        <f>IF(D520=$P$3,1,"")</f>
        <v/>
      </c>
      <c r="Q520" s="9" t="str">
        <f>IF(D520=$Q$3,1,"")</f>
        <v/>
      </c>
      <c r="R520" s="9" t="str">
        <f>IF(D520=$R$3,1,"")</f>
        <v/>
      </c>
      <c r="S520" s="9" t="str">
        <f>IF(D520=$S$3,1,"")</f>
        <v/>
      </c>
      <c r="T520" s="9" t="str">
        <f>IF(D520=$T$3,1,"")</f>
        <v/>
      </c>
      <c r="U520" s="9" t="str">
        <f>IF(D520=$U$3,1,"")</f>
        <v/>
      </c>
      <c r="V520" s="9" t="str">
        <f>IF(D520=$V$3,1,"")</f>
        <v/>
      </c>
      <c r="W520" s="9" t="str">
        <f>IF(D520=$W$3,1,"")</f>
        <v/>
      </c>
      <c r="X520" s="9" t="str">
        <f>IF(D520=$X$3,1,"")</f>
        <v/>
      </c>
      <c r="Y520" s="9" t="e">
        <f>IF(#REF!=$X$3,1,"")</f>
        <v>#REF!</v>
      </c>
      <c r="Z520" s="9">
        <f t="shared" si="110"/>
        <v>1</v>
      </c>
      <c r="AA520" s="9">
        <f t="shared" si="111"/>
        <v>1</v>
      </c>
      <c r="AB520" s="9">
        <f t="shared" si="112"/>
        <v>1</v>
      </c>
      <c r="AC520" s="9">
        <f t="shared" si="113"/>
        <v>1</v>
      </c>
      <c r="AD520" s="9">
        <f t="shared" si="114"/>
        <v>1</v>
      </c>
    </row>
    <row r="521" spans="1:30" ht="21" customHeight="1" x14ac:dyDescent="0.2">
      <c r="A521" s="15" t="str">
        <f t="shared" si="109"/>
        <v/>
      </c>
      <c r="B521" s="34"/>
      <c r="C521" s="20" t="str">
        <f t="shared" si="108"/>
        <v/>
      </c>
      <c r="D521" s="21"/>
      <c r="E521" s="20"/>
      <c r="F521" s="18"/>
      <c r="G521" s="9"/>
      <c r="H521" s="19"/>
      <c r="M521" s="9" t="str">
        <f>IF(D521=$M$3,1,"")</f>
        <v/>
      </c>
      <c r="N521" s="9" t="str">
        <f>IF(D521=$N$3,1,"")</f>
        <v/>
      </c>
      <c r="O521" s="9" t="str">
        <f>IF(D521=$O$3,1,"")</f>
        <v/>
      </c>
      <c r="P521" s="9" t="str">
        <f>IF(D521=$P$3,1,"")</f>
        <v/>
      </c>
      <c r="Q521" s="9" t="str">
        <f>IF(D521=$Q$3,1,"")</f>
        <v/>
      </c>
      <c r="R521" s="9" t="str">
        <f>IF(D521=$R$3,1,"")</f>
        <v/>
      </c>
      <c r="S521" s="9" t="str">
        <f>IF(D521=$S$3,1,"")</f>
        <v/>
      </c>
      <c r="T521" s="9" t="str">
        <f>IF(D521=$T$3,1,"")</f>
        <v/>
      </c>
      <c r="U521" s="9" t="str">
        <f>IF(D521=$U$3,1,"")</f>
        <v/>
      </c>
      <c r="V521" s="9" t="str">
        <f>IF(D521=$V$3,1,"")</f>
        <v/>
      </c>
      <c r="W521" s="9" t="str">
        <f>IF(D521=$W$3,1,"")</f>
        <v/>
      </c>
      <c r="X521" s="9" t="str">
        <f>IF(D521=$X$3,1,"")</f>
        <v/>
      </c>
      <c r="Y521" s="9" t="e">
        <f>IF(#REF!=$X$3,1,"")</f>
        <v>#REF!</v>
      </c>
      <c r="Z521" s="9">
        <f t="shared" si="110"/>
        <v>1</v>
      </c>
      <c r="AA521" s="9">
        <f t="shared" si="111"/>
        <v>1</v>
      </c>
      <c r="AB521" s="9">
        <f t="shared" si="112"/>
        <v>1</v>
      </c>
      <c r="AC521" s="9">
        <f t="shared" si="113"/>
        <v>1</v>
      </c>
      <c r="AD521" s="9">
        <f t="shared" si="114"/>
        <v>1</v>
      </c>
    </row>
    <row r="522" spans="1:30" ht="21" customHeight="1" x14ac:dyDescent="0.2">
      <c r="A522" s="15" t="str">
        <f t="shared" si="109"/>
        <v/>
      </c>
      <c r="B522" s="34"/>
      <c r="C522" s="20" t="str">
        <f t="shared" si="108"/>
        <v/>
      </c>
      <c r="D522" s="21"/>
      <c r="E522" s="20"/>
      <c r="F522" s="18"/>
      <c r="G522" s="9"/>
      <c r="H522" s="19"/>
      <c r="M522" s="9" t="str">
        <f>IF(D522=$M$3,1,"")</f>
        <v/>
      </c>
      <c r="N522" s="9" t="str">
        <f>IF(D522=$N$3,1,"")</f>
        <v/>
      </c>
      <c r="O522" s="9" t="str">
        <f>IF(D522=$O$3,1,"")</f>
        <v/>
      </c>
      <c r="P522" s="9" t="str">
        <f>IF(D522=$P$3,1,"")</f>
        <v/>
      </c>
      <c r="Q522" s="9" t="str">
        <f>IF(D522=$Q$3,1,"")</f>
        <v/>
      </c>
      <c r="R522" s="9" t="str">
        <f>IF(D522=$R$3,1,"")</f>
        <v/>
      </c>
      <c r="S522" s="9" t="str">
        <f>IF(D522=$S$3,1,"")</f>
        <v/>
      </c>
      <c r="T522" s="9" t="str">
        <f>IF(D522=$T$3,1,"")</f>
        <v/>
      </c>
      <c r="U522" s="9" t="str">
        <f>IF(D522=$U$3,1,"")</f>
        <v/>
      </c>
      <c r="V522" s="9" t="str">
        <f>IF(D522=$V$3,1,"")</f>
        <v/>
      </c>
      <c r="W522" s="9" t="str">
        <f>IF(D522=$W$3,1,"")</f>
        <v/>
      </c>
      <c r="X522" s="9" t="str">
        <f>IF(D522=$X$3,1,"")</f>
        <v/>
      </c>
      <c r="Y522" s="9" t="e">
        <f>IF(#REF!=$X$3,1,"")</f>
        <v>#REF!</v>
      </c>
      <c r="Z522" s="9">
        <f t="shared" si="110"/>
        <v>1</v>
      </c>
      <c r="AA522" s="9">
        <f t="shared" si="111"/>
        <v>1</v>
      </c>
      <c r="AB522" s="9">
        <f t="shared" si="112"/>
        <v>1</v>
      </c>
      <c r="AC522" s="9">
        <f t="shared" si="113"/>
        <v>1</v>
      </c>
      <c r="AD522" s="9">
        <f t="shared" si="114"/>
        <v>1</v>
      </c>
    </row>
    <row r="523" spans="1:30" ht="21" customHeight="1" x14ac:dyDescent="0.2">
      <c r="A523" s="15" t="str">
        <f t="shared" si="109"/>
        <v/>
      </c>
      <c r="B523" s="34"/>
      <c r="C523" s="20" t="str">
        <f t="shared" si="108"/>
        <v/>
      </c>
      <c r="D523" s="21"/>
      <c r="E523" s="20"/>
      <c r="F523" s="18"/>
      <c r="G523" s="9"/>
      <c r="H523" s="19"/>
      <c r="M523" s="9" t="str">
        <f>IF(D523=$M$3,1,"")</f>
        <v/>
      </c>
      <c r="N523" s="9" t="str">
        <f>IF(D523=$N$3,1,"")</f>
        <v/>
      </c>
      <c r="O523" s="9" t="str">
        <f>IF(D523=$O$3,1,"")</f>
        <v/>
      </c>
      <c r="P523" s="9" t="str">
        <f>IF(D523=$P$3,1,"")</f>
        <v/>
      </c>
      <c r="Q523" s="9" t="str">
        <f>IF(D523=$Q$3,1,"")</f>
        <v/>
      </c>
      <c r="R523" s="9" t="str">
        <f>IF(D523=$R$3,1,"")</f>
        <v/>
      </c>
      <c r="S523" s="9" t="str">
        <f>IF(D523=$S$3,1,"")</f>
        <v/>
      </c>
      <c r="T523" s="9" t="str">
        <f>IF(D523=$T$3,1,"")</f>
        <v/>
      </c>
      <c r="U523" s="9" t="str">
        <f>IF(D523=$U$3,1,"")</f>
        <v/>
      </c>
      <c r="V523" s="9" t="str">
        <f>IF(D523=$V$3,1,"")</f>
        <v/>
      </c>
      <c r="W523" s="9" t="str">
        <f>IF(D523=$W$3,1,"")</f>
        <v/>
      </c>
      <c r="X523" s="9" t="str">
        <f>IF(D523=$X$3,1,"")</f>
        <v/>
      </c>
      <c r="Y523" s="9" t="e">
        <f>IF(#REF!=$X$3,1,"")</f>
        <v>#REF!</v>
      </c>
      <c r="Z523" s="9">
        <f t="shared" si="110"/>
        <v>1</v>
      </c>
      <c r="AA523" s="9">
        <f t="shared" si="111"/>
        <v>1</v>
      </c>
      <c r="AB523" s="9">
        <f t="shared" si="112"/>
        <v>1</v>
      </c>
      <c r="AC523" s="9">
        <f t="shared" si="113"/>
        <v>1</v>
      </c>
      <c r="AD523" s="9">
        <f t="shared" si="114"/>
        <v>1</v>
      </c>
    </row>
    <row r="524" spans="1:30" ht="21" customHeight="1" x14ac:dyDescent="0.2">
      <c r="A524" s="15" t="str">
        <f t="shared" si="109"/>
        <v/>
      </c>
      <c r="B524" s="34"/>
      <c r="C524" s="20" t="str">
        <f t="shared" si="108"/>
        <v/>
      </c>
      <c r="D524" s="21"/>
      <c r="E524" s="20"/>
      <c r="F524" s="18"/>
      <c r="G524" s="9"/>
      <c r="H524" s="19"/>
      <c r="M524" s="9" t="str">
        <f>IF(D524=$M$3,1,"")</f>
        <v/>
      </c>
      <c r="N524" s="9" t="str">
        <f>IF(D524=$N$3,1,"")</f>
        <v/>
      </c>
      <c r="O524" s="9" t="str">
        <f>IF(D524=$O$3,1,"")</f>
        <v/>
      </c>
      <c r="P524" s="9" t="str">
        <f>IF(D524=$P$3,1,"")</f>
        <v/>
      </c>
      <c r="Q524" s="9" t="str">
        <f>IF(D524=$Q$3,1,"")</f>
        <v/>
      </c>
      <c r="R524" s="9" t="str">
        <f>IF(D524=$R$3,1,"")</f>
        <v/>
      </c>
      <c r="S524" s="9" t="str">
        <f>IF(D524=$S$3,1,"")</f>
        <v/>
      </c>
      <c r="T524" s="9" t="str">
        <f>IF(D524=$T$3,1,"")</f>
        <v/>
      </c>
      <c r="U524" s="9" t="str">
        <f>IF(D524=$U$3,1,"")</f>
        <v/>
      </c>
      <c r="V524" s="9" t="str">
        <f>IF(D524=$V$3,1,"")</f>
        <v/>
      </c>
      <c r="W524" s="9" t="str">
        <f>IF(D524=$W$3,1,"")</f>
        <v/>
      </c>
      <c r="X524" s="9" t="str">
        <f>IF(D524=$X$3,1,"")</f>
        <v/>
      </c>
      <c r="Y524" s="9" t="e">
        <f>IF(#REF!=$X$3,1,"")</f>
        <v>#REF!</v>
      </c>
      <c r="Z524" s="9">
        <f t="shared" si="110"/>
        <v>1</v>
      </c>
      <c r="AA524" s="9">
        <f t="shared" si="111"/>
        <v>1</v>
      </c>
      <c r="AB524" s="9">
        <f t="shared" si="112"/>
        <v>1</v>
      </c>
      <c r="AC524" s="9">
        <f t="shared" si="113"/>
        <v>1</v>
      </c>
      <c r="AD524" s="9">
        <f t="shared" si="114"/>
        <v>1</v>
      </c>
    </row>
    <row r="525" spans="1:30" ht="16.5" customHeight="1" x14ac:dyDescent="0.2">
      <c r="A525" s="35" t="str">
        <f t="shared" ref="A525:A542" si="130">IF(B525="","",A524+1)</f>
        <v/>
      </c>
      <c r="C525" s="35" t="str">
        <f t="shared" si="108"/>
        <v/>
      </c>
      <c r="D525" s="9"/>
      <c r="E525" s="35"/>
      <c r="F525" s="9"/>
      <c r="G525" s="9"/>
      <c r="K525" s="380"/>
      <c r="L525" s="380"/>
      <c r="M525" s="9">
        <f t="shared" ref="M525:AD525" si="131">SUM(M4:M524)</f>
        <v>16</v>
      </c>
      <c r="N525" s="9">
        <f t="shared" si="131"/>
        <v>79</v>
      </c>
      <c r="O525" s="9">
        <f t="shared" si="131"/>
        <v>1</v>
      </c>
      <c r="P525" s="9">
        <f t="shared" si="131"/>
        <v>28</v>
      </c>
      <c r="Q525" s="9">
        <f t="shared" si="131"/>
        <v>31</v>
      </c>
      <c r="R525" s="9">
        <f t="shared" si="131"/>
        <v>19</v>
      </c>
      <c r="S525" s="9">
        <f t="shared" si="131"/>
        <v>4</v>
      </c>
      <c r="T525" s="9">
        <f t="shared" si="131"/>
        <v>79</v>
      </c>
      <c r="U525" s="9">
        <f t="shared" si="131"/>
        <v>49</v>
      </c>
      <c r="V525" s="9">
        <f t="shared" si="131"/>
        <v>6</v>
      </c>
      <c r="W525" s="9">
        <f t="shared" si="131"/>
        <v>26</v>
      </c>
      <c r="X525" s="9">
        <f t="shared" si="131"/>
        <v>0</v>
      </c>
      <c r="Y525" s="9" t="e">
        <f t="shared" si="131"/>
        <v>#REF!</v>
      </c>
      <c r="Z525" s="9">
        <f t="shared" si="131"/>
        <v>143</v>
      </c>
      <c r="AA525" s="9">
        <f t="shared" si="131"/>
        <v>143</v>
      </c>
      <c r="AB525" s="9">
        <f t="shared" si="131"/>
        <v>143</v>
      </c>
      <c r="AC525" s="9">
        <f t="shared" si="131"/>
        <v>144</v>
      </c>
      <c r="AD525" s="9">
        <f t="shared" si="131"/>
        <v>143</v>
      </c>
    </row>
    <row r="526" spans="1:30" ht="16.5" customHeight="1" x14ac:dyDescent="0.2">
      <c r="A526" s="35" t="str">
        <f t="shared" si="130"/>
        <v/>
      </c>
      <c r="C526" s="35" t="str">
        <f t="shared" si="108"/>
        <v/>
      </c>
      <c r="D526" s="9"/>
      <c r="E526" s="35"/>
      <c r="F526" s="9"/>
      <c r="G526" s="9"/>
      <c r="M526" s="380">
        <f>SUM(M525:X525)</f>
        <v>338</v>
      </c>
      <c r="N526" s="380"/>
      <c r="O526" s="380"/>
      <c r="P526" s="380"/>
      <c r="Q526" s="380"/>
      <c r="R526" s="380"/>
      <c r="S526" s="380"/>
      <c r="T526" s="380"/>
      <c r="U526" s="380"/>
      <c r="V526" s="380"/>
      <c r="W526" s="380"/>
      <c r="X526" s="380"/>
      <c r="Y526" s="7"/>
      <c r="Z526" s="380">
        <f>SUM(Z525:AC525)</f>
        <v>573</v>
      </c>
      <c r="AA526" s="380"/>
      <c r="AB526" s="380"/>
      <c r="AC526" s="380"/>
    </row>
    <row r="527" spans="1:30" ht="16.5" customHeight="1" x14ac:dyDescent="0.2">
      <c r="A527" s="35" t="str">
        <f t="shared" si="130"/>
        <v/>
      </c>
      <c r="C527" s="35" t="str">
        <f t="shared" si="108"/>
        <v/>
      </c>
      <c r="D527" s="9"/>
      <c r="E527" s="35"/>
      <c r="F527" s="9"/>
      <c r="G527" s="9"/>
    </row>
    <row r="528" spans="1:30" ht="16.5" customHeight="1" x14ac:dyDescent="0.2">
      <c r="A528" s="35" t="str">
        <f t="shared" si="130"/>
        <v/>
      </c>
      <c r="C528" s="35" t="str">
        <f t="shared" si="108"/>
        <v/>
      </c>
      <c r="D528" s="9"/>
      <c r="E528" s="35"/>
      <c r="F528" s="9"/>
      <c r="G528" s="9"/>
    </row>
    <row r="529" spans="1:7" ht="16.5" customHeight="1" x14ac:dyDescent="0.2">
      <c r="A529" s="35" t="str">
        <f t="shared" si="130"/>
        <v/>
      </c>
      <c r="C529" s="35" t="str">
        <f t="shared" si="108"/>
        <v/>
      </c>
      <c r="D529" s="9"/>
      <c r="E529" s="35"/>
      <c r="F529" s="9"/>
      <c r="G529" s="9"/>
    </row>
    <row r="530" spans="1:7" ht="16.5" customHeight="1" x14ac:dyDescent="0.2">
      <c r="A530" s="35" t="str">
        <f t="shared" si="130"/>
        <v/>
      </c>
      <c r="C530" s="35" t="str">
        <f t="shared" si="108"/>
        <v/>
      </c>
      <c r="D530" s="9"/>
      <c r="E530" s="35"/>
      <c r="F530" s="9"/>
      <c r="G530" s="9"/>
    </row>
    <row r="531" spans="1:7" ht="16.5" customHeight="1" x14ac:dyDescent="0.2">
      <c r="A531" s="35" t="str">
        <f t="shared" si="130"/>
        <v/>
      </c>
      <c r="C531" s="35" t="str">
        <f t="shared" si="108"/>
        <v/>
      </c>
      <c r="D531" s="9"/>
      <c r="E531" s="35"/>
      <c r="F531" s="9"/>
      <c r="G531" s="9"/>
    </row>
    <row r="532" spans="1:7" ht="16.5" customHeight="1" x14ac:dyDescent="0.2">
      <c r="A532" s="35" t="str">
        <f t="shared" si="130"/>
        <v/>
      </c>
      <c r="C532" s="35" t="str">
        <f t="shared" si="108"/>
        <v/>
      </c>
      <c r="D532" s="9"/>
      <c r="E532" s="35"/>
      <c r="F532" s="9"/>
      <c r="G532" s="9"/>
    </row>
    <row r="533" spans="1:7" ht="16.5" customHeight="1" x14ac:dyDescent="0.2">
      <c r="A533" s="35" t="str">
        <f t="shared" si="130"/>
        <v/>
      </c>
      <c r="C533" s="35" t="str">
        <f t="shared" si="108"/>
        <v/>
      </c>
      <c r="D533" s="9"/>
      <c r="E533" s="35"/>
      <c r="F533" s="9"/>
      <c r="G533" s="9"/>
    </row>
    <row r="534" spans="1:7" ht="16.5" customHeight="1" x14ac:dyDescent="0.2">
      <c r="A534" s="35" t="str">
        <f t="shared" si="130"/>
        <v/>
      </c>
      <c r="C534" s="35" t="str">
        <f t="shared" si="108"/>
        <v/>
      </c>
      <c r="D534" s="9"/>
      <c r="E534" s="35"/>
      <c r="F534" s="9"/>
      <c r="G534" s="9"/>
    </row>
    <row r="535" spans="1:7" ht="16.5" customHeight="1" x14ac:dyDescent="0.2">
      <c r="A535" s="35" t="str">
        <f t="shared" si="130"/>
        <v/>
      </c>
      <c r="C535" s="35" t="str">
        <f t="shared" si="108"/>
        <v/>
      </c>
      <c r="D535" s="9"/>
      <c r="E535" s="35"/>
      <c r="F535" s="9"/>
      <c r="G535" s="9"/>
    </row>
    <row r="536" spans="1:7" ht="16.5" customHeight="1" x14ac:dyDescent="0.2">
      <c r="A536" s="35" t="str">
        <f t="shared" si="130"/>
        <v/>
      </c>
      <c r="C536" s="35" t="str">
        <f t="shared" si="108"/>
        <v/>
      </c>
      <c r="D536" s="9"/>
      <c r="E536" s="35"/>
      <c r="F536" s="9"/>
      <c r="G536" s="9"/>
    </row>
    <row r="537" spans="1:7" ht="16.5" customHeight="1" x14ac:dyDescent="0.2">
      <c r="A537" s="35" t="str">
        <f t="shared" si="130"/>
        <v/>
      </c>
      <c r="C537" s="35" t="str">
        <f t="shared" si="108"/>
        <v/>
      </c>
      <c r="D537" s="9"/>
      <c r="E537" s="35"/>
      <c r="F537" s="9"/>
      <c r="G537" s="9"/>
    </row>
    <row r="538" spans="1:7" ht="16.5" customHeight="1" x14ac:dyDescent="0.2">
      <c r="A538" s="35" t="str">
        <f t="shared" si="130"/>
        <v/>
      </c>
      <c r="C538" s="35" t="str">
        <f t="shared" si="108"/>
        <v/>
      </c>
      <c r="D538" s="9"/>
      <c r="E538" s="35"/>
      <c r="F538" s="9"/>
      <c r="G538" s="9"/>
    </row>
    <row r="539" spans="1:7" ht="16.5" customHeight="1" x14ac:dyDescent="0.2">
      <c r="A539" s="35" t="str">
        <f t="shared" si="130"/>
        <v/>
      </c>
      <c r="C539" s="35" t="str">
        <f t="shared" si="108"/>
        <v/>
      </c>
      <c r="D539" s="9"/>
      <c r="E539" s="35"/>
      <c r="F539" s="9"/>
      <c r="G539" s="9"/>
    </row>
    <row r="540" spans="1:7" ht="16.5" customHeight="1" x14ac:dyDescent="0.2">
      <c r="A540" s="35" t="str">
        <f t="shared" si="130"/>
        <v/>
      </c>
      <c r="C540" s="35" t="str">
        <f t="shared" si="108"/>
        <v/>
      </c>
      <c r="D540" s="9"/>
      <c r="E540" s="35"/>
      <c r="F540" s="9"/>
      <c r="G540" s="9"/>
    </row>
    <row r="541" spans="1:7" ht="16.5" customHeight="1" x14ac:dyDescent="0.2">
      <c r="A541" s="35" t="str">
        <f t="shared" si="130"/>
        <v/>
      </c>
      <c r="C541" s="35" t="str">
        <f t="shared" si="108"/>
        <v/>
      </c>
      <c r="D541" s="9"/>
      <c r="E541" s="35"/>
      <c r="F541" s="9"/>
      <c r="G541" s="9"/>
    </row>
    <row r="542" spans="1:7" ht="16.5" customHeight="1" x14ac:dyDescent="0.2">
      <c r="A542" s="35" t="str">
        <f t="shared" si="130"/>
        <v/>
      </c>
      <c r="C542" s="35" t="str">
        <f t="shared" si="108"/>
        <v/>
      </c>
      <c r="D542" s="9"/>
      <c r="E542" s="35"/>
      <c r="F542" s="9"/>
      <c r="G542" s="9"/>
    </row>
    <row r="543" spans="1:7" ht="16.5" customHeight="1" x14ac:dyDescent="0.2">
      <c r="A543" s="35" t="str">
        <f t="shared" ref="A543:A606" si="132">IF(B543="","",A542+1)</f>
        <v/>
      </c>
      <c r="C543" s="35" t="str">
        <f t="shared" ref="C543:C606" si="133">IF(B543="","","vs")</f>
        <v/>
      </c>
      <c r="D543" s="9"/>
      <c r="E543" s="35"/>
      <c r="F543" s="9"/>
      <c r="G543" s="9"/>
    </row>
    <row r="544" spans="1:7" ht="16.5" customHeight="1" x14ac:dyDescent="0.2">
      <c r="A544" s="35" t="str">
        <f t="shared" si="132"/>
        <v/>
      </c>
      <c r="C544" s="35" t="str">
        <f t="shared" si="133"/>
        <v/>
      </c>
      <c r="D544" s="9"/>
      <c r="E544" s="35"/>
      <c r="F544" s="9"/>
      <c r="G544" s="9"/>
    </row>
    <row r="545" spans="1:7" ht="16.5" customHeight="1" x14ac:dyDescent="0.2">
      <c r="A545" s="35" t="str">
        <f t="shared" si="132"/>
        <v/>
      </c>
      <c r="C545" s="35" t="str">
        <f t="shared" si="133"/>
        <v/>
      </c>
      <c r="D545" s="9"/>
      <c r="E545" s="35"/>
      <c r="F545" s="9"/>
      <c r="G545" s="9"/>
    </row>
    <row r="546" spans="1:7" ht="16.5" customHeight="1" x14ac:dyDescent="0.2">
      <c r="A546" s="35" t="str">
        <f t="shared" si="132"/>
        <v/>
      </c>
      <c r="C546" s="35" t="str">
        <f t="shared" si="133"/>
        <v/>
      </c>
      <c r="D546" s="9"/>
      <c r="E546" s="35"/>
      <c r="F546" s="9"/>
      <c r="G546" s="9"/>
    </row>
    <row r="547" spans="1:7" ht="16.5" customHeight="1" x14ac:dyDescent="0.2">
      <c r="A547" s="35" t="str">
        <f t="shared" si="132"/>
        <v/>
      </c>
      <c r="C547" s="35" t="str">
        <f t="shared" si="133"/>
        <v/>
      </c>
      <c r="D547" s="9"/>
      <c r="E547" s="35"/>
      <c r="F547" s="9"/>
      <c r="G547" s="9"/>
    </row>
    <row r="548" spans="1:7" ht="16.5" customHeight="1" x14ac:dyDescent="0.2">
      <c r="A548" s="35" t="str">
        <f t="shared" si="132"/>
        <v/>
      </c>
      <c r="C548" s="35" t="str">
        <f t="shared" si="133"/>
        <v/>
      </c>
      <c r="D548" s="9"/>
      <c r="E548" s="35"/>
      <c r="F548" s="9"/>
      <c r="G548" s="9"/>
    </row>
    <row r="549" spans="1:7" ht="16.5" customHeight="1" x14ac:dyDescent="0.2">
      <c r="A549" s="35" t="str">
        <f t="shared" si="132"/>
        <v/>
      </c>
      <c r="C549" s="35" t="str">
        <f t="shared" si="133"/>
        <v/>
      </c>
      <c r="D549" s="9"/>
      <c r="E549" s="35"/>
      <c r="F549" s="9"/>
      <c r="G549" s="9"/>
    </row>
    <row r="550" spans="1:7" ht="16.5" customHeight="1" x14ac:dyDescent="0.2">
      <c r="A550" s="35" t="str">
        <f t="shared" si="132"/>
        <v/>
      </c>
      <c r="C550" s="35" t="str">
        <f t="shared" si="133"/>
        <v/>
      </c>
      <c r="D550" s="9"/>
      <c r="E550" s="35"/>
      <c r="F550" s="9"/>
      <c r="G550" s="9"/>
    </row>
    <row r="551" spans="1:7" ht="16.5" customHeight="1" x14ac:dyDescent="0.2">
      <c r="A551" s="35" t="str">
        <f t="shared" si="132"/>
        <v/>
      </c>
      <c r="C551" s="35" t="str">
        <f t="shared" si="133"/>
        <v/>
      </c>
      <c r="D551" s="9"/>
      <c r="E551" s="35"/>
      <c r="F551" s="9"/>
      <c r="G551" s="9"/>
    </row>
    <row r="552" spans="1:7" ht="16.5" customHeight="1" x14ac:dyDescent="0.2">
      <c r="A552" s="35" t="str">
        <f t="shared" si="132"/>
        <v/>
      </c>
      <c r="C552" s="35" t="str">
        <f t="shared" si="133"/>
        <v/>
      </c>
      <c r="D552" s="9"/>
      <c r="E552" s="35"/>
      <c r="F552" s="9"/>
      <c r="G552" s="9"/>
    </row>
    <row r="553" spans="1:7" ht="16.5" customHeight="1" x14ac:dyDescent="0.2">
      <c r="A553" s="35" t="str">
        <f t="shared" si="132"/>
        <v/>
      </c>
      <c r="C553" s="35" t="str">
        <f t="shared" si="133"/>
        <v/>
      </c>
      <c r="D553" s="9"/>
      <c r="E553" s="35"/>
      <c r="F553" s="9"/>
      <c r="G553" s="9"/>
    </row>
    <row r="554" spans="1:7" ht="16.5" customHeight="1" x14ac:dyDescent="0.2">
      <c r="A554" s="35" t="str">
        <f t="shared" si="132"/>
        <v/>
      </c>
      <c r="C554" s="35" t="str">
        <f t="shared" si="133"/>
        <v/>
      </c>
      <c r="D554" s="9"/>
      <c r="E554" s="35"/>
      <c r="F554" s="9"/>
      <c r="G554" s="9"/>
    </row>
    <row r="555" spans="1:7" ht="16.5" customHeight="1" x14ac:dyDescent="0.2">
      <c r="A555" s="35" t="str">
        <f t="shared" si="132"/>
        <v/>
      </c>
      <c r="C555" s="35" t="str">
        <f t="shared" si="133"/>
        <v/>
      </c>
      <c r="D555" s="9"/>
      <c r="E555" s="35"/>
      <c r="F555" s="9"/>
      <c r="G555" s="9"/>
    </row>
    <row r="556" spans="1:7" ht="16.5" customHeight="1" x14ac:dyDescent="0.2">
      <c r="A556" s="35" t="str">
        <f t="shared" si="132"/>
        <v/>
      </c>
      <c r="C556" s="35" t="str">
        <f t="shared" si="133"/>
        <v/>
      </c>
      <c r="D556" s="9"/>
      <c r="E556" s="35"/>
      <c r="F556" s="9"/>
      <c r="G556" s="9"/>
    </row>
    <row r="557" spans="1:7" ht="16.5" customHeight="1" x14ac:dyDescent="0.2">
      <c r="A557" s="35" t="str">
        <f t="shared" si="132"/>
        <v/>
      </c>
      <c r="C557" s="35" t="str">
        <f t="shared" si="133"/>
        <v/>
      </c>
      <c r="D557" s="9"/>
      <c r="E557" s="35"/>
      <c r="F557" s="9"/>
      <c r="G557" s="9"/>
    </row>
    <row r="558" spans="1:7" ht="16.5" customHeight="1" x14ac:dyDescent="0.2">
      <c r="A558" s="35" t="str">
        <f t="shared" si="132"/>
        <v/>
      </c>
      <c r="C558" s="35" t="str">
        <f t="shared" si="133"/>
        <v/>
      </c>
      <c r="D558" s="9"/>
      <c r="E558" s="35"/>
      <c r="F558" s="9"/>
      <c r="G558" s="9"/>
    </row>
    <row r="559" spans="1:7" ht="16.5" customHeight="1" x14ac:dyDescent="0.2">
      <c r="A559" s="35" t="str">
        <f t="shared" si="132"/>
        <v/>
      </c>
      <c r="C559" s="35" t="str">
        <f t="shared" si="133"/>
        <v/>
      </c>
      <c r="D559" s="9"/>
      <c r="E559" s="35"/>
      <c r="F559" s="9"/>
      <c r="G559" s="9"/>
    </row>
    <row r="560" spans="1:7" ht="16.5" customHeight="1" x14ac:dyDescent="0.2">
      <c r="A560" s="35" t="str">
        <f t="shared" si="132"/>
        <v/>
      </c>
      <c r="C560" s="35" t="str">
        <f t="shared" si="133"/>
        <v/>
      </c>
      <c r="D560" s="9"/>
      <c r="E560" s="35"/>
      <c r="F560" s="9"/>
      <c r="G560" s="9"/>
    </row>
    <row r="561" spans="1:7" ht="16.5" customHeight="1" x14ac:dyDescent="0.2">
      <c r="A561" s="35" t="str">
        <f t="shared" si="132"/>
        <v/>
      </c>
      <c r="C561" s="35" t="str">
        <f t="shared" si="133"/>
        <v/>
      </c>
      <c r="D561" s="9"/>
      <c r="E561" s="35"/>
      <c r="F561" s="9"/>
      <c r="G561" s="9"/>
    </row>
    <row r="562" spans="1:7" ht="16.5" customHeight="1" x14ac:dyDescent="0.2">
      <c r="A562" s="35" t="str">
        <f t="shared" si="132"/>
        <v/>
      </c>
      <c r="C562" s="35" t="str">
        <f t="shared" si="133"/>
        <v/>
      </c>
      <c r="D562" s="9"/>
      <c r="E562" s="35"/>
      <c r="F562" s="9"/>
      <c r="G562" s="9"/>
    </row>
    <row r="563" spans="1:7" ht="16.5" customHeight="1" x14ac:dyDescent="0.2">
      <c r="A563" s="35" t="str">
        <f t="shared" si="132"/>
        <v/>
      </c>
      <c r="C563" s="35" t="str">
        <f t="shared" si="133"/>
        <v/>
      </c>
      <c r="D563" s="9"/>
      <c r="E563" s="35"/>
      <c r="F563" s="9"/>
      <c r="G563" s="9"/>
    </row>
    <row r="564" spans="1:7" ht="16.5" customHeight="1" x14ac:dyDescent="0.2">
      <c r="A564" s="35" t="str">
        <f t="shared" si="132"/>
        <v/>
      </c>
      <c r="C564" s="35" t="str">
        <f t="shared" si="133"/>
        <v/>
      </c>
      <c r="D564" s="9"/>
      <c r="E564" s="35"/>
      <c r="F564" s="9"/>
      <c r="G564" s="9"/>
    </row>
    <row r="565" spans="1:7" ht="16.5" customHeight="1" x14ac:dyDescent="0.2">
      <c r="A565" s="35" t="str">
        <f t="shared" si="132"/>
        <v/>
      </c>
      <c r="C565" s="35" t="str">
        <f t="shared" si="133"/>
        <v/>
      </c>
      <c r="D565" s="9"/>
      <c r="E565" s="35"/>
      <c r="F565" s="9"/>
      <c r="G565" s="9"/>
    </row>
    <row r="566" spans="1:7" ht="16.5" customHeight="1" x14ac:dyDescent="0.2">
      <c r="A566" s="35" t="str">
        <f t="shared" si="132"/>
        <v/>
      </c>
      <c r="C566" s="35" t="str">
        <f t="shared" si="133"/>
        <v/>
      </c>
      <c r="D566" s="9"/>
      <c r="E566" s="35"/>
      <c r="F566" s="9"/>
      <c r="G566" s="9"/>
    </row>
    <row r="567" spans="1:7" ht="16.5" customHeight="1" x14ac:dyDescent="0.2">
      <c r="A567" s="35" t="str">
        <f t="shared" si="132"/>
        <v/>
      </c>
      <c r="C567" s="35" t="str">
        <f t="shared" si="133"/>
        <v/>
      </c>
      <c r="D567" s="9"/>
      <c r="E567" s="35"/>
      <c r="F567" s="9"/>
      <c r="G567" s="9"/>
    </row>
    <row r="568" spans="1:7" ht="16.5" customHeight="1" x14ac:dyDescent="0.2">
      <c r="A568" s="35" t="str">
        <f t="shared" si="132"/>
        <v/>
      </c>
      <c r="C568" s="35" t="str">
        <f t="shared" si="133"/>
        <v/>
      </c>
      <c r="D568" s="9"/>
      <c r="E568" s="35"/>
      <c r="F568" s="9"/>
      <c r="G568" s="9"/>
    </row>
    <row r="569" spans="1:7" ht="16.5" customHeight="1" x14ac:dyDescent="0.2">
      <c r="A569" s="35" t="str">
        <f t="shared" si="132"/>
        <v/>
      </c>
      <c r="C569" s="35" t="str">
        <f t="shared" si="133"/>
        <v/>
      </c>
      <c r="D569" s="9"/>
      <c r="E569" s="35"/>
      <c r="F569" s="9"/>
      <c r="G569" s="9"/>
    </row>
    <row r="570" spans="1:7" ht="16.5" customHeight="1" x14ac:dyDescent="0.2">
      <c r="A570" s="35" t="str">
        <f t="shared" si="132"/>
        <v/>
      </c>
      <c r="C570" s="35" t="str">
        <f t="shared" si="133"/>
        <v/>
      </c>
      <c r="D570" s="9"/>
      <c r="E570" s="35"/>
      <c r="F570" s="9"/>
      <c r="G570" s="9"/>
    </row>
    <row r="571" spans="1:7" ht="16.5" customHeight="1" x14ac:dyDescent="0.2">
      <c r="A571" s="35" t="str">
        <f t="shared" si="132"/>
        <v/>
      </c>
      <c r="C571" s="35" t="str">
        <f t="shared" si="133"/>
        <v/>
      </c>
      <c r="D571" s="9"/>
      <c r="E571" s="35"/>
      <c r="F571" s="9"/>
      <c r="G571" s="9"/>
    </row>
    <row r="572" spans="1:7" ht="16.5" customHeight="1" x14ac:dyDescent="0.2">
      <c r="A572" s="35" t="str">
        <f t="shared" si="132"/>
        <v/>
      </c>
      <c r="C572" s="35" t="str">
        <f t="shared" si="133"/>
        <v/>
      </c>
      <c r="D572" s="9"/>
      <c r="E572" s="35"/>
      <c r="F572" s="9"/>
      <c r="G572" s="9"/>
    </row>
    <row r="573" spans="1:7" ht="16.5" customHeight="1" x14ac:dyDescent="0.2">
      <c r="A573" s="35" t="str">
        <f t="shared" si="132"/>
        <v/>
      </c>
      <c r="C573" s="35" t="str">
        <f t="shared" si="133"/>
        <v/>
      </c>
      <c r="D573" s="9"/>
      <c r="E573" s="35"/>
      <c r="F573" s="9"/>
      <c r="G573" s="9"/>
    </row>
    <row r="574" spans="1:7" ht="16.5" customHeight="1" x14ac:dyDescent="0.2">
      <c r="A574" s="35" t="str">
        <f t="shared" si="132"/>
        <v/>
      </c>
      <c r="C574" s="35" t="str">
        <f t="shared" si="133"/>
        <v/>
      </c>
      <c r="D574" s="9"/>
      <c r="E574" s="35"/>
      <c r="F574" s="9"/>
      <c r="G574" s="9"/>
    </row>
    <row r="575" spans="1:7" ht="16.5" customHeight="1" x14ac:dyDescent="0.2">
      <c r="A575" s="35" t="str">
        <f t="shared" si="132"/>
        <v/>
      </c>
      <c r="C575" s="35" t="str">
        <f t="shared" si="133"/>
        <v/>
      </c>
      <c r="D575" s="9"/>
      <c r="E575" s="35"/>
      <c r="F575" s="9"/>
      <c r="G575" s="9"/>
    </row>
    <row r="576" spans="1:7" ht="16.5" customHeight="1" x14ac:dyDescent="0.2">
      <c r="A576" s="35" t="str">
        <f t="shared" si="132"/>
        <v/>
      </c>
      <c r="C576" s="35" t="str">
        <f t="shared" si="133"/>
        <v/>
      </c>
      <c r="D576" s="9"/>
      <c r="E576" s="35"/>
      <c r="F576" s="9"/>
      <c r="G576" s="9"/>
    </row>
    <row r="577" spans="1:7" ht="16.5" customHeight="1" x14ac:dyDescent="0.2">
      <c r="A577" s="35" t="str">
        <f t="shared" si="132"/>
        <v/>
      </c>
      <c r="C577" s="35" t="str">
        <f t="shared" si="133"/>
        <v/>
      </c>
      <c r="D577" s="9"/>
      <c r="E577" s="35"/>
      <c r="F577" s="9"/>
      <c r="G577" s="9"/>
    </row>
    <row r="578" spans="1:7" ht="16.5" customHeight="1" x14ac:dyDescent="0.2">
      <c r="A578" s="35" t="str">
        <f t="shared" si="132"/>
        <v/>
      </c>
      <c r="C578" s="35" t="str">
        <f t="shared" si="133"/>
        <v/>
      </c>
      <c r="D578" s="9"/>
      <c r="E578" s="35"/>
      <c r="F578" s="9"/>
      <c r="G578" s="9"/>
    </row>
    <row r="579" spans="1:7" ht="16.5" customHeight="1" x14ac:dyDescent="0.2">
      <c r="A579" s="35" t="str">
        <f t="shared" si="132"/>
        <v/>
      </c>
      <c r="C579" s="35" t="str">
        <f t="shared" si="133"/>
        <v/>
      </c>
      <c r="D579" s="9"/>
      <c r="E579" s="35"/>
      <c r="F579" s="9"/>
      <c r="G579" s="9"/>
    </row>
    <row r="580" spans="1:7" ht="16.5" customHeight="1" x14ac:dyDescent="0.2">
      <c r="A580" s="35" t="str">
        <f t="shared" si="132"/>
        <v/>
      </c>
      <c r="C580" s="35" t="str">
        <f t="shared" si="133"/>
        <v/>
      </c>
      <c r="D580" s="9"/>
      <c r="E580" s="35"/>
      <c r="F580" s="9"/>
      <c r="G580" s="9"/>
    </row>
    <row r="581" spans="1:7" ht="16.5" customHeight="1" x14ac:dyDescent="0.2">
      <c r="A581" s="35" t="str">
        <f t="shared" si="132"/>
        <v/>
      </c>
      <c r="C581" s="35" t="str">
        <f t="shared" si="133"/>
        <v/>
      </c>
      <c r="D581" s="9"/>
      <c r="E581" s="35"/>
      <c r="F581" s="9"/>
      <c r="G581" s="9"/>
    </row>
    <row r="582" spans="1:7" ht="16.5" customHeight="1" x14ac:dyDescent="0.2">
      <c r="A582" s="35" t="str">
        <f t="shared" si="132"/>
        <v/>
      </c>
      <c r="C582" s="35" t="str">
        <f t="shared" si="133"/>
        <v/>
      </c>
      <c r="D582" s="9"/>
      <c r="E582" s="35"/>
      <c r="F582" s="9"/>
      <c r="G582" s="9"/>
    </row>
    <row r="583" spans="1:7" ht="16.5" customHeight="1" x14ac:dyDescent="0.2">
      <c r="A583" s="35" t="str">
        <f t="shared" si="132"/>
        <v/>
      </c>
      <c r="C583" s="35" t="str">
        <f t="shared" si="133"/>
        <v/>
      </c>
      <c r="D583" s="9"/>
      <c r="E583" s="35"/>
      <c r="F583" s="9"/>
      <c r="G583" s="9"/>
    </row>
    <row r="584" spans="1:7" ht="16.5" customHeight="1" x14ac:dyDescent="0.2">
      <c r="A584" s="35" t="str">
        <f t="shared" si="132"/>
        <v/>
      </c>
      <c r="C584" s="35" t="str">
        <f t="shared" si="133"/>
        <v/>
      </c>
      <c r="D584" s="9"/>
      <c r="E584" s="35"/>
      <c r="F584" s="9"/>
      <c r="G584" s="9"/>
    </row>
    <row r="585" spans="1:7" ht="16.5" customHeight="1" x14ac:dyDescent="0.2">
      <c r="A585" s="35" t="str">
        <f t="shared" si="132"/>
        <v/>
      </c>
      <c r="C585" s="35" t="str">
        <f t="shared" si="133"/>
        <v/>
      </c>
      <c r="D585" s="9"/>
      <c r="E585" s="35"/>
      <c r="F585" s="9"/>
      <c r="G585" s="9"/>
    </row>
    <row r="586" spans="1:7" ht="16.5" customHeight="1" x14ac:dyDescent="0.2">
      <c r="A586" s="35" t="str">
        <f t="shared" si="132"/>
        <v/>
      </c>
      <c r="C586" s="35" t="str">
        <f t="shared" si="133"/>
        <v/>
      </c>
      <c r="D586" s="9"/>
      <c r="E586" s="35"/>
      <c r="F586" s="9"/>
      <c r="G586" s="9"/>
    </row>
    <row r="587" spans="1:7" ht="16.5" customHeight="1" x14ac:dyDescent="0.2">
      <c r="A587" s="35" t="str">
        <f t="shared" si="132"/>
        <v/>
      </c>
      <c r="C587" s="35" t="str">
        <f t="shared" si="133"/>
        <v/>
      </c>
      <c r="D587" s="9"/>
      <c r="E587" s="35"/>
      <c r="F587" s="9"/>
      <c r="G587" s="9"/>
    </row>
    <row r="588" spans="1:7" ht="16.5" customHeight="1" x14ac:dyDescent="0.2">
      <c r="A588" s="35" t="str">
        <f t="shared" si="132"/>
        <v/>
      </c>
      <c r="C588" s="35" t="str">
        <f t="shared" si="133"/>
        <v/>
      </c>
      <c r="D588" s="9"/>
      <c r="E588" s="35"/>
      <c r="F588" s="9"/>
      <c r="G588" s="9"/>
    </row>
    <row r="589" spans="1:7" ht="16.5" customHeight="1" x14ac:dyDescent="0.2">
      <c r="A589" s="35" t="str">
        <f t="shared" si="132"/>
        <v/>
      </c>
      <c r="C589" s="35" t="str">
        <f t="shared" si="133"/>
        <v/>
      </c>
      <c r="D589" s="9"/>
      <c r="E589" s="35"/>
      <c r="F589" s="9"/>
      <c r="G589" s="9"/>
    </row>
    <row r="590" spans="1:7" ht="16.5" customHeight="1" x14ac:dyDescent="0.2">
      <c r="A590" s="35" t="str">
        <f t="shared" si="132"/>
        <v/>
      </c>
      <c r="C590" s="35" t="str">
        <f t="shared" si="133"/>
        <v/>
      </c>
      <c r="D590" s="9"/>
      <c r="E590" s="35"/>
      <c r="F590" s="9"/>
      <c r="G590" s="9"/>
    </row>
    <row r="591" spans="1:7" ht="16.5" customHeight="1" x14ac:dyDescent="0.2">
      <c r="A591" s="35" t="str">
        <f t="shared" si="132"/>
        <v/>
      </c>
      <c r="C591" s="35" t="str">
        <f t="shared" si="133"/>
        <v/>
      </c>
      <c r="D591" s="9"/>
      <c r="E591" s="35"/>
      <c r="F591" s="9"/>
      <c r="G591" s="9"/>
    </row>
    <row r="592" spans="1:7" ht="16.5" customHeight="1" x14ac:dyDescent="0.2">
      <c r="A592" s="35" t="str">
        <f t="shared" si="132"/>
        <v/>
      </c>
      <c r="C592" s="35" t="str">
        <f t="shared" si="133"/>
        <v/>
      </c>
      <c r="D592" s="9"/>
      <c r="E592" s="35"/>
      <c r="F592" s="9"/>
      <c r="G592" s="9"/>
    </row>
    <row r="593" spans="1:7" ht="16.5" customHeight="1" x14ac:dyDescent="0.2">
      <c r="A593" s="35" t="str">
        <f t="shared" si="132"/>
        <v/>
      </c>
      <c r="C593" s="35" t="str">
        <f t="shared" si="133"/>
        <v/>
      </c>
      <c r="D593" s="9"/>
      <c r="E593" s="35"/>
      <c r="F593" s="9"/>
      <c r="G593" s="9"/>
    </row>
    <row r="594" spans="1:7" ht="16.5" customHeight="1" x14ac:dyDescent="0.2">
      <c r="A594" s="35" t="str">
        <f t="shared" si="132"/>
        <v/>
      </c>
      <c r="C594" s="35" t="str">
        <f t="shared" si="133"/>
        <v/>
      </c>
      <c r="D594" s="9"/>
      <c r="E594" s="35"/>
      <c r="F594" s="9"/>
      <c r="G594" s="9"/>
    </row>
    <row r="595" spans="1:7" ht="16.5" customHeight="1" x14ac:dyDescent="0.2">
      <c r="A595" s="35" t="str">
        <f t="shared" si="132"/>
        <v/>
      </c>
      <c r="C595" s="35" t="str">
        <f t="shared" si="133"/>
        <v/>
      </c>
      <c r="D595" s="9"/>
      <c r="E595" s="35"/>
      <c r="F595" s="9"/>
      <c r="G595" s="9"/>
    </row>
    <row r="596" spans="1:7" ht="16.5" customHeight="1" x14ac:dyDescent="0.2">
      <c r="A596" s="35" t="str">
        <f t="shared" si="132"/>
        <v/>
      </c>
      <c r="C596" s="35" t="str">
        <f t="shared" si="133"/>
        <v/>
      </c>
      <c r="D596" s="9"/>
      <c r="E596" s="35"/>
      <c r="F596" s="9"/>
      <c r="G596" s="9"/>
    </row>
    <row r="597" spans="1:7" ht="16.5" customHeight="1" x14ac:dyDescent="0.2">
      <c r="A597" s="35" t="str">
        <f t="shared" si="132"/>
        <v/>
      </c>
      <c r="C597" s="35" t="str">
        <f t="shared" si="133"/>
        <v/>
      </c>
      <c r="D597" s="9"/>
      <c r="E597" s="35"/>
      <c r="F597" s="9"/>
      <c r="G597" s="9"/>
    </row>
    <row r="598" spans="1:7" ht="16.5" customHeight="1" x14ac:dyDescent="0.2">
      <c r="A598" s="35" t="str">
        <f t="shared" si="132"/>
        <v/>
      </c>
      <c r="C598" s="35" t="str">
        <f t="shared" si="133"/>
        <v/>
      </c>
      <c r="D598" s="9"/>
      <c r="E598" s="35"/>
      <c r="F598" s="9"/>
      <c r="G598" s="9"/>
    </row>
    <row r="599" spans="1:7" ht="16.5" customHeight="1" x14ac:dyDescent="0.2">
      <c r="A599" s="35" t="str">
        <f t="shared" si="132"/>
        <v/>
      </c>
      <c r="C599" s="35" t="str">
        <f t="shared" si="133"/>
        <v/>
      </c>
      <c r="D599" s="9"/>
      <c r="E599" s="35"/>
      <c r="F599" s="9"/>
      <c r="G599" s="9"/>
    </row>
    <row r="600" spans="1:7" ht="16.5" customHeight="1" x14ac:dyDescent="0.2">
      <c r="A600" s="35" t="str">
        <f t="shared" si="132"/>
        <v/>
      </c>
      <c r="C600" s="35" t="str">
        <f t="shared" si="133"/>
        <v/>
      </c>
      <c r="D600" s="9"/>
      <c r="E600" s="35"/>
      <c r="F600" s="9"/>
      <c r="G600" s="9"/>
    </row>
    <row r="601" spans="1:7" ht="16.5" customHeight="1" x14ac:dyDescent="0.2">
      <c r="A601" s="35" t="str">
        <f t="shared" si="132"/>
        <v/>
      </c>
      <c r="C601" s="35" t="str">
        <f t="shared" si="133"/>
        <v/>
      </c>
      <c r="D601" s="9"/>
      <c r="E601" s="35"/>
      <c r="F601" s="9"/>
      <c r="G601" s="9"/>
    </row>
    <row r="602" spans="1:7" ht="16.5" customHeight="1" x14ac:dyDescent="0.2">
      <c r="A602" s="35" t="str">
        <f t="shared" si="132"/>
        <v/>
      </c>
      <c r="C602" s="35" t="str">
        <f t="shared" si="133"/>
        <v/>
      </c>
      <c r="D602" s="9"/>
      <c r="E602" s="35"/>
      <c r="F602" s="9"/>
      <c r="G602" s="9"/>
    </row>
    <row r="603" spans="1:7" ht="16.5" customHeight="1" x14ac:dyDescent="0.2">
      <c r="A603" s="35" t="str">
        <f t="shared" si="132"/>
        <v/>
      </c>
      <c r="C603" s="35" t="str">
        <f t="shared" si="133"/>
        <v/>
      </c>
      <c r="D603" s="9"/>
      <c r="E603" s="35"/>
      <c r="F603" s="9"/>
      <c r="G603" s="9"/>
    </row>
    <row r="604" spans="1:7" ht="16.5" customHeight="1" x14ac:dyDescent="0.2">
      <c r="A604" s="35" t="str">
        <f t="shared" si="132"/>
        <v/>
      </c>
      <c r="C604" s="35" t="str">
        <f t="shared" si="133"/>
        <v/>
      </c>
      <c r="D604" s="9"/>
      <c r="E604" s="35"/>
      <c r="F604" s="9"/>
      <c r="G604" s="9"/>
    </row>
    <row r="605" spans="1:7" ht="16.5" customHeight="1" x14ac:dyDescent="0.2">
      <c r="A605" s="35" t="str">
        <f t="shared" si="132"/>
        <v/>
      </c>
      <c r="C605" s="35" t="str">
        <f t="shared" si="133"/>
        <v/>
      </c>
      <c r="D605" s="9"/>
      <c r="E605" s="35"/>
      <c r="F605" s="9"/>
      <c r="G605" s="9"/>
    </row>
    <row r="606" spans="1:7" ht="16.5" customHeight="1" x14ac:dyDescent="0.2">
      <c r="A606" s="35" t="str">
        <f t="shared" si="132"/>
        <v/>
      </c>
      <c r="C606" s="35" t="str">
        <f t="shared" si="133"/>
        <v/>
      </c>
      <c r="D606" s="9"/>
      <c r="E606" s="35"/>
      <c r="F606" s="9"/>
      <c r="G606" s="9"/>
    </row>
    <row r="607" spans="1:7" ht="16.5" customHeight="1" x14ac:dyDescent="0.2">
      <c r="A607" s="35" t="str">
        <f t="shared" ref="A607:A670" si="134">IF(B607="","",A606+1)</f>
        <v/>
      </c>
      <c r="C607" s="35" t="str">
        <f t="shared" ref="C607:C670" si="135">IF(B607="","","vs")</f>
        <v/>
      </c>
      <c r="D607" s="9"/>
      <c r="E607" s="35"/>
      <c r="F607" s="9"/>
      <c r="G607" s="9"/>
    </row>
    <row r="608" spans="1:7" ht="16.5" customHeight="1" x14ac:dyDescent="0.2">
      <c r="A608" s="35" t="str">
        <f t="shared" si="134"/>
        <v/>
      </c>
      <c r="C608" s="35" t="str">
        <f t="shared" si="135"/>
        <v/>
      </c>
      <c r="D608" s="9"/>
      <c r="E608" s="35"/>
      <c r="F608" s="9"/>
      <c r="G608" s="9"/>
    </row>
    <row r="609" spans="1:7" ht="16.5" customHeight="1" x14ac:dyDescent="0.2">
      <c r="A609" s="35" t="str">
        <f t="shared" si="134"/>
        <v/>
      </c>
      <c r="C609" s="35" t="str">
        <f t="shared" si="135"/>
        <v/>
      </c>
      <c r="D609" s="9"/>
      <c r="E609" s="35"/>
      <c r="F609" s="9"/>
      <c r="G609" s="9"/>
    </row>
    <row r="610" spans="1:7" ht="16.5" customHeight="1" x14ac:dyDescent="0.2">
      <c r="A610" s="35" t="str">
        <f t="shared" si="134"/>
        <v/>
      </c>
      <c r="C610" s="35" t="str">
        <f t="shared" si="135"/>
        <v/>
      </c>
      <c r="D610" s="9"/>
      <c r="E610" s="35"/>
      <c r="F610" s="9"/>
      <c r="G610" s="9"/>
    </row>
    <row r="611" spans="1:7" ht="16.5" customHeight="1" x14ac:dyDescent="0.2">
      <c r="A611" s="35" t="str">
        <f t="shared" si="134"/>
        <v/>
      </c>
      <c r="C611" s="35" t="str">
        <f t="shared" si="135"/>
        <v/>
      </c>
      <c r="D611" s="9"/>
      <c r="E611" s="35"/>
      <c r="F611" s="9"/>
      <c r="G611" s="9"/>
    </row>
    <row r="612" spans="1:7" ht="16.5" customHeight="1" x14ac:dyDescent="0.2">
      <c r="A612" s="35" t="str">
        <f t="shared" si="134"/>
        <v/>
      </c>
      <c r="C612" s="35" t="str">
        <f t="shared" si="135"/>
        <v/>
      </c>
      <c r="D612" s="9"/>
      <c r="E612" s="35"/>
      <c r="F612" s="9"/>
      <c r="G612" s="9"/>
    </row>
    <row r="613" spans="1:7" ht="16.5" customHeight="1" x14ac:dyDescent="0.2">
      <c r="A613" s="35" t="str">
        <f t="shared" si="134"/>
        <v/>
      </c>
      <c r="C613" s="35" t="str">
        <f t="shared" si="135"/>
        <v/>
      </c>
      <c r="D613" s="9"/>
      <c r="E613" s="35"/>
      <c r="F613" s="9"/>
      <c r="G613" s="9"/>
    </row>
    <row r="614" spans="1:7" ht="16.5" customHeight="1" x14ac:dyDescent="0.2">
      <c r="A614" s="35" t="str">
        <f t="shared" si="134"/>
        <v/>
      </c>
      <c r="C614" s="35" t="str">
        <f t="shared" si="135"/>
        <v/>
      </c>
      <c r="D614" s="9"/>
      <c r="E614" s="35"/>
      <c r="F614" s="9"/>
      <c r="G614" s="9"/>
    </row>
    <row r="615" spans="1:7" ht="16.5" customHeight="1" x14ac:dyDescent="0.2">
      <c r="A615" s="35" t="str">
        <f t="shared" si="134"/>
        <v/>
      </c>
      <c r="C615" s="35" t="str">
        <f t="shared" si="135"/>
        <v/>
      </c>
      <c r="D615" s="9"/>
      <c r="E615" s="35"/>
      <c r="F615" s="9"/>
      <c r="G615" s="9"/>
    </row>
    <row r="616" spans="1:7" ht="16.5" customHeight="1" x14ac:dyDescent="0.2">
      <c r="A616" s="35" t="str">
        <f t="shared" si="134"/>
        <v/>
      </c>
      <c r="C616" s="35" t="str">
        <f t="shared" si="135"/>
        <v/>
      </c>
      <c r="D616" s="9"/>
      <c r="E616" s="35"/>
      <c r="F616" s="9"/>
      <c r="G616" s="9"/>
    </row>
    <row r="617" spans="1:7" ht="16.5" customHeight="1" x14ac:dyDescent="0.2">
      <c r="A617" s="35" t="str">
        <f t="shared" si="134"/>
        <v/>
      </c>
      <c r="C617" s="35" t="str">
        <f t="shared" si="135"/>
        <v/>
      </c>
      <c r="D617" s="9"/>
      <c r="E617" s="35"/>
      <c r="F617" s="9"/>
      <c r="G617" s="9"/>
    </row>
    <row r="618" spans="1:7" ht="16.5" customHeight="1" x14ac:dyDescent="0.2">
      <c r="A618" s="35" t="str">
        <f t="shared" si="134"/>
        <v/>
      </c>
      <c r="C618" s="35" t="str">
        <f t="shared" si="135"/>
        <v/>
      </c>
      <c r="D618" s="9"/>
      <c r="E618" s="35"/>
      <c r="F618" s="9"/>
      <c r="G618" s="9"/>
    </row>
    <row r="619" spans="1:7" ht="16.5" customHeight="1" x14ac:dyDescent="0.2">
      <c r="A619" s="35" t="str">
        <f t="shared" si="134"/>
        <v/>
      </c>
      <c r="C619" s="35" t="str">
        <f t="shared" si="135"/>
        <v/>
      </c>
      <c r="D619" s="9"/>
      <c r="E619" s="35"/>
      <c r="F619" s="9"/>
      <c r="G619" s="9"/>
    </row>
    <row r="620" spans="1:7" ht="16.5" customHeight="1" x14ac:dyDescent="0.2">
      <c r="A620" s="35" t="str">
        <f t="shared" si="134"/>
        <v/>
      </c>
      <c r="C620" s="35" t="str">
        <f t="shared" si="135"/>
        <v/>
      </c>
      <c r="D620" s="9"/>
      <c r="E620" s="35"/>
      <c r="F620" s="9"/>
      <c r="G620" s="9"/>
    </row>
    <row r="621" spans="1:7" ht="16.5" customHeight="1" x14ac:dyDescent="0.2">
      <c r="A621" s="35" t="str">
        <f t="shared" si="134"/>
        <v/>
      </c>
      <c r="C621" s="35" t="str">
        <f t="shared" si="135"/>
        <v/>
      </c>
      <c r="D621" s="9"/>
      <c r="E621" s="35"/>
      <c r="F621" s="9"/>
      <c r="G621" s="9"/>
    </row>
    <row r="622" spans="1:7" ht="16.5" customHeight="1" x14ac:dyDescent="0.2">
      <c r="A622" s="35" t="str">
        <f t="shared" si="134"/>
        <v/>
      </c>
      <c r="C622" s="35" t="str">
        <f t="shared" si="135"/>
        <v/>
      </c>
      <c r="D622" s="9"/>
      <c r="E622" s="35"/>
      <c r="F622" s="9"/>
      <c r="G622" s="9"/>
    </row>
    <row r="623" spans="1:7" ht="16.5" customHeight="1" x14ac:dyDescent="0.2">
      <c r="A623" s="35" t="str">
        <f t="shared" si="134"/>
        <v/>
      </c>
      <c r="C623" s="35" t="str">
        <f t="shared" si="135"/>
        <v/>
      </c>
      <c r="D623" s="9"/>
      <c r="E623" s="35"/>
      <c r="F623" s="9"/>
      <c r="G623" s="9"/>
    </row>
    <row r="624" spans="1:7" ht="16.5" customHeight="1" x14ac:dyDescent="0.2">
      <c r="A624" s="35" t="str">
        <f t="shared" si="134"/>
        <v/>
      </c>
      <c r="C624" s="35" t="str">
        <f t="shared" si="135"/>
        <v/>
      </c>
      <c r="D624" s="9"/>
      <c r="E624" s="35"/>
      <c r="F624" s="9"/>
      <c r="G624" s="9"/>
    </row>
    <row r="625" spans="1:7" ht="16.5" customHeight="1" x14ac:dyDescent="0.2">
      <c r="A625" s="35" t="str">
        <f t="shared" si="134"/>
        <v/>
      </c>
      <c r="C625" s="35" t="str">
        <f t="shared" si="135"/>
        <v/>
      </c>
      <c r="D625" s="9"/>
      <c r="E625" s="35"/>
      <c r="F625" s="9"/>
      <c r="G625" s="9"/>
    </row>
    <row r="626" spans="1:7" ht="16.5" customHeight="1" x14ac:dyDescent="0.2">
      <c r="A626" s="35" t="str">
        <f t="shared" si="134"/>
        <v/>
      </c>
      <c r="C626" s="35" t="str">
        <f t="shared" si="135"/>
        <v/>
      </c>
      <c r="D626" s="9"/>
      <c r="E626" s="35"/>
      <c r="F626" s="9"/>
      <c r="G626" s="9"/>
    </row>
    <row r="627" spans="1:7" ht="16.5" customHeight="1" x14ac:dyDescent="0.2">
      <c r="A627" s="35" t="str">
        <f t="shared" si="134"/>
        <v/>
      </c>
      <c r="C627" s="35" t="str">
        <f t="shared" si="135"/>
        <v/>
      </c>
      <c r="D627" s="9"/>
      <c r="E627" s="35"/>
      <c r="F627" s="9"/>
      <c r="G627" s="9"/>
    </row>
    <row r="628" spans="1:7" ht="16.5" customHeight="1" x14ac:dyDescent="0.2">
      <c r="A628" s="35" t="str">
        <f t="shared" si="134"/>
        <v/>
      </c>
      <c r="C628" s="35" t="str">
        <f t="shared" si="135"/>
        <v/>
      </c>
      <c r="D628" s="9"/>
      <c r="E628" s="35"/>
      <c r="F628" s="9"/>
      <c r="G628" s="9"/>
    </row>
    <row r="629" spans="1:7" ht="16.5" customHeight="1" x14ac:dyDescent="0.2">
      <c r="A629" s="35" t="str">
        <f t="shared" si="134"/>
        <v/>
      </c>
      <c r="C629" s="35" t="str">
        <f t="shared" si="135"/>
        <v/>
      </c>
      <c r="D629" s="9"/>
      <c r="E629" s="35"/>
      <c r="F629" s="9"/>
      <c r="G629" s="9"/>
    </row>
    <row r="630" spans="1:7" ht="16.5" customHeight="1" x14ac:dyDescent="0.2">
      <c r="A630" s="35" t="str">
        <f t="shared" si="134"/>
        <v/>
      </c>
      <c r="C630" s="35" t="str">
        <f t="shared" si="135"/>
        <v/>
      </c>
      <c r="D630" s="9"/>
      <c r="E630" s="35"/>
      <c r="F630" s="9"/>
      <c r="G630" s="9"/>
    </row>
    <row r="631" spans="1:7" ht="16.5" customHeight="1" x14ac:dyDescent="0.2">
      <c r="A631" s="35" t="str">
        <f t="shared" si="134"/>
        <v/>
      </c>
      <c r="C631" s="35" t="str">
        <f t="shared" si="135"/>
        <v/>
      </c>
      <c r="D631" s="9"/>
      <c r="E631" s="35"/>
      <c r="F631" s="9"/>
      <c r="G631" s="9"/>
    </row>
    <row r="632" spans="1:7" ht="16.5" customHeight="1" x14ac:dyDescent="0.2">
      <c r="A632" s="35" t="str">
        <f t="shared" si="134"/>
        <v/>
      </c>
      <c r="C632" s="35" t="str">
        <f t="shared" si="135"/>
        <v/>
      </c>
      <c r="D632" s="9"/>
      <c r="E632" s="35"/>
      <c r="F632" s="9"/>
      <c r="G632" s="9"/>
    </row>
    <row r="633" spans="1:7" ht="16.5" customHeight="1" x14ac:dyDescent="0.2">
      <c r="A633" s="35" t="str">
        <f t="shared" si="134"/>
        <v/>
      </c>
      <c r="C633" s="35" t="str">
        <f t="shared" si="135"/>
        <v/>
      </c>
      <c r="D633" s="9"/>
      <c r="E633" s="35"/>
      <c r="F633" s="9"/>
      <c r="G633" s="9"/>
    </row>
    <row r="634" spans="1:7" ht="16.5" customHeight="1" x14ac:dyDescent="0.2">
      <c r="A634" s="35" t="str">
        <f t="shared" si="134"/>
        <v/>
      </c>
      <c r="C634" s="35" t="str">
        <f t="shared" si="135"/>
        <v/>
      </c>
      <c r="D634" s="9"/>
      <c r="E634" s="35"/>
      <c r="F634" s="9"/>
      <c r="G634" s="9"/>
    </row>
    <row r="635" spans="1:7" ht="16.5" customHeight="1" x14ac:dyDescent="0.2">
      <c r="A635" s="35" t="str">
        <f t="shared" si="134"/>
        <v/>
      </c>
      <c r="C635" s="35" t="str">
        <f t="shared" si="135"/>
        <v/>
      </c>
      <c r="D635" s="9"/>
      <c r="E635" s="35"/>
      <c r="F635" s="9"/>
      <c r="G635" s="9"/>
    </row>
    <row r="636" spans="1:7" ht="16.5" customHeight="1" x14ac:dyDescent="0.2">
      <c r="A636" s="9" t="str">
        <f t="shared" si="134"/>
        <v/>
      </c>
      <c r="C636" s="9" t="str">
        <f t="shared" si="135"/>
        <v/>
      </c>
      <c r="D636" s="9"/>
      <c r="E636" s="9"/>
      <c r="F636" s="9"/>
      <c r="G636" s="9"/>
    </row>
    <row r="637" spans="1:7" ht="16.5" customHeight="1" x14ac:dyDescent="0.2">
      <c r="A637" s="9" t="str">
        <f t="shared" si="134"/>
        <v/>
      </c>
      <c r="C637" s="9" t="str">
        <f t="shared" si="135"/>
        <v/>
      </c>
      <c r="D637" s="9"/>
      <c r="E637" s="9"/>
      <c r="F637" s="9"/>
      <c r="G637" s="9"/>
    </row>
    <row r="638" spans="1:7" ht="16.5" customHeight="1" x14ac:dyDescent="0.2">
      <c r="A638" s="9" t="str">
        <f t="shared" si="134"/>
        <v/>
      </c>
      <c r="C638" s="9" t="str">
        <f t="shared" si="135"/>
        <v/>
      </c>
      <c r="D638" s="9"/>
      <c r="E638" s="9"/>
      <c r="F638" s="9"/>
      <c r="G638" s="9"/>
    </row>
    <row r="639" spans="1:7" ht="16.5" customHeight="1" x14ac:dyDescent="0.2">
      <c r="A639" s="9" t="str">
        <f t="shared" si="134"/>
        <v/>
      </c>
      <c r="C639" s="9" t="str">
        <f t="shared" si="135"/>
        <v/>
      </c>
      <c r="D639" s="9"/>
      <c r="E639" s="9"/>
      <c r="F639" s="9"/>
      <c r="G639" s="9"/>
    </row>
    <row r="640" spans="1:7" ht="16.5" customHeight="1" x14ac:dyDescent="0.2">
      <c r="A640" s="9" t="str">
        <f t="shared" si="134"/>
        <v/>
      </c>
      <c r="C640" s="9" t="str">
        <f t="shared" si="135"/>
        <v/>
      </c>
      <c r="D640" s="9"/>
      <c r="E640" s="9"/>
      <c r="F640" s="9"/>
      <c r="G640" s="9"/>
    </row>
    <row r="641" spans="1:7" ht="16.5" customHeight="1" x14ac:dyDescent="0.2">
      <c r="A641" s="9" t="str">
        <f t="shared" si="134"/>
        <v/>
      </c>
      <c r="C641" s="9" t="str">
        <f t="shared" si="135"/>
        <v/>
      </c>
      <c r="D641" s="9"/>
      <c r="E641" s="9"/>
      <c r="F641" s="9"/>
      <c r="G641" s="9"/>
    </row>
    <row r="642" spans="1:7" ht="16.5" customHeight="1" x14ac:dyDescent="0.2">
      <c r="A642" s="9" t="str">
        <f t="shared" si="134"/>
        <v/>
      </c>
      <c r="C642" s="9" t="str">
        <f t="shared" si="135"/>
        <v/>
      </c>
      <c r="D642" s="9"/>
      <c r="E642" s="9"/>
      <c r="F642" s="9"/>
      <c r="G642" s="9"/>
    </row>
    <row r="643" spans="1:7" ht="16.5" customHeight="1" x14ac:dyDescent="0.2">
      <c r="A643" s="9" t="str">
        <f t="shared" si="134"/>
        <v/>
      </c>
      <c r="C643" s="9" t="str">
        <f t="shared" si="135"/>
        <v/>
      </c>
      <c r="D643" s="9"/>
      <c r="E643" s="9"/>
      <c r="F643" s="9"/>
      <c r="G643" s="9"/>
    </row>
    <row r="644" spans="1:7" ht="16.5" customHeight="1" x14ac:dyDescent="0.2">
      <c r="A644" s="9" t="str">
        <f t="shared" si="134"/>
        <v/>
      </c>
      <c r="C644" s="9" t="str">
        <f t="shared" si="135"/>
        <v/>
      </c>
      <c r="D644" s="9"/>
      <c r="E644" s="9"/>
      <c r="F644" s="9"/>
      <c r="G644" s="9"/>
    </row>
    <row r="645" spans="1:7" ht="16.5" customHeight="1" x14ac:dyDescent="0.2">
      <c r="A645" s="9" t="str">
        <f t="shared" si="134"/>
        <v/>
      </c>
      <c r="C645" s="9" t="str">
        <f t="shared" si="135"/>
        <v/>
      </c>
      <c r="D645" s="9"/>
      <c r="E645" s="9"/>
      <c r="F645" s="9"/>
      <c r="G645" s="9"/>
    </row>
    <row r="646" spans="1:7" ht="16.5" customHeight="1" x14ac:dyDescent="0.2">
      <c r="A646" s="9" t="str">
        <f t="shared" si="134"/>
        <v/>
      </c>
      <c r="C646" s="9" t="str">
        <f t="shared" si="135"/>
        <v/>
      </c>
      <c r="D646" s="9"/>
      <c r="E646" s="9"/>
      <c r="F646" s="9"/>
      <c r="G646" s="9"/>
    </row>
    <row r="647" spans="1:7" ht="16.5" customHeight="1" x14ac:dyDescent="0.2">
      <c r="A647" s="9" t="str">
        <f t="shared" si="134"/>
        <v/>
      </c>
      <c r="C647" s="9" t="str">
        <f t="shared" si="135"/>
        <v/>
      </c>
      <c r="D647" s="9"/>
      <c r="E647" s="9"/>
      <c r="F647" s="9"/>
      <c r="G647" s="9"/>
    </row>
    <row r="648" spans="1:7" ht="16.5" customHeight="1" x14ac:dyDescent="0.2">
      <c r="A648" s="9" t="str">
        <f t="shared" si="134"/>
        <v/>
      </c>
      <c r="C648" s="9" t="str">
        <f t="shared" si="135"/>
        <v/>
      </c>
      <c r="D648" s="9"/>
      <c r="E648" s="9"/>
      <c r="F648" s="9"/>
      <c r="G648" s="9"/>
    </row>
    <row r="649" spans="1:7" ht="16.5" customHeight="1" x14ac:dyDescent="0.2">
      <c r="A649" s="9" t="str">
        <f t="shared" si="134"/>
        <v/>
      </c>
      <c r="C649" s="9" t="str">
        <f t="shared" si="135"/>
        <v/>
      </c>
      <c r="D649" s="9"/>
      <c r="E649" s="9"/>
      <c r="F649" s="9"/>
      <c r="G649" s="9"/>
    </row>
    <row r="650" spans="1:7" ht="16.5" customHeight="1" x14ac:dyDescent="0.2">
      <c r="A650" s="9" t="str">
        <f t="shared" si="134"/>
        <v/>
      </c>
      <c r="C650" s="9" t="str">
        <f t="shared" si="135"/>
        <v/>
      </c>
      <c r="D650" s="9"/>
      <c r="E650" s="9"/>
      <c r="F650" s="9"/>
      <c r="G650" s="9"/>
    </row>
    <row r="651" spans="1:7" ht="16.5" customHeight="1" x14ac:dyDescent="0.2">
      <c r="A651" s="9" t="str">
        <f t="shared" si="134"/>
        <v/>
      </c>
      <c r="C651" s="9" t="str">
        <f t="shared" si="135"/>
        <v/>
      </c>
      <c r="D651" s="9"/>
      <c r="E651" s="9"/>
      <c r="F651" s="9"/>
      <c r="G651" s="9"/>
    </row>
    <row r="652" spans="1:7" ht="16.5" customHeight="1" x14ac:dyDescent="0.2">
      <c r="A652" s="9" t="str">
        <f t="shared" si="134"/>
        <v/>
      </c>
      <c r="C652" s="9" t="str">
        <f t="shared" si="135"/>
        <v/>
      </c>
      <c r="D652" s="9"/>
      <c r="E652" s="9"/>
      <c r="F652" s="9"/>
      <c r="G652" s="9"/>
    </row>
    <row r="653" spans="1:7" ht="16.5" customHeight="1" x14ac:dyDescent="0.2">
      <c r="A653" s="9" t="str">
        <f t="shared" si="134"/>
        <v/>
      </c>
      <c r="C653" s="9" t="str">
        <f t="shared" si="135"/>
        <v/>
      </c>
      <c r="D653" s="9"/>
      <c r="E653" s="9"/>
      <c r="F653" s="9"/>
      <c r="G653" s="9"/>
    </row>
    <row r="654" spans="1:7" ht="16.5" customHeight="1" x14ac:dyDescent="0.2">
      <c r="A654" s="9" t="str">
        <f t="shared" si="134"/>
        <v/>
      </c>
      <c r="C654" s="9" t="str">
        <f t="shared" si="135"/>
        <v/>
      </c>
      <c r="D654" s="9"/>
      <c r="E654" s="9"/>
      <c r="F654" s="9"/>
      <c r="G654" s="9"/>
    </row>
    <row r="655" spans="1:7" ht="16.5" customHeight="1" x14ac:dyDescent="0.2">
      <c r="A655" s="9" t="str">
        <f t="shared" si="134"/>
        <v/>
      </c>
      <c r="C655" s="9" t="str">
        <f t="shared" si="135"/>
        <v/>
      </c>
      <c r="D655" s="9"/>
      <c r="E655" s="9"/>
      <c r="F655" s="9"/>
      <c r="G655" s="9"/>
    </row>
    <row r="656" spans="1:7" ht="16.5" customHeight="1" x14ac:dyDescent="0.2">
      <c r="A656" s="9" t="str">
        <f t="shared" si="134"/>
        <v/>
      </c>
      <c r="C656" s="9" t="str">
        <f t="shared" si="135"/>
        <v/>
      </c>
      <c r="D656" s="9"/>
      <c r="E656" s="9"/>
      <c r="F656" s="9"/>
      <c r="G656" s="9"/>
    </row>
    <row r="657" spans="1:7" ht="16.5" customHeight="1" x14ac:dyDescent="0.2">
      <c r="A657" s="9" t="str">
        <f t="shared" si="134"/>
        <v/>
      </c>
      <c r="C657" s="9" t="str">
        <f t="shared" si="135"/>
        <v/>
      </c>
      <c r="D657" s="9"/>
      <c r="E657" s="9"/>
      <c r="F657" s="9"/>
      <c r="G657" s="9"/>
    </row>
    <row r="658" spans="1:7" ht="16.5" customHeight="1" x14ac:dyDescent="0.2">
      <c r="A658" s="9" t="str">
        <f t="shared" si="134"/>
        <v/>
      </c>
      <c r="C658" s="9" t="str">
        <f t="shared" si="135"/>
        <v/>
      </c>
      <c r="D658" s="9"/>
      <c r="E658" s="9"/>
      <c r="F658" s="9"/>
      <c r="G658" s="9"/>
    </row>
    <row r="659" spans="1:7" ht="16.5" customHeight="1" x14ac:dyDescent="0.2">
      <c r="A659" s="9" t="str">
        <f t="shared" si="134"/>
        <v/>
      </c>
      <c r="C659" s="9" t="str">
        <f t="shared" si="135"/>
        <v/>
      </c>
      <c r="D659" s="9"/>
      <c r="E659" s="9"/>
      <c r="F659" s="9"/>
      <c r="G659" s="9"/>
    </row>
    <row r="660" spans="1:7" ht="16.5" customHeight="1" x14ac:dyDescent="0.2">
      <c r="A660" s="9" t="str">
        <f t="shared" si="134"/>
        <v/>
      </c>
      <c r="C660" s="9" t="str">
        <f t="shared" si="135"/>
        <v/>
      </c>
      <c r="D660" s="9"/>
      <c r="E660" s="9"/>
      <c r="F660" s="9"/>
      <c r="G660" s="9"/>
    </row>
    <row r="661" spans="1:7" ht="16.5" customHeight="1" x14ac:dyDescent="0.2">
      <c r="A661" s="9" t="str">
        <f t="shared" si="134"/>
        <v/>
      </c>
      <c r="C661" s="9" t="str">
        <f t="shared" si="135"/>
        <v/>
      </c>
      <c r="D661" s="9"/>
      <c r="E661" s="9"/>
      <c r="F661" s="9"/>
      <c r="G661" s="9"/>
    </row>
    <row r="662" spans="1:7" ht="16.5" customHeight="1" x14ac:dyDescent="0.2">
      <c r="A662" s="9" t="str">
        <f t="shared" si="134"/>
        <v/>
      </c>
      <c r="C662" s="9" t="str">
        <f t="shared" si="135"/>
        <v/>
      </c>
      <c r="D662" s="9"/>
      <c r="E662" s="9"/>
      <c r="F662" s="9"/>
      <c r="G662" s="9"/>
    </row>
    <row r="663" spans="1:7" ht="16.5" customHeight="1" x14ac:dyDescent="0.2">
      <c r="A663" s="9" t="str">
        <f t="shared" si="134"/>
        <v/>
      </c>
      <c r="C663" s="9" t="str">
        <f t="shared" si="135"/>
        <v/>
      </c>
      <c r="D663" s="9"/>
      <c r="E663" s="9"/>
      <c r="F663" s="9"/>
      <c r="G663" s="9"/>
    </row>
    <row r="664" spans="1:7" ht="16.5" customHeight="1" x14ac:dyDescent="0.2">
      <c r="A664" s="9" t="str">
        <f t="shared" si="134"/>
        <v/>
      </c>
      <c r="C664" s="9" t="str">
        <f t="shared" si="135"/>
        <v/>
      </c>
      <c r="D664" s="9"/>
      <c r="E664" s="9"/>
      <c r="F664" s="9"/>
      <c r="G664" s="9"/>
    </row>
    <row r="665" spans="1:7" ht="16.5" customHeight="1" x14ac:dyDescent="0.2">
      <c r="A665" s="9" t="str">
        <f t="shared" si="134"/>
        <v/>
      </c>
      <c r="C665" s="9" t="str">
        <f t="shared" si="135"/>
        <v/>
      </c>
      <c r="D665" s="9"/>
      <c r="E665" s="9"/>
      <c r="F665" s="9"/>
      <c r="G665" s="9"/>
    </row>
    <row r="666" spans="1:7" ht="16.5" customHeight="1" x14ac:dyDescent="0.2">
      <c r="A666" s="9" t="str">
        <f t="shared" si="134"/>
        <v/>
      </c>
      <c r="C666" s="9" t="str">
        <f t="shared" si="135"/>
        <v/>
      </c>
      <c r="D666" s="9"/>
      <c r="E666" s="9"/>
      <c r="F666" s="9"/>
      <c r="G666" s="9"/>
    </row>
    <row r="667" spans="1:7" ht="16.5" customHeight="1" x14ac:dyDescent="0.2">
      <c r="A667" s="9" t="str">
        <f t="shared" si="134"/>
        <v/>
      </c>
      <c r="C667" s="9" t="str">
        <f t="shared" si="135"/>
        <v/>
      </c>
      <c r="D667" s="9"/>
      <c r="E667" s="9"/>
      <c r="F667" s="9"/>
      <c r="G667" s="9"/>
    </row>
    <row r="668" spans="1:7" ht="16.5" customHeight="1" x14ac:dyDescent="0.2">
      <c r="A668" s="9" t="str">
        <f t="shared" si="134"/>
        <v/>
      </c>
      <c r="C668" s="9" t="str">
        <f t="shared" si="135"/>
        <v/>
      </c>
      <c r="D668" s="9"/>
      <c r="E668" s="9"/>
      <c r="F668" s="9"/>
      <c r="G668" s="9"/>
    </row>
    <row r="669" spans="1:7" ht="16.5" customHeight="1" x14ac:dyDescent="0.2">
      <c r="A669" s="9" t="str">
        <f t="shared" si="134"/>
        <v/>
      </c>
      <c r="C669" s="9" t="str">
        <f t="shared" si="135"/>
        <v/>
      </c>
      <c r="D669" s="9"/>
      <c r="E669" s="9"/>
      <c r="F669" s="9"/>
      <c r="G669" s="9"/>
    </row>
    <row r="670" spans="1:7" ht="16.5" customHeight="1" x14ac:dyDescent="0.2">
      <c r="A670" s="9" t="str">
        <f t="shared" si="134"/>
        <v/>
      </c>
      <c r="C670" s="9" t="str">
        <f t="shared" si="135"/>
        <v/>
      </c>
      <c r="D670" s="9"/>
      <c r="E670" s="9"/>
      <c r="F670" s="9"/>
      <c r="G670" s="9"/>
    </row>
    <row r="671" spans="1:7" ht="16.5" customHeight="1" x14ac:dyDescent="0.2">
      <c r="A671" s="9" t="str">
        <f t="shared" ref="A671:A734" si="136">IF(B671="","",A670+1)</f>
        <v/>
      </c>
      <c r="C671" s="9" t="str">
        <f t="shared" ref="C671:C734" si="137">IF(B671="","","vs")</f>
        <v/>
      </c>
      <c r="D671" s="9"/>
      <c r="E671" s="9"/>
      <c r="F671" s="9"/>
      <c r="G671" s="9"/>
    </row>
    <row r="672" spans="1:7" ht="16.5" customHeight="1" x14ac:dyDescent="0.2">
      <c r="A672" s="9" t="str">
        <f t="shared" si="136"/>
        <v/>
      </c>
      <c r="C672" s="9" t="str">
        <f t="shared" si="137"/>
        <v/>
      </c>
      <c r="D672" s="9"/>
      <c r="E672" s="9"/>
      <c r="F672" s="9"/>
      <c r="G672" s="9"/>
    </row>
    <row r="673" spans="1:7" ht="16.5" customHeight="1" x14ac:dyDescent="0.2">
      <c r="A673" s="9" t="str">
        <f t="shared" si="136"/>
        <v/>
      </c>
      <c r="C673" s="9" t="str">
        <f t="shared" si="137"/>
        <v/>
      </c>
      <c r="D673" s="9"/>
      <c r="E673" s="9"/>
      <c r="F673" s="9"/>
      <c r="G673" s="9"/>
    </row>
    <row r="674" spans="1:7" ht="16.5" customHeight="1" x14ac:dyDescent="0.2">
      <c r="A674" s="9" t="str">
        <f t="shared" si="136"/>
        <v/>
      </c>
      <c r="C674" s="9" t="str">
        <f t="shared" si="137"/>
        <v/>
      </c>
      <c r="D674" s="9"/>
      <c r="E674" s="9"/>
      <c r="F674" s="9"/>
      <c r="G674" s="9"/>
    </row>
    <row r="675" spans="1:7" ht="16.5" customHeight="1" x14ac:dyDescent="0.2">
      <c r="A675" s="9" t="str">
        <f t="shared" si="136"/>
        <v/>
      </c>
      <c r="C675" s="9" t="str">
        <f t="shared" si="137"/>
        <v/>
      </c>
      <c r="D675" s="9"/>
      <c r="E675" s="9"/>
      <c r="F675" s="9"/>
      <c r="G675" s="9"/>
    </row>
    <row r="676" spans="1:7" ht="16.5" customHeight="1" x14ac:dyDescent="0.2">
      <c r="A676" s="9" t="str">
        <f t="shared" si="136"/>
        <v/>
      </c>
      <c r="C676" s="9" t="str">
        <f t="shared" si="137"/>
        <v/>
      </c>
      <c r="D676" s="9"/>
      <c r="E676" s="9"/>
      <c r="F676" s="9"/>
      <c r="G676" s="9"/>
    </row>
    <row r="677" spans="1:7" ht="16.5" customHeight="1" x14ac:dyDescent="0.2">
      <c r="A677" s="9" t="str">
        <f t="shared" si="136"/>
        <v/>
      </c>
      <c r="C677" s="9" t="str">
        <f t="shared" si="137"/>
        <v/>
      </c>
      <c r="D677" s="9"/>
      <c r="E677" s="9"/>
      <c r="F677" s="9"/>
      <c r="G677" s="9"/>
    </row>
    <row r="678" spans="1:7" ht="16.5" customHeight="1" x14ac:dyDescent="0.2">
      <c r="A678" s="9" t="str">
        <f t="shared" si="136"/>
        <v/>
      </c>
      <c r="C678" s="9" t="str">
        <f t="shared" si="137"/>
        <v/>
      </c>
      <c r="D678" s="9"/>
      <c r="E678" s="9"/>
      <c r="F678" s="9"/>
      <c r="G678" s="9"/>
    </row>
    <row r="679" spans="1:7" ht="16.5" customHeight="1" x14ac:dyDescent="0.2">
      <c r="A679" s="9" t="str">
        <f t="shared" si="136"/>
        <v/>
      </c>
      <c r="C679" s="9" t="str">
        <f t="shared" si="137"/>
        <v/>
      </c>
      <c r="D679" s="9"/>
      <c r="E679" s="9"/>
      <c r="F679" s="9"/>
      <c r="G679" s="9"/>
    </row>
    <row r="680" spans="1:7" ht="16.5" customHeight="1" x14ac:dyDescent="0.2">
      <c r="A680" s="9" t="str">
        <f t="shared" si="136"/>
        <v/>
      </c>
      <c r="C680" s="9" t="str">
        <f t="shared" si="137"/>
        <v/>
      </c>
      <c r="D680" s="9"/>
      <c r="E680" s="9"/>
      <c r="F680" s="9"/>
      <c r="G680" s="9"/>
    </row>
    <row r="681" spans="1:7" ht="16.5" customHeight="1" x14ac:dyDescent="0.2">
      <c r="A681" s="9" t="str">
        <f t="shared" si="136"/>
        <v/>
      </c>
      <c r="C681" s="9" t="str">
        <f t="shared" si="137"/>
        <v/>
      </c>
      <c r="D681" s="9"/>
      <c r="E681" s="9"/>
      <c r="F681" s="9"/>
      <c r="G681" s="9"/>
    </row>
    <row r="682" spans="1:7" ht="16.5" customHeight="1" x14ac:dyDescent="0.2">
      <c r="A682" s="9" t="str">
        <f t="shared" si="136"/>
        <v/>
      </c>
      <c r="C682" s="9" t="str">
        <f t="shared" si="137"/>
        <v/>
      </c>
      <c r="D682" s="9"/>
      <c r="E682" s="9"/>
      <c r="F682" s="9"/>
      <c r="G682" s="9"/>
    </row>
    <row r="683" spans="1:7" ht="16.5" customHeight="1" x14ac:dyDescent="0.2">
      <c r="A683" s="9" t="str">
        <f t="shared" si="136"/>
        <v/>
      </c>
      <c r="C683" s="9" t="str">
        <f t="shared" si="137"/>
        <v/>
      </c>
      <c r="D683" s="9"/>
      <c r="E683" s="9"/>
      <c r="F683" s="9"/>
      <c r="G683" s="9"/>
    </row>
    <row r="684" spans="1:7" ht="16.5" customHeight="1" x14ac:dyDescent="0.2">
      <c r="A684" s="9" t="str">
        <f t="shared" si="136"/>
        <v/>
      </c>
      <c r="C684" s="9" t="str">
        <f t="shared" si="137"/>
        <v/>
      </c>
      <c r="D684" s="9"/>
      <c r="E684" s="9"/>
      <c r="F684" s="9"/>
      <c r="G684" s="9"/>
    </row>
    <row r="685" spans="1:7" ht="16.5" customHeight="1" x14ac:dyDescent="0.2">
      <c r="A685" s="9" t="str">
        <f t="shared" si="136"/>
        <v/>
      </c>
      <c r="C685" s="9" t="str">
        <f t="shared" si="137"/>
        <v/>
      </c>
      <c r="D685" s="9"/>
      <c r="E685" s="9"/>
      <c r="F685" s="9"/>
      <c r="G685" s="9"/>
    </row>
    <row r="686" spans="1:7" ht="16.5" customHeight="1" x14ac:dyDescent="0.2">
      <c r="A686" s="9" t="str">
        <f t="shared" si="136"/>
        <v/>
      </c>
      <c r="C686" s="9" t="str">
        <f t="shared" si="137"/>
        <v/>
      </c>
      <c r="D686" s="9"/>
      <c r="E686" s="9"/>
      <c r="F686" s="9"/>
      <c r="G686" s="9"/>
    </row>
    <row r="687" spans="1:7" ht="16.5" customHeight="1" x14ac:dyDescent="0.2">
      <c r="A687" s="9" t="str">
        <f t="shared" si="136"/>
        <v/>
      </c>
      <c r="C687" s="9" t="str">
        <f t="shared" si="137"/>
        <v/>
      </c>
      <c r="D687" s="9"/>
      <c r="E687" s="9"/>
      <c r="F687" s="9"/>
      <c r="G687" s="9"/>
    </row>
    <row r="688" spans="1:7" ht="16.5" customHeight="1" x14ac:dyDescent="0.2">
      <c r="A688" s="9" t="str">
        <f t="shared" si="136"/>
        <v/>
      </c>
      <c r="C688" s="9" t="str">
        <f t="shared" si="137"/>
        <v/>
      </c>
      <c r="D688" s="9"/>
      <c r="E688" s="9"/>
      <c r="F688" s="9"/>
      <c r="G688" s="9"/>
    </row>
    <row r="689" spans="1:7" ht="16.5" customHeight="1" x14ac:dyDescent="0.2">
      <c r="A689" s="9" t="str">
        <f t="shared" si="136"/>
        <v/>
      </c>
      <c r="C689" s="9" t="str">
        <f t="shared" si="137"/>
        <v/>
      </c>
      <c r="D689" s="9"/>
      <c r="E689" s="9"/>
      <c r="F689" s="9"/>
      <c r="G689" s="9"/>
    </row>
    <row r="690" spans="1:7" ht="16.5" customHeight="1" x14ac:dyDescent="0.2">
      <c r="A690" s="9" t="str">
        <f t="shared" si="136"/>
        <v/>
      </c>
      <c r="C690" s="9" t="str">
        <f t="shared" si="137"/>
        <v/>
      </c>
      <c r="D690" s="9"/>
      <c r="E690" s="9"/>
      <c r="F690" s="9"/>
      <c r="G690" s="9"/>
    </row>
    <row r="691" spans="1:7" ht="16.5" customHeight="1" x14ac:dyDescent="0.2">
      <c r="A691" s="9" t="str">
        <f t="shared" si="136"/>
        <v/>
      </c>
      <c r="C691" s="9" t="str">
        <f t="shared" si="137"/>
        <v/>
      </c>
      <c r="D691" s="9"/>
      <c r="E691" s="9"/>
      <c r="F691" s="9"/>
      <c r="G691" s="9"/>
    </row>
    <row r="692" spans="1:7" ht="16.5" customHeight="1" x14ac:dyDescent="0.2">
      <c r="A692" s="9" t="str">
        <f t="shared" si="136"/>
        <v/>
      </c>
      <c r="C692" s="9" t="str">
        <f t="shared" si="137"/>
        <v/>
      </c>
      <c r="D692" s="9"/>
      <c r="E692" s="9"/>
      <c r="F692" s="9"/>
      <c r="G692" s="9"/>
    </row>
    <row r="693" spans="1:7" ht="16.5" customHeight="1" x14ac:dyDescent="0.2">
      <c r="A693" s="9" t="str">
        <f t="shared" si="136"/>
        <v/>
      </c>
      <c r="C693" s="9" t="str">
        <f t="shared" si="137"/>
        <v/>
      </c>
      <c r="D693" s="9"/>
      <c r="E693" s="9"/>
      <c r="F693" s="9"/>
      <c r="G693" s="9"/>
    </row>
    <row r="694" spans="1:7" ht="16.5" customHeight="1" x14ac:dyDescent="0.2">
      <c r="A694" s="9" t="str">
        <f t="shared" si="136"/>
        <v/>
      </c>
      <c r="C694" s="9" t="str">
        <f t="shared" si="137"/>
        <v/>
      </c>
      <c r="D694" s="9"/>
      <c r="E694" s="9"/>
      <c r="F694" s="9"/>
      <c r="G694" s="9"/>
    </row>
    <row r="695" spans="1:7" ht="16.5" customHeight="1" x14ac:dyDescent="0.2">
      <c r="A695" s="9" t="str">
        <f t="shared" si="136"/>
        <v/>
      </c>
      <c r="C695" s="9" t="str">
        <f t="shared" si="137"/>
        <v/>
      </c>
      <c r="D695" s="9"/>
      <c r="E695" s="9"/>
      <c r="F695" s="9"/>
      <c r="G695" s="9"/>
    </row>
    <row r="696" spans="1:7" ht="16.5" customHeight="1" x14ac:dyDescent="0.2">
      <c r="A696" s="9" t="str">
        <f t="shared" si="136"/>
        <v/>
      </c>
      <c r="C696" s="9" t="str">
        <f t="shared" si="137"/>
        <v/>
      </c>
      <c r="D696" s="9"/>
      <c r="E696" s="9"/>
      <c r="F696" s="9"/>
      <c r="G696" s="9"/>
    </row>
    <row r="697" spans="1:7" ht="16.5" customHeight="1" x14ac:dyDescent="0.2">
      <c r="A697" s="9" t="str">
        <f t="shared" si="136"/>
        <v/>
      </c>
      <c r="C697" s="9" t="str">
        <f t="shared" si="137"/>
        <v/>
      </c>
      <c r="D697" s="9"/>
      <c r="E697" s="9"/>
      <c r="F697" s="9"/>
      <c r="G697" s="9"/>
    </row>
    <row r="698" spans="1:7" ht="16.5" customHeight="1" x14ac:dyDescent="0.2">
      <c r="A698" s="9" t="str">
        <f t="shared" si="136"/>
        <v/>
      </c>
      <c r="C698" s="9" t="str">
        <f t="shared" si="137"/>
        <v/>
      </c>
      <c r="D698" s="9"/>
      <c r="E698" s="9"/>
      <c r="F698" s="9"/>
      <c r="G698" s="9"/>
    </row>
    <row r="699" spans="1:7" ht="16.5" customHeight="1" x14ac:dyDescent="0.2">
      <c r="A699" s="9" t="str">
        <f t="shared" si="136"/>
        <v/>
      </c>
      <c r="C699" s="9" t="str">
        <f t="shared" si="137"/>
        <v/>
      </c>
      <c r="D699" s="9"/>
      <c r="E699" s="9"/>
      <c r="F699" s="9"/>
      <c r="G699" s="9"/>
    </row>
    <row r="700" spans="1:7" ht="16.5" customHeight="1" x14ac:dyDescent="0.2">
      <c r="A700" s="9" t="str">
        <f t="shared" si="136"/>
        <v/>
      </c>
      <c r="C700" s="9" t="str">
        <f t="shared" si="137"/>
        <v/>
      </c>
      <c r="D700" s="9"/>
      <c r="E700" s="9"/>
      <c r="F700" s="9"/>
      <c r="G700" s="9"/>
    </row>
    <row r="701" spans="1:7" ht="16.5" customHeight="1" x14ac:dyDescent="0.2">
      <c r="A701" s="9" t="str">
        <f t="shared" si="136"/>
        <v/>
      </c>
      <c r="C701" s="9" t="str">
        <f t="shared" si="137"/>
        <v/>
      </c>
      <c r="D701" s="9"/>
      <c r="E701" s="9"/>
      <c r="F701" s="9"/>
      <c r="G701" s="9"/>
    </row>
    <row r="702" spans="1:7" ht="16.5" customHeight="1" x14ac:dyDescent="0.2">
      <c r="A702" s="9" t="str">
        <f t="shared" si="136"/>
        <v/>
      </c>
      <c r="C702" s="9" t="str">
        <f t="shared" si="137"/>
        <v/>
      </c>
      <c r="D702" s="9"/>
      <c r="E702" s="9"/>
      <c r="F702" s="9"/>
      <c r="G702" s="9"/>
    </row>
    <row r="703" spans="1:7" ht="16.5" customHeight="1" x14ac:dyDescent="0.2">
      <c r="A703" s="9" t="str">
        <f t="shared" si="136"/>
        <v/>
      </c>
      <c r="C703" s="9" t="str">
        <f t="shared" si="137"/>
        <v/>
      </c>
      <c r="D703" s="9"/>
      <c r="E703" s="9"/>
      <c r="F703" s="9"/>
      <c r="G703" s="9"/>
    </row>
    <row r="704" spans="1:7" ht="16.5" customHeight="1" x14ac:dyDescent="0.2">
      <c r="A704" s="9" t="str">
        <f t="shared" si="136"/>
        <v/>
      </c>
      <c r="C704" s="9" t="str">
        <f t="shared" si="137"/>
        <v/>
      </c>
      <c r="D704" s="9"/>
      <c r="E704" s="9"/>
      <c r="F704" s="9"/>
      <c r="G704" s="9"/>
    </row>
    <row r="705" spans="1:7" ht="16.5" customHeight="1" x14ac:dyDescent="0.2">
      <c r="A705" s="9" t="str">
        <f t="shared" si="136"/>
        <v/>
      </c>
      <c r="C705" s="9" t="str">
        <f t="shared" si="137"/>
        <v/>
      </c>
      <c r="D705" s="9"/>
      <c r="E705" s="9"/>
      <c r="F705" s="9"/>
      <c r="G705" s="9"/>
    </row>
    <row r="706" spans="1:7" ht="16.5" customHeight="1" x14ac:dyDescent="0.2">
      <c r="A706" s="9" t="str">
        <f t="shared" si="136"/>
        <v/>
      </c>
      <c r="C706" s="9" t="str">
        <f t="shared" si="137"/>
        <v/>
      </c>
      <c r="D706" s="9"/>
      <c r="E706" s="9"/>
      <c r="F706" s="9"/>
      <c r="G706" s="9"/>
    </row>
    <row r="707" spans="1:7" ht="16.5" customHeight="1" x14ac:dyDescent="0.2">
      <c r="A707" s="9" t="str">
        <f t="shared" si="136"/>
        <v/>
      </c>
      <c r="C707" s="9" t="str">
        <f t="shared" si="137"/>
        <v/>
      </c>
      <c r="D707" s="9"/>
      <c r="E707" s="9"/>
      <c r="F707" s="9"/>
      <c r="G707" s="9"/>
    </row>
    <row r="708" spans="1:7" ht="16.5" customHeight="1" x14ac:dyDescent="0.2">
      <c r="A708" s="9" t="str">
        <f t="shared" si="136"/>
        <v/>
      </c>
      <c r="C708" s="9" t="str">
        <f t="shared" si="137"/>
        <v/>
      </c>
      <c r="D708" s="9"/>
      <c r="E708" s="9"/>
      <c r="F708" s="9"/>
      <c r="G708" s="9"/>
    </row>
    <row r="709" spans="1:7" ht="16.5" customHeight="1" x14ac:dyDescent="0.2">
      <c r="A709" s="9" t="str">
        <f t="shared" si="136"/>
        <v/>
      </c>
      <c r="C709" s="9" t="str">
        <f t="shared" si="137"/>
        <v/>
      </c>
      <c r="D709" s="9"/>
      <c r="E709" s="9"/>
      <c r="F709" s="9"/>
      <c r="G709" s="9"/>
    </row>
    <row r="710" spans="1:7" ht="16.5" customHeight="1" x14ac:dyDescent="0.2">
      <c r="A710" s="9" t="str">
        <f t="shared" si="136"/>
        <v/>
      </c>
      <c r="C710" s="9" t="str">
        <f t="shared" si="137"/>
        <v/>
      </c>
      <c r="D710" s="9"/>
      <c r="E710" s="9"/>
      <c r="F710" s="9"/>
      <c r="G710" s="9"/>
    </row>
    <row r="711" spans="1:7" ht="16.5" customHeight="1" x14ac:dyDescent="0.2">
      <c r="A711" s="9" t="str">
        <f t="shared" si="136"/>
        <v/>
      </c>
      <c r="C711" s="9" t="str">
        <f t="shared" si="137"/>
        <v/>
      </c>
      <c r="D711" s="9"/>
      <c r="E711" s="9"/>
      <c r="F711" s="9"/>
      <c r="G711" s="9"/>
    </row>
    <row r="712" spans="1:7" ht="16.5" customHeight="1" x14ac:dyDescent="0.2">
      <c r="A712" s="9" t="str">
        <f t="shared" si="136"/>
        <v/>
      </c>
      <c r="C712" s="9" t="str">
        <f t="shared" si="137"/>
        <v/>
      </c>
      <c r="D712" s="9"/>
      <c r="E712" s="9"/>
      <c r="F712" s="9"/>
      <c r="G712" s="9"/>
    </row>
    <row r="713" spans="1:7" ht="16.5" customHeight="1" x14ac:dyDescent="0.2">
      <c r="A713" s="9" t="str">
        <f t="shared" si="136"/>
        <v/>
      </c>
      <c r="C713" s="9" t="str">
        <f t="shared" si="137"/>
        <v/>
      </c>
      <c r="D713" s="9"/>
      <c r="E713" s="9"/>
      <c r="F713" s="9"/>
      <c r="G713" s="9"/>
    </row>
    <row r="714" spans="1:7" ht="16.5" customHeight="1" x14ac:dyDescent="0.2">
      <c r="A714" s="9" t="str">
        <f t="shared" si="136"/>
        <v/>
      </c>
      <c r="C714" s="9" t="str">
        <f t="shared" si="137"/>
        <v/>
      </c>
      <c r="D714" s="9"/>
      <c r="E714" s="9"/>
      <c r="F714" s="9"/>
      <c r="G714" s="9"/>
    </row>
    <row r="715" spans="1:7" ht="16.5" customHeight="1" x14ac:dyDescent="0.2">
      <c r="A715" s="9" t="str">
        <f t="shared" si="136"/>
        <v/>
      </c>
      <c r="C715" s="9" t="str">
        <f t="shared" si="137"/>
        <v/>
      </c>
      <c r="D715" s="9"/>
      <c r="E715" s="9"/>
      <c r="F715" s="9"/>
      <c r="G715" s="9"/>
    </row>
    <row r="716" spans="1:7" ht="16.5" customHeight="1" x14ac:dyDescent="0.2">
      <c r="A716" s="9" t="str">
        <f t="shared" si="136"/>
        <v/>
      </c>
      <c r="C716" s="9" t="str">
        <f t="shared" si="137"/>
        <v/>
      </c>
      <c r="D716" s="9"/>
      <c r="E716" s="9"/>
      <c r="F716" s="9"/>
      <c r="G716" s="9"/>
    </row>
    <row r="717" spans="1:7" ht="16.5" customHeight="1" x14ac:dyDescent="0.2">
      <c r="A717" s="9" t="str">
        <f t="shared" si="136"/>
        <v/>
      </c>
      <c r="C717" s="9" t="str">
        <f t="shared" si="137"/>
        <v/>
      </c>
      <c r="D717" s="9"/>
      <c r="E717" s="9"/>
      <c r="F717" s="9"/>
      <c r="G717" s="9"/>
    </row>
    <row r="718" spans="1:7" ht="16.5" customHeight="1" x14ac:dyDescent="0.2">
      <c r="A718" s="9" t="str">
        <f t="shared" si="136"/>
        <v/>
      </c>
      <c r="C718" s="9" t="str">
        <f t="shared" si="137"/>
        <v/>
      </c>
      <c r="D718" s="9"/>
      <c r="E718" s="9"/>
      <c r="F718" s="9"/>
      <c r="G718" s="9"/>
    </row>
    <row r="719" spans="1:7" ht="16.5" customHeight="1" x14ac:dyDescent="0.2">
      <c r="A719" s="9" t="str">
        <f t="shared" si="136"/>
        <v/>
      </c>
      <c r="C719" s="9" t="str">
        <f t="shared" si="137"/>
        <v/>
      </c>
      <c r="D719" s="9"/>
      <c r="E719" s="9"/>
      <c r="F719" s="9"/>
      <c r="G719" s="9"/>
    </row>
    <row r="720" spans="1:7" ht="16.5" customHeight="1" x14ac:dyDescent="0.2">
      <c r="A720" s="9" t="str">
        <f t="shared" si="136"/>
        <v/>
      </c>
      <c r="C720" s="9" t="str">
        <f t="shared" si="137"/>
        <v/>
      </c>
      <c r="D720" s="9"/>
      <c r="E720" s="9"/>
      <c r="F720" s="9"/>
      <c r="G720" s="9"/>
    </row>
    <row r="721" spans="1:7" ht="16.5" customHeight="1" x14ac:dyDescent="0.2">
      <c r="A721" s="9" t="str">
        <f t="shared" si="136"/>
        <v/>
      </c>
      <c r="C721" s="9" t="str">
        <f t="shared" si="137"/>
        <v/>
      </c>
      <c r="D721" s="9"/>
      <c r="E721" s="9"/>
      <c r="F721" s="9"/>
      <c r="G721" s="9"/>
    </row>
    <row r="722" spans="1:7" ht="16.5" customHeight="1" x14ac:dyDescent="0.2">
      <c r="A722" s="9" t="str">
        <f t="shared" si="136"/>
        <v/>
      </c>
      <c r="C722" s="9" t="str">
        <f t="shared" si="137"/>
        <v/>
      </c>
      <c r="D722" s="9"/>
      <c r="E722" s="9"/>
      <c r="F722" s="9"/>
      <c r="G722" s="9"/>
    </row>
    <row r="723" spans="1:7" ht="16.5" customHeight="1" x14ac:dyDescent="0.2">
      <c r="A723" s="9" t="str">
        <f t="shared" si="136"/>
        <v/>
      </c>
      <c r="C723" s="9" t="str">
        <f t="shared" si="137"/>
        <v/>
      </c>
      <c r="D723" s="9"/>
      <c r="E723" s="9"/>
      <c r="F723" s="9"/>
      <c r="G723" s="9"/>
    </row>
    <row r="724" spans="1:7" ht="16.5" customHeight="1" x14ac:dyDescent="0.2">
      <c r="A724" s="9" t="str">
        <f t="shared" si="136"/>
        <v/>
      </c>
      <c r="C724" s="9" t="str">
        <f t="shared" si="137"/>
        <v/>
      </c>
      <c r="D724" s="9"/>
      <c r="E724" s="9"/>
      <c r="F724" s="9"/>
      <c r="G724" s="9"/>
    </row>
    <row r="725" spans="1:7" ht="16.5" customHeight="1" x14ac:dyDescent="0.2">
      <c r="A725" s="9" t="str">
        <f t="shared" si="136"/>
        <v/>
      </c>
      <c r="C725" s="9" t="str">
        <f t="shared" si="137"/>
        <v/>
      </c>
      <c r="D725" s="9"/>
      <c r="E725" s="9"/>
      <c r="F725" s="9"/>
      <c r="G725" s="9"/>
    </row>
    <row r="726" spans="1:7" ht="16.5" customHeight="1" x14ac:dyDescent="0.2">
      <c r="A726" s="9" t="str">
        <f t="shared" si="136"/>
        <v/>
      </c>
      <c r="C726" s="9" t="str">
        <f t="shared" si="137"/>
        <v/>
      </c>
      <c r="D726" s="9"/>
      <c r="E726" s="9"/>
      <c r="F726" s="9"/>
      <c r="G726" s="9"/>
    </row>
    <row r="727" spans="1:7" ht="16.5" customHeight="1" x14ac:dyDescent="0.2">
      <c r="A727" s="9" t="str">
        <f t="shared" si="136"/>
        <v/>
      </c>
      <c r="C727" s="9" t="str">
        <f t="shared" si="137"/>
        <v/>
      </c>
      <c r="D727" s="9"/>
      <c r="E727" s="9"/>
      <c r="F727" s="9"/>
      <c r="G727" s="9"/>
    </row>
    <row r="728" spans="1:7" ht="16.5" customHeight="1" x14ac:dyDescent="0.2">
      <c r="A728" s="9" t="str">
        <f t="shared" si="136"/>
        <v/>
      </c>
      <c r="C728" s="9" t="str">
        <f t="shared" si="137"/>
        <v/>
      </c>
      <c r="D728" s="9"/>
      <c r="E728" s="9"/>
      <c r="F728" s="9"/>
      <c r="G728" s="9"/>
    </row>
    <row r="729" spans="1:7" ht="16.5" customHeight="1" x14ac:dyDescent="0.2">
      <c r="A729" s="9" t="str">
        <f t="shared" si="136"/>
        <v/>
      </c>
      <c r="C729" s="9" t="str">
        <f t="shared" si="137"/>
        <v/>
      </c>
      <c r="D729" s="9"/>
      <c r="E729" s="9"/>
      <c r="F729" s="9"/>
      <c r="G729" s="9"/>
    </row>
    <row r="730" spans="1:7" ht="16.5" customHeight="1" x14ac:dyDescent="0.2">
      <c r="A730" s="9" t="str">
        <f t="shared" si="136"/>
        <v/>
      </c>
      <c r="C730" s="9" t="str">
        <f t="shared" si="137"/>
        <v/>
      </c>
      <c r="D730" s="9"/>
      <c r="E730" s="9"/>
      <c r="F730" s="9"/>
      <c r="G730" s="9"/>
    </row>
    <row r="731" spans="1:7" ht="16.5" customHeight="1" x14ac:dyDescent="0.2">
      <c r="A731" s="9" t="str">
        <f t="shared" si="136"/>
        <v/>
      </c>
      <c r="C731" s="9" t="str">
        <f t="shared" si="137"/>
        <v/>
      </c>
      <c r="D731" s="9"/>
      <c r="E731" s="9"/>
      <c r="F731" s="9"/>
      <c r="G731" s="9"/>
    </row>
    <row r="732" spans="1:7" ht="16.5" customHeight="1" x14ac:dyDescent="0.2">
      <c r="A732" s="9" t="str">
        <f t="shared" si="136"/>
        <v/>
      </c>
      <c r="C732" s="9" t="str">
        <f t="shared" si="137"/>
        <v/>
      </c>
      <c r="D732" s="9"/>
      <c r="E732" s="9"/>
      <c r="F732" s="9"/>
      <c r="G732" s="9"/>
    </row>
    <row r="733" spans="1:7" ht="16.5" customHeight="1" x14ac:dyDescent="0.2">
      <c r="A733" s="9" t="str">
        <f t="shared" si="136"/>
        <v/>
      </c>
      <c r="C733" s="9" t="str">
        <f t="shared" si="137"/>
        <v/>
      </c>
      <c r="D733" s="9"/>
      <c r="E733" s="9"/>
      <c r="F733" s="9"/>
      <c r="G733" s="9"/>
    </row>
    <row r="734" spans="1:7" ht="16.5" customHeight="1" x14ac:dyDescent="0.2">
      <c r="A734" s="9" t="str">
        <f t="shared" si="136"/>
        <v/>
      </c>
      <c r="C734" s="9" t="str">
        <f t="shared" si="137"/>
        <v/>
      </c>
      <c r="D734" s="9"/>
      <c r="E734" s="9"/>
      <c r="F734" s="9"/>
      <c r="G734" s="9"/>
    </row>
    <row r="735" spans="1:7" ht="16.5" customHeight="1" x14ac:dyDescent="0.2">
      <c r="A735" s="9" t="str">
        <f t="shared" ref="A735:A798" si="138">IF(B735="","",A734+1)</f>
        <v/>
      </c>
      <c r="C735" s="9" t="str">
        <f t="shared" ref="C735:C798" si="139">IF(B735="","","vs")</f>
        <v/>
      </c>
      <c r="D735" s="9"/>
      <c r="E735" s="9"/>
      <c r="F735" s="9"/>
      <c r="G735" s="9"/>
    </row>
    <row r="736" spans="1:7" ht="16.5" customHeight="1" x14ac:dyDescent="0.2">
      <c r="A736" s="9" t="str">
        <f t="shared" si="138"/>
        <v/>
      </c>
      <c r="C736" s="9" t="str">
        <f t="shared" si="139"/>
        <v/>
      </c>
      <c r="D736" s="9"/>
      <c r="E736" s="9"/>
      <c r="F736" s="9"/>
      <c r="G736" s="9"/>
    </row>
    <row r="737" spans="1:7" ht="16.5" customHeight="1" x14ac:dyDescent="0.2">
      <c r="A737" s="9" t="str">
        <f t="shared" si="138"/>
        <v/>
      </c>
      <c r="C737" s="9" t="str">
        <f t="shared" si="139"/>
        <v/>
      </c>
      <c r="D737" s="9"/>
      <c r="E737" s="9"/>
      <c r="F737" s="9"/>
      <c r="G737" s="9"/>
    </row>
    <row r="738" spans="1:7" ht="16.5" customHeight="1" x14ac:dyDescent="0.2">
      <c r="A738" s="9" t="str">
        <f t="shared" si="138"/>
        <v/>
      </c>
      <c r="C738" s="9" t="str">
        <f t="shared" si="139"/>
        <v/>
      </c>
      <c r="D738" s="9"/>
      <c r="E738" s="9"/>
      <c r="F738" s="9"/>
      <c r="G738" s="9"/>
    </row>
    <row r="739" spans="1:7" ht="16.5" customHeight="1" x14ac:dyDescent="0.2">
      <c r="A739" s="9" t="str">
        <f t="shared" si="138"/>
        <v/>
      </c>
      <c r="C739" s="9" t="str">
        <f t="shared" si="139"/>
        <v/>
      </c>
      <c r="D739" s="9"/>
      <c r="E739" s="9"/>
      <c r="F739" s="9"/>
      <c r="G739" s="9"/>
    </row>
    <row r="740" spans="1:7" ht="16.5" customHeight="1" x14ac:dyDescent="0.2">
      <c r="A740" s="9" t="str">
        <f t="shared" si="138"/>
        <v/>
      </c>
      <c r="C740" s="9" t="str">
        <f t="shared" si="139"/>
        <v/>
      </c>
      <c r="D740" s="9"/>
      <c r="E740" s="9"/>
      <c r="F740" s="9"/>
      <c r="G740" s="9"/>
    </row>
    <row r="741" spans="1:7" ht="16.5" customHeight="1" x14ac:dyDescent="0.2">
      <c r="A741" s="9" t="str">
        <f t="shared" si="138"/>
        <v/>
      </c>
      <c r="C741" s="9" t="str">
        <f t="shared" si="139"/>
        <v/>
      </c>
      <c r="D741" s="9"/>
      <c r="E741" s="9"/>
      <c r="F741" s="9"/>
      <c r="G741" s="9"/>
    </row>
    <row r="742" spans="1:7" ht="16.5" customHeight="1" x14ac:dyDescent="0.2">
      <c r="A742" s="9" t="str">
        <f t="shared" si="138"/>
        <v/>
      </c>
      <c r="C742" s="9" t="str">
        <f t="shared" si="139"/>
        <v/>
      </c>
      <c r="D742" s="9"/>
      <c r="E742" s="9"/>
      <c r="F742" s="9"/>
      <c r="G742" s="9"/>
    </row>
    <row r="743" spans="1:7" ht="16.5" customHeight="1" x14ac:dyDescent="0.2">
      <c r="A743" s="9" t="str">
        <f t="shared" si="138"/>
        <v/>
      </c>
      <c r="C743" s="9" t="str">
        <f t="shared" si="139"/>
        <v/>
      </c>
      <c r="D743" s="9"/>
      <c r="E743" s="9"/>
      <c r="F743" s="9"/>
      <c r="G743" s="9"/>
    </row>
    <row r="744" spans="1:7" ht="16.5" customHeight="1" x14ac:dyDescent="0.2">
      <c r="A744" s="9" t="str">
        <f t="shared" si="138"/>
        <v/>
      </c>
      <c r="C744" s="9" t="str">
        <f t="shared" si="139"/>
        <v/>
      </c>
      <c r="D744" s="9"/>
      <c r="E744" s="9"/>
      <c r="F744" s="9"/>
      <c r="G744" s="9"/>
    </row>
    <row r="745" spans="1:7" ht="16.5" customHeight="1" x14ac:dyDescent="0.2">
      <c r="A745" s="9" t="str">
        <f t="shared" si="138"/>
        <v/>
      </c>
      <c r="C745" s="9" t="str">
        <f t="shared" si="139"/>
        <v/>
      </c>
      <c r="D745" s="9"/>
      <c r="E745" s="9"/>
      <c r="F745" s="9"/>
      <c r="G745" s="9"/>
    </row>
    <row r="746" spans="1:7" ht="16.5" customHeight="1" x14ac:dyDescent="0.2">
      <c r="A746" s="9" t="str">
        <f t="shared" si="138"/>
        <v/>
      </c>
      <c r="C746" s="9" t="str">
        <f t="shared" si="139"/>
        <v/>
      </c>
      <c r="D746" s="9"/>
      <c r="E746" s="9"/>
      <c r="F746" s="9"/>
      <c r="G746" s="9"/>
    </row>
    <row r="747" spans="1:7" ht="16.5" customHeight="1" x14ac:dyDescent="0.2">
      <c r="A747" s="9" t="str">
        <f t="shared" si="138"/>
        <v/>
      </c>
      <c r="C747" s="9" t="str">
        <f t="shared" si="139"/>
        <v/>
      </c>
      <c r="D747" s="9"/>
      <c r="E747" s="9"/>
      <c r="F747" s="9"/>
      <c r="G747" s="9"/>
    </row>
    <row r="748" spans="1:7" ht="16.5" customHeight="1" x14ac:dyDescent="0.2">
      <c r="A748" s="9" t="str">
        <f t="shared" si="138"/>
        <v/>
      </c>
      <c r="C748" s="9" t="str">
        <f t="shared" si="139"/>
        <v/>
      </c>
      <c r="D748" s="9"/>
      <c r="E748" s="9"/>
      <c r="F748" s="9"/>
      <c r="G748" s="9"/>
    </row>
    <row r="749" spans="1:7" ht="16.5" customHeight="1" x14ac:dyDescent="0.2">
      <c r="A749" s="9" t="str">
        <f t="shared" si="138"/>
        <v/>
      </c>
      <c r="C749" s="9" t="str">
        <f t="shared" si="139"/>
        <v/>
      </c>
      <c r="D749" s="9"/>
      <c r="E749" s="9"/>
      <c r="F749" s="9"/>
      <c r="G749" s="9"/>
    </row>
    <row r="750" spans="1:7" ht="16.5" customHeight="1" x14ac:dyDescent="0.2">
      <c r="A750" s="9" t="str">
        <f t="shared" si="138"/>
        <v/>
      </c>
      <c r="C750" s="9" t="str">
        <f t="shared" si="139"/>
        <v/>
      </c>
      <c r="D750" s="9"/>
      <c r="E750" s="9"/>
      <c r="F750" s="9"/>
      <c r="G750" s="9"/>
    </row>
    <row r="751" spans="1:7" ht="16.5" customHeight="1" x14ac:dyDescent="0.2">
      <c r="A751" s="9" t="str">
        <f t="shared" si="138"/>
        <v/>
      </c>
      <c r="C751" s="9" t="str">
        <f t="shared" si="139"/>
        <v/>
      </c>
      <c r="D751" s="9"/>
      <c r="E751" s="9"/>
      <c r="F751" s="9"/>
      <c r="G751" s="9"/>
    </row>
    <row r="752" spans="1:7" ht="16.5" customHeight="1" x14ac:dyDescent="0.2">
      <c r="A752" s="9" t="str">
        <f t="shared" si="138"/>
        <v/>
      </c>
      <c r="C752" s="9" t="str">
        <f t="shared" si="139"/>
        <v/>
      </c>
      <c r="D752" s="9"/>
      <c r="E752" s="9"/>
      <c r="F752" s="9"/>
      <c r="G752" s="9"/>
    </row>
    <row r="753" spans="1:7" ht="16.5" customHeight="1" x14ac:dyDescent="0.2">
      <c r="A753" s="9" t="str">
        <f t="shared" si="138"/>
        <v/>
      </c>
      <c r="C753" s="9" t="str">
        <f t="shared" si="139"/>
        <v/>
      </c>
      <c r="D753" s="9"/>
      <c r="E753" s="9"/>
      <c r="F753" s="9"/>
      <c r="G753" s="9"/>
    </row>
    <row r="754" spans="1:7" ht="16.5" customHeight="1" x14ac:dyDescent="0.2">
      <c r="A754" s="9" t="str">
        <f t="shared" si="138"/>
        <v/>
      </c>
      <c r="C754" s="9" t="str">
        <f t="shared" si="139"/>
        <v/>
      </c>
      <c r="D754" s="9"/>
      <c r="E754" s="9"/>
      <c r="F754" s="9"/>
      <c r="G754" s="9"/>
    </row>
    <row r="755" spans="1:7" ht="16.5" customHeight="1" x14ac:dyDescent="0.2">
      <c r="A755" s="9" t="str">
        <f t="shared" si="138"/>
        <v/>
      </c>
      <c r="C755" s="9" t="str">
        <f t="shared" si="139"/>
        <v/>
      </c>
      <c r="D755" s="9"/>
      <c r="E755" s="9"/>
      <c r="F755" s="9"/>
      <c r="G755" s="9"/>
    </row>
    <row r="756" spans="1:7" ht="16.5" customHeight="1" x14ac:dyDescent="0.2">
      <c r="A756" s="9" t="str">
        <f t="shared" si="138"/>
        <v/>
      </c>
      <c r="C756" s="9" t="str">
        <f t="shared" si="139"/>
        <v/>
      </c>
      <c r="D756" s="9"/>
      <c r="E756" s="9"/>
      <c r="F756" s="9"/>
      <c r="G756" s="9"/>
    </row>
    <row r="757" spans="1:7" ht="16.5" customHeight="1" x14ac:dyDescent="0.2">
      <c r="A757" s="9" t="str">
        <f t="shared" si="138"/>
        <v/>
      </c>
      <c r="C757" s="9" t="str">
        <f t="shared" si="139"/>
        <v/>
      </c>
      <c r="D757" s="9"/>
      <c r="E757" s="9"/>
      <c r="F757" s="9"/>
      <c r="G757" s="9"/>
    </row>
    <row r="758" spans="1:7" ht="16.5" customHeight="1" x14ac:dyDescent="0.2">
      <c r="A758" s="9" t="str">
        <f t="shared" si="138"/>
        <v/>
      </c>
      <c r="C758" s="9" t="str">
        <f t="shared" si="139"/>
        <v/>
      </c>
      <c r="D758" s="9"/>
      <c r="E758" s="9"/>
      <c r="F758" s="9"/>
      <c r="G758" s="9"/>
    </row>
    <row r="759" spans="1:7" ht="16.5" customHeight="1" x14ac:dyDescent="0.2">
      <c r="A759" s="9" t="str">
        <f t="shared" si="138"/>
        <v/>
      </c>
      <c r="C759" s="9" t="str">
        <f t="shared" si="139"/>
        <v/>
      </c>
      <c r="D759" s="9"/>
      <c r="E759" s="9"/>
      <c r="F759" s="9"/>
      <c r="G759" s="9"/>
    </row>
    <row r="760" spans="1:7" ht="16.5" customHeight="1" x14ac:dyDescent="0.2">
      <c r="A760" s="9" t="str">
        <f t="shared" si="138"/>
        <v/>
      </c>
      <c r="C760" s="9" t="str">
        <f t="shared" si="139"/>
        <v/>
      </c>
      <c r="D760" s="9"/>
      <c r="E760" s="9"/>
      <c r="F760" s="9"/>
      <c r="G760" s="9"/>
    </row>
    <row r="761" spans="1:7" ht="16.5" customHeight="1" x14ac:dyDescent="0.2">
      <c r="A761" s="9" t="str">
        <f t="shared" si="138"/>
        <v/>
      </c>
      <c r="C761" s="9" t="str">
        <f t="shared" si="139"/>
        <v/>
      </c>
      <c r="D761" s="9"/>
      <c r="E761" s="9"/>
      <c r="F761" s="9"/>
      <c r="G761" s="9"/>
    </row>
    <row r="762" spans="1:7" ht="16.5" customHeight="1" x14ac:dyDescent="0.2">
      <c r="A762" s="9" t="str">
        <f t="shared" si="138"/>
        <v/>
      </c>
      <c r="C762" s="9" t="str">
        <f t="shared" si="139"/>
        <v/>
      </c>
      <c r="D762" s="9"/>
      <c r="E762" s="9"/>
      <c r="F762" s="9"/>
      <c r="G762" s="9"/>
    </row>
    <row r="763" spans="1:7" ht="16.5" customHeight="1" x14ac:dyDescent="0.2">
      <c r="A763" s="9" t="str">
        <f t="shared" si="138"/>
        <v/>
      </c>
      <c r="C763" s="9" t="str">
        <f t="shared" si="139"/>
        <v/>
      </c>
      <c r="D763" s="9"/>
      <c r="E763" s="9"/>
      <c r="F763" s="9"/>
      <c r="G763" s="9"/>
    </row>
    <row r="764" spans="1:7" ht="16.5" customHeight="1" x14ac:dyDescent="0.2">
      <c r="A764" s="9" t="str">
        <f t="shared" si="138"/>
        <v/>
      </c>
      <c r="C764" s="9" t="str">
        <f t="shared" si="139"/>
        <v/>
      </c>
      <c r="D764" s="9"/>
      <c r="E764" s="9"/>
      <c r="F764" s="9"/>
      <c r="G764" s="9"/>
    </row>
    <row r="765" spans="1:7" ht="16.5" customHeight="1" x14ac:dyDescent="0.2">
      <c r="A765" s="9" t="str">
        <f t="shared" si="138"/>
        <v/>
      </c>
      <c r="C765" s="9" t="str">
        <f t="shared" si="139"/>
        <v/>
      </c>
      <c r="D765" s="9"/>
      <c r="E765" s="9"/>
      <c r="F765" s="9"/>
      <c r="G765" s="9"/>
    </row>
    <row r="766" spans="1:7" ht="16.5" customHeight="1" x14ac:dyDescent="0.2">
      <c r="A766" s="9" t="str">
        <f t="shared" si="138"/>
        <v/>
      </c>
      <c r="C766" s="9" t="str">
        <f t="shared" si="139"/>
        <v/>
      </c>
      <c r="D766" s="9"/>
      <c r="E766" s="9"/>
      <c r="F766" s="9"/>
      <c r="G766" s="9"/>
    </row>
    <row r="767" spans="1:7" ht="16.5" customHeight="1" x14ac:dyDescent="0.2">
      <c r="A767" s="9" t="str">
        <f t="shared" si="138"/>
        <v/>
      </c>
      <c r="C767" s="9" t="str">
        <f t="shared" si="139"/>
        <v/>
      </c>
      <c r="D767" s="9"/>
      <c r="E767" s="9"/>
      <c r="F767" s="9"/>
      <c r="G767" s="9"/>
    </row>
    <row r="768" spans="1:7" ht="16.5" customHeight="1" x14ac:dyDescent="0.2">
      <c r="A768" s="9" t="str">
        <f t="shared" si="138"/>
        <v/>
      </c>
      <c r="C768" s="9" t="str">
        <f t="shared" si="139"/>
        <v/>
      </c>
      <c r="D768" s="9"/>
      <c r="E768" s="9"/>
      <c r="F768" s="9"/>
      <c r="G768" s="9"/>
    </row>
    <row r="769" spans="1:7" ht="16.5" customHeight="1" x14ac:dyDescent="0.2">
      <c r="A769" s="9" t="str">
        <f t="shared" si="138"/>
        <v/>
      </c>
      <c r="C769" s="9" t="str">
        <f t="shared" si="139"/>
        <v/>
      </c>
      <c r="D769" s="9"/>
      <c r="E769" s="9"/>
      <c r="F769" s="9"/>
      <c r="G769" s="9"/>
    </row>
    <row r="770" spans="1:7" ht="16.5" customHeight="1" x14ac:dyDescent="0.2">
      <c r="A770" s="9" t="str">
        <f t="shared" si="138"/>
        <v/>
      </c>
      <c r="C770" s="9" t="str">
        <f t="shared" si="139"/>
        <v/>
      </c>
      <c r="D770" s="9"/>
      <c r="E770" s="9"/>
      <c r="F770" s="9"/>
      <c r="G770" s="9"/>
    </row>
    <row r="771" spans="1:7" ht="16.5" customHeight="1" x14ac:dyDescent="0.2">
      <c r="A771" s="9" t="str">
        <f t="shared" si="138"/>
        <v/>
      </c>
      <c r="C771" s="9" t="str">
        <f t="shared" si="139"/>
        <v/>
      </c>
      <c r="D771" s="9"/>
      <c r="E771" s="9"/>
      <c r="F771" s="9"/>
      <c r="G771" s="9"/>
    </row>
    <row r="772" spans="1:7" ht="16.5" customHeight="1" x14ac:dyDescent="0.2">
      <c r="A772" s="9" t="str">
        <f t="shared" si="138"/>
        <v/>
      </c>
      <c r="C772" s="9" t="str">
        <f t="shared" si="139"/>
        <v/>
      </c>
      <c r="D772" s="9"/>
      <c r="E772" s="9"/>
      <c r="F772" s="9"/>
      <c r="G772" s="9"/>
    </row>
    <row r="773" spans="1:7" ht="16.5" customHeight="1" x14ac:dyDescent="0.2">
      <c r="A773" s="9" t="str">
        <f t="shared" si="138"/>
        <v/>
      </c>
      <c r="C773" s="9" t="str">
        <f t="shared" si="139"/>
        <v/>
      </c>
      <c r="D773" s="9"/>
      <c r="E773" s="9"/>
      <c r="F773" s="9"/>
      <c r="G773" s="9"/>
    </row>
    <row r="774" spans="1:7" ht="16.5" customHeight="1" x14ac:dyDescent="0.2">
      <c r="A774" s="9" t="str">
        <f t="shared" si="138"/>
        <v/>
      </c>
      <c r="C774" s="9" t="str">
        <f t="shared" si="139"/>
        <v/>
      </c>
      <c r="D774" s="9"/>
      <c r="E774" s="9"/>
      <c r="F774" s="9"/>
      <c r="G774" s="9"/>
    </row>
    <row r="775" spans="1:7" ht="16.5" customHeight="1" x14ac:dyDescent="0.2">
      <c r="A775" s="9" t="str">
        <f t="shared" si="138"/>
        <v/>
      </c>
      <c r="C775" s="9" t="str">
        <f t="shared" si="139"/>
        <v/>
      </c>
      <c r="D775" s="9"/>
      <c r="E775" s="9"/>
      <c r="F775" s="9"/>
      <c r="G775" s="9"/>
    </row>
    <row r="776" spans="1:7" ht="16.5" customHeight="1" x14ac:dyDescent="0.2">
      <c r="A776" s="9" t="str">
        <f t="shared" si="138"/>
        <v/>
      </c>
      <c r="C776" s="9" t="str">
        <f t="shared" si="139"/>
        <v/>
      </c>
      <c r="D776" s="9"/>
      <c r="E776" s="9"/>
      <c r="F776" s="9"/>
      <c r="G776" s="9"/>
    </row>
    <row r="777" spans="1:7" x14ac:dyDescent="0.2">
      <c r="A777" s="9" t="str">
        <f t="shared" si="138"/>
        <v/>
      </c>
      <c r="C777" s="9" t="str">
        <f t="shared" si="139"/>
        <v/>
      </c>
      <c r="D777" s="9"/>
      <c r="E777" s="9"/>
      <c r="F777" s="9"/>
      <c r="G777" s="9"/>
    </row>
    <row r="778" spans="1:7" x14ac:dyDescent="0.2">
      <c r="A778" s="9" t="str">
        <f t="shared" si="138"/>
        <v/>
      </c>
      <c r="C778" s="9" t="str">
        <f t="shared" si="139"/>
        <v/>
      </c>
      <c r="D778" s="9"/>
      <c r="E778" s="9"/>
      <c r="F778" s="9"/>
      <c r="G778" s="9"/>
    </row>
    <row r="779" spans="1:7" x14ac:dyDescent="0.2">
      <c r="A779" s="9" t="str">
        <f t="shared" si="138"/>
        <v/>
      </c>
      <c r="C779" s="9" t="str">
        <f t="shared" si="139"/>
        <v/>
      </c>
      <c r="D779" s="9"/>
      <c r="E779" s="9"/>
      <c r="F779" s="9"/>
      <c r="G779" s="9"/>
    </row>
    <row r="780" spans="1:7" x14ac:dyDescent="0.2">
      <c r="A780" s="9" t="str">
        <f t="shared" si="138"/>
        <v/>
      </c>
      <c r="C780" s="9" t="str">
        <f t="shared" si="139"/>
        <v/>
      </c>
      <c r="D780" s="9"/>
      <c r="E780" s="9"/>
      <c r="F780" s="9"/>
      <c r="G780" s="9"/>
    </row>
    <row r="781" spans="1:7" x14ac:dyDescent="0.2">
      <c r="A781" s="9" t="str">
        <f t="shared" si="138"/>
        <v/>
      </c>
      <c r="C781" s="9" t="str">
        <f t="shared" si="139"/>
        <v/>
      </c>
      <c r="D781" s="9"/>
      <c r="E781" s="9"/>
      <c r="F781" s="9"/>
      <c r="G781" s="9"/>
    </row>
    <row r="782" spans="1:7" x14ac:dyDescent="0.2">
      <c r="A782" s="9" t="str">
        <f t="shared" si="138"/>
        <v/>
      </c>
      <c r="C782" s="9" t="str">
        <f t="shared" si="139"/>
        <v/>
      </c>
      <c r="D782" s="9"/>
      <c r="E782" s="9"/>
      <c r="F782" s="9"/>
      <c r="G782" s="9"/>
    </row>
    <row r="783" spans="1:7" x14ac:dyDescent="0.2">
      <c r="A783" s="9" t="str">
        <f t="shared" si="138"/>
        <v/>
      </c>
      <c r="C783" s="9" t="str">
        <f t="shared" si="139"/>
        <v/>
      </c>
      <c r="D783" s="9"/>
      <c r="E783" s="9"/>
      <c r="F783" s="9"/>
      <c r="G783" s="9"/>
    </row>
    <row r="784" spans="1:7" x14ac:dyDescent="0.2">
      <c r="A784" s="9" t="str">
        <f t="shared" si="138"/>
        <v/>
      </c>
      <c r="C784" s="9" t="str">
        <f t="shared" si="139"/>
        <v/>
      </c>
      <c r="D784" s="9"/>
      <c r="E784" s="9"/>
      <c r="F784" s="9"/>
      <c r="G784" s="9"/>
    </row>
    <row r="785" spans="1:7" x14ac:dyDescent="0.2">
      <c r="A785" s="9" t="str">
        <f t="shared" si="138"/>
        <v/>
      </c>
      <c r="C785" s="9" t="str">
        <f t="shared" si="139"/>
        <v/>
      </c>
      <c r="D785" s="9"/>
      <c r="E785" s="9"/>
      <c r="F785" s="9"/>
      <c r="G785" s="9"/>
    </row>
    <row r="786" spans="1:7" x14ac:dyDescent="0.2">
      <c r="A786" s="9" t="str">
        <f t="shared" si="138"/>
        <v/>
      </c>
      <c r="C786" s="9" t="str">
        <f t="shared" si="139"/>
        <v/>
      </c>
      <c r="D786" s="9"/>
      <c r="E786" s="9"/>
      <c r="F786" s="9"/>
      <c r="G786" s="9"/>
    </row>
    <row r="787" spans="1:7" x14ac:dyDescent="0.2">
      <c r="A787" s="9" t="str">
        <f t="shared" si="138"/>
        <v/>
      </c>
      <c r="C787" s="9" t="str">
        <f t="shared" si="139"/>
        <v/>
      </c>
      <c r="D787" s="9"/>
      <c r="E787" s="9"/>
      <c r="F787" s="9"/>
      <c r="G787" s="9"/>
    </row>
    <row r="788" spans="1:7" x14ac:dyDescent="0.2">
      <c r="A788" s="9" t="str">
        <f t="shared" si="138"/>
        <v/>
      </c>
      <c r="C788" s="9" t="str">
        <f t="shared" si="139"/>
        <v/>
      </c>
      <c r="D788" s="9"/>
      <c r="E788" s="9"/>
      <c r="F788" s="9"/>
      <c r="G788" s="9"/>
    </row>
    <row r="789" spans="1:7" x14ac:dyDescent="0.2">
      <c r="A789" s="9" t="str">
        <f t="shared" si="138"/>
        <v/>
      </c>
      <c r="C789" s="9" t="str">
        <f t="shared" si="139"/>
        <v/>
      </c>
      <c r="D789" s="9"/>
      <c r="E789" s="9"/>
      <c r="F789" s="9"/>
      <c r="G789" s="9"/>
    </row>
    <row r="790" spans="1:7" x14ac:dyDescent="0.2">
      <c r="A790" s="9" t="str">
        <f t="shared" si="138"/>
        <v/>
      </c>
      <c r="C790" s="9" t="str">
        <f t="shared" si="139"/>
        <v/>
      </c>
      <c r="D790" s="9"/>
      <c r="E790" s="9"/>
      <c r="F790" s="9"/>
      <c r="G790" s="9"/>
    </row>
    <row r="791" spans="1:7" x14ac:dyDescent="0.2">
      <c r="A791" s="9" t="str">
        <f t="shared" si="138"/>
        <v/>
      </c>
      <c r="C791" s="9" t="str">
        <f t="shared" si="139"/>
        <v/>
      </c>
      <c r="D791" s="9"/>
      <c r="E791" s="9"/>
      <c r="F791" s="9"/>
      <c r="G791" s="9"/>
    </row>
    <row r="792" spans="1:7" x14ac:dyDescent="0.2">
      <c r="A792" s="9" t="str">
        <f t="shared" si="138"/>
        <v/>
      </c>
      <c r="C792" s="9" t="str">
        <f t="shared" si="139"/>
        <v/>
      </c>
      <c r="D792" s="9"/>
      <c r="E792" s="9"/>
      <c r="F792" s="9"/>
      <c r="G792" s="9"/>
    </row>
    <row r="793" spans="1:7" x14ac:dyDescent="0.2">
      <c r="A793" s="9" t="str">
        <f t="shared" si="138"/>
        <v/>
      </c>
      <c r="C793" s="9" t="str">
        <f t="shared" si="139"/>
        <v/>
      </c>
      <c r="D793" s="9"/>
      <c r="E793" s="9"/>
      <c r="F793" s="9"/>
      <c r="G793" s="9"/>
    </row>
    <row r="794" spans="1:7" x14ac:dyDescent="0.2">
      <c r="A794" s="9" t="str">
        <f t="shared" si="138"/>
        <v/>
      </c>
      <c r="C794" s="9" t="str">
        <f t="shared" si="139"/>
        <v/>
      </c>
      <c r="D794" s="9"/>
      <c r="E794" s="9"/>
      <c r="F794" s="9"/>
      <c r="G794" s="9"/>
    </row>
    <row r="795" spans="1:7" x14ac:dyDescent="0.2">
      <c r="A795" s="9" t="str">
        <f t="shared" si="138"/>
        <v/>
      </c>
      <c r="C795" s="9" t="str">
        <f t="shared" si="139"/>
        <v/>
      </c>
      <c r="D795" s="9"/>
      <c r="E795" s="9"/>
      <c r="F795" s="9"/>
      <c r="G795" s="9"/>
    </row>
    <row r="796" spans="1:7" x14ac:dyDescent="0.2">
      <c r="A796" s="9" t="str">
        <f t="shared" si="138"/>
        <v/>
      </c>
      <c r="C796" s="9" t="str">
        <f t="shared" si="139"/>
        <v/>
      </c>
      <c r="D796" s="9"/>
      <c r="E796" s="9"/>
      <c r="F796" s="9"/>
      <c r="G796" s="9"/>
    </row>
    <row r="797" spans="1:7" x14ac:dyDescent="0.2">
      <c r="A797" s="9" t="str">
        <f t="shared" si="138"/>
        <v/>
      </c>
      <c r="C797" s="9" t="str">
        <f t="shared" si="139"/>
        <v/>
      </c>
      <c r="D797" s="9"/>
      <c r="E797" s="9"/>
      <c r="F797" s="9"/>
      <c r="G797" s="9"/>
    </row>
    <row r="798" spans="1:7" x14ac:dyDescent="0.2">
      <c r="A798" s="9" t="str">
        <f t="shared" si="138"/>
        <v/>
      </c>
      <c r="C798" s="9" t="str">
        <f t="shared" si="139"/>
        <v/>
      </c>
      <c r="D798" s="9"/>
      <c r="E798" s="9"/>
      <c r="F798" s="9"/>
      <c r="G798" s="9"/>
    </row>
    <row r="799" spans="1:7" x14ac:dyDescent="0.2">
      <c r="A799" s="9" t="str">
        <f t="shared" ref="A799:A862" si="140">IF(B799="","",A798+1)</f>
        <v/>
      </c>
      <c r="C799" s="9" t="str">
        <f t="shared" ref="C799:C862" si="141">IF(B799="","","vs")</f>
        <v/>
      </c>
      <c r="D799" s="9"/>
      <c r="E799" s="9"/>
      <c r="F799" s="9"/>
      <c r="G799" s="9"/>
    </row>
    <row r="800" spans="1:7" x14ac:dyDescent="0.2">
      <c r="A800" s="9" t="str">
        <f t="shared" si="140"/>
        <v/>
      </c>
      <c r="C800" s="9" t="str">
        <f t="shared" si="141"/>
        <v/>
      </c>
      <c r="D800" s="9"/>
      <c r="E800" s="9"/>
      <c r="F800" s="9"/>
      <c r="G800" s="9"/>
    </row>
    <row r="801" spans="1:7" x14ac:dyDescent="0.2">
      <c r="A801" s="9" t="str">
        <f t="shared" si="140"/>
        <v/>
      </c>
      <c r="C801" s="9" t="str">
        <f t="shared" si="141"/>
        <v/>
      </c>
      <c r="D801" s="9"/>
      <c r="E801" s="9"/>
      <c r="F801" s="9"/>
      <c r="G801" s="9"/>
    </row>
    <row r="802" spans="1:7" x14ac:dyDescent="0.2">
      <c r="A802" s="9" t="str">
        <f t="shared" si="140"/>
        <v/>
      </c>
      <c r="C802" s="9" t="str">
        <f t="shared" si="141"/>
        <v/>
      </c>
      <c r="D802" s="9"/>
      <c r="E802" s="9"/>
      <c r="F802" s="9"/>
      <c r="G802" s="9"/>
    </row>
    <row r="803" spans="1:7" x14ac:dyDescent="0.2">
      <c r="A803" s="9" t="str">
        <f t="shared" si="140"/>
        <v/>
      </c>
      <c r="C803" s="9" t="str">
        <f t="shared" si="141"/>
        <v/>
      </c>
      <c r="D803" s="9"/>
      <c r="E803" s="9"/>
      <c r="F803" s="9"/>
      <c r="G803" s="9"/>
    </row>
    <row r="804" spans="1:7" x14ac:dyDescent="0.2">
      <c r="A804" s="9" t="str">
        <f t="shared" si="140"/>
        <v/>
      </c>
      <c r="C804" s="9" t="str">
        <f t="shared" si="141"/>
        <v/>
      </c>
      <c r="D804" s="9"/>
      <c r="E804" s="9"/>
      <c r="F804" s="9"/>
      <c r="G804" s="9"/>
    </row>
    <row r="805" spans="1:7" x14ac:dyDescent="0.2">
      <c r="A805" s="9" t="str">
        <f t="shared" si="140"/>
        <v/>
      </c>
      <c r="C805" s="9" t="str">
        <f t="shared" si="141"/>
        <v/>
      </c>
      <c r="D805" s="9"/>
      <c r="E805" s="9"/>
      <c r="F805" s="9"/>
      <c r="G805" s="9"/>
    </row>
    <row r="806" spans="1:7" x14ac:dyDescent="0.2">
      <c r="A806" s="9" t="str">
        <f t="shared" si="140"/>
        <v/>
      </c>
      <c r="C806" s="9" t="str">
        <f t="shared" si="141"/>
        <v/>
      </c>
      <c r="D806" s="9"/>
      <c r="E806" s="9"/>
      <c r="F806" s="9"/>
      <c r="G806" s="9"/>
    </row>
    <row r="807" spans="1:7" x14ac:dyDescent="0.2">
      <c r="A807" s="9" t="str">
        <f t="shared" si="140"/>
        <v/>
      </c>
      <c r="C807" s="9" t="str">
        <f t="shared" si="141"/>
        <v/>
      </c>
      <c r="D807" s="9"/>
      <c r="E807" s="9"/>
      <c r="F807" s="9"/>
      <c r="G807" s="9"/>
    </row>
    <row r="808" spans="1:7" x14ac:dyDescent="0.2">
      <c r="A808" s="9" t="str">
        <f t="shared" si="140"/>
        <v/>
      </c>
      <c r="C808" s="9" t="str">
        <f t="shared" si="141"/>
        <v/>
      </c>
      <c r="D808" s="9"/>
      <c r="E808" s="9"/>
      <c r="F808" s="9"/>
      <c r="G808" s="9"/>
    </row>
    <row r="809" spans="1:7" x14ac:dyDescent="0.2">
      <c r="A809" s="9" t="str">
        <f t="shared" si="140"/>
        <v/>
      </c>
      <c r="C809" s="9" t="str">
        <f t="shared" si="141"/>
        <v/>
      </c>
      <c r="D809" s="9"/>
      <c r="E809" s="9"/>
      <c r="F809" s="9"/>
      <c r="G809" s="9"/>
    </row>
    <row r="810" spans="1:7" x14ac:dyDescent="0.2">
      <c r="A810" s="9" t="str">
        <f t="shared" si="140"/>
        <v/>
      </c>
      <c r="C810" s="9" t="str">
        <f t="shared" si="141"/>
        <v/>
      </c>
      <c r="D810" s="9"/>
      <c r="E810" s="9"/>
      <c r="F810" s="9"/>
      <c r="G810" s="9"/>
    </row>
    <row r="811" spans="1:7" x14ac:dyDescent="0.2">
      <c r="A811" s="9" t="str">
        <f t="shared" si="140"/>
        <v/>
      </c>
      <c r="C811" s="9" t="str">
        <f t="shared" si="141"/>
        <v/>
      </c>
      <c r="D811" s="9"/>
      <c r="E811" s="9"/>
      <c r="F811" s="9"/>
      <c r="G811" s="9"/>
    </row>
    <row r="812" spans="1:7" x14ac:dyDescent="0.2">
      <c r="A812" s="9" t="str">
        <f t="shared" si="140"/>
        <v/>
      </c>
      <c r="C812" s="9" t="str">
        <f t="shared" si="141"/>
        <v/>
      </c>
      <c r="D812" s="9"/>
      <c r="E812" s="9"/>
      <c r="F812" s="9"/>
      <c r="G812" s="9"/>
    </row>
    <row r="813" spans="1:7" x14ac:dyDescent="0.2">
      <c r="A813" s="9" t="str">
        <f t="shared" si="140"/>
        <v/>
      </c>
      <c r="C813" s="9" t="str">
        <f t="shared" si="141"/>
        <v/>
      </c>
      <c r="D813" s="9"/>
      <c r="E813" s="9"/>
      <c r="F813" s="9"/>
      <c r="G813" s="9"/>
    </row>
    <row r="814" spans="1:7" x14ac:dyDescent="0.2">
      <c r="A814" s="9" t="str">
        <f t="shared" si="140"/>
        <v/>
      </c>
      <c r="C814" s="9" t="str">
        <f t="shared" si="141"/>
        <v/>
      </c>
      <c r="D814" s="9"/>
      <c r="E814" s="9"/>
      <c r="F814" s="9"/>
      <c r="G814" s="9"/>
    </row>
    <row r="815" spans="1:7" x14ac:dyDescent="0.2">
      <c r="A815" s="9" t="str">
        <f t="shared" si="140"/>
        <v/>
      </c>
      <c r="C815" s="9" t="str">
        <f t="shared" si="141"/>
        <v/>
      </c>
      <c r="D815" s="9"/>
      <c r="E815" s="9"/>
      <c r="F815" s="9"/>
      <c r="G815" s="9"/>
    </row>
    <row r="816" spans="1:7" x14ac:dyDescent="0.2">
      <c r="A816" s="9" t="str">
        <f t="shared" si="140"/>
        <v/>
      </c>
      <c r="C816" s="9" t="str">
        <f t="shared" si="141"/>
        <v/>
      </c>
      <c r="D816" s="9"/>
      <c r="E816" s="9"/>
      <c r="F816" s="9"/>
      <c r="G816" s="9"/>
    </row>
    <row r="817" spans="1:7" x14ac:dyDescent="0.2">
      <c r="A817" s="9" t="str">
        <f t="shared" si="140"/>
        <v/>
      </c>
      <c r="C817" s="9" t="str">
        <f t="shared" si="141"/>
        <v/>
      </c>
      <c r="D817" s="9"/>
      <c r="E817" s="9"/>
      <c r="F817" s="9"/>
      <c r="G817" s="9"/>
    </row>
    <row r="818" spans="1:7" x14ac:dyDescent="0.2">
      <c r="A818" s="9" t="str">
        <f t="shared" si="140"/>
        <v/>
      </c>
      <c r="C818" s="9" t="str">
        <f t="shared" si="141"/>
        <v/>
      </c>
      <c r="D818" s="9"/>
      <c r="E818" s="9"/>
      <c r="F818" s="9"/>
      <c r="G818" s="9"/>
    </row>
    <row r="819" spans="1:7" x14ac:dyDescent="0.2">
      <c r="A819" s="9" t="str">
        <f t="shared" si="140"/>
        <v/>
      </c>
      <c r="C819" s="9" t="str">
        <f t="shared" si="141"/>
        <v/>
      </c>
      <c r="D819" s="9"/>
      <c r="E819" s="9"/>
      <c r="F819" s="9"/>
      <c r="G819" s="9"/>
    </row>
    <row r="820" spans="1:7" x14ac:dyDescent="0.2">
      <c r="A820" s="9" t="str">
        <f t="shared" si="140"/>
        <v/>
      </c>
      <c r="C820" s="9" t="str">
        <f t="shared" si="141"/>
        <v/>
      </c>
      <c r="D820" s="9"/>
      <c r="E820" s="9"/>
      <c r="F820" s="9"/>
      <c r="G820" s="9"/>
    </row>
    <row r="821" spans="1:7" x14ac:dyDescent="0.2">
      <c r="A821" s="9" t="str">
        <f t="shared" si="140"/>
        <v/>
      </c>
      <c r="C821" s="9" t="str">
        <f t="shared" si="141"/>
        <v/>
      </c>
      <c r="D821" s="9"/>
      <c r="E821" s="9"/>
      <c r="F821" s="9"/>
      <c r="G821" s="9"/>
    </row>
    <row r="822" spans="1:7" x14ac:dyDescent="0.2">
      <c r="A822" s="9" t="str">
        <f t="shared" si="140"/>
        <v/>
      </c>
      <c r="C822" s="9" t="str">
        <f t="shared" si="141"/>
        <v/>
      </c>
      <c r="D822" s="9"/>
      <c r="E822" s="9"/>
      <c r="F822" s="9"/>
      <c r="G822" s="9"/>
    </row>
    <row r="823" spans="1:7" x14ac:dyDescent="0.2">
      <c r="A823" s="9" t="str">
        <f t="shared" si="140"/>
        <v/>
      </c>
      <c r="C823" s="9" t="str">
        <f t="shared" si="141"/>
        <v/>
      </c>
      <c r="D823" s="9"/>
      <c r="E823" s="9"/>
      <c r="F823" s="9"/>
      <c r="G823" s="9"/>
    </row>
    <row r="824" spans="1:7" x14ac:dyDescent="0.2">
      <c r="A824" s="9" t="str">
        <f t="shared" si="140"/>
        <v/>
      </c>
      <c r="C824" s="9" t="str">
        <f t="shared" si="141"/>
        <v/>
      </c>
      <c r="D824" s="9"/>
      <c r="E824" s="9"/>
      <c r="F824" s="9"/>
      <c r="G824" s="9"/>
    </row>
    <row r="825" spans="1:7" x14ac:dyDescent="0.2">
      <c r="A825" s="9" t="str">
        <f t="shared" si="140"/>
        <v/>
      </c>
      <c r="C825" s="9" t="str">
        <f t="shared" si="141"/>
        <v/>
      </c>
      <c r="D825" s="9"/>
      <c r="E825" s="9"/>
      <c r="F825" s="9"/>
      <c r="G825" s="9"/>
    </row>
    <row r="826" spans="1:7" x14ac:dyDescent="0.2">
      <c r="A826" s="9" t="str">
        <f t="shared" si="140"/>
        <v/>
      </c>
      <c r="C826" s="9" t="str">
        <f t="shared" si="141"/>
        <v/>
      </c>
      <c r="D826" s="9"/>
      <c r="E826" s="9"/>
      <c r="F826" s="9"/>
      <c r="G826" s="9"/>
    </row>
    <row r="827" spans="1:7" x14ac:dyDescent="0.2">
      <c r="A827" s="9" t="str">
        <f t="shared" si="140"/>
        <v/>
      </c>
      <c r="C827" s="9" t="str">
        <f t="shared" si="141"/>
        <v/>
      </c>
      <c r="D827" s="9"/>
      <c r="E827" s="9"/>
      <c r="F827" s="9"/>
      <c r="G827" s="9"/>
    </row>
    <row r="828" spans="1:7" x14ac:dyDescent="0.2">
      <c r="A828" s="9" t="str">
        <f t="shared" si="140"/>
        <v/>
      </c>
      <c r="C828" s="9" t="str">
        <f t="shared" si="141"/>
        <v/>
      </c>
      <c r="D828" s="9"/>
      <c r="E828" s="9"/>
      <c r="F828" s="9"/>
      <c r="G828" s="9"/>
    </row>
    <row r="829" spans="1:7" x14ac:dyDescent="0.2">
      <c r="A829" s="9" t="str">
        <f t="shared" si="140"/>
        <v/>
      </c>
      <c r="C829" s="9" t="str">
        <f t="shared" si="141"/>
        <v/>
      </c>
      <c r="D829" s="9"/>
      <c r="E829" s="9"/>
      <c r="F829" s="9"/>
      <c r="G829" s="9"/>
    </row>
    <row r="830" spans="1:7" x14ac:dyDescent="0.2">
      <c r="A830" s="9" t="str">
        <f t="shared" si="140"/>
        <v/>
      </c>
      <c r="C830" s="9" t="str">
        <f t="shared" si="141"/>
        <v/>
      </c>
      <c r="D830" s="9"/>
      <c r="E830" s="9"/>
      <c r="F830" s="9"/>
      <c r="G830" s="9"/>
    </row>
    <row r="831" spans="1:7" x14ac:dyDescent="0.2">
      <c r="A831" s="9" t="str">
        <f t="shared" si="140"/>
        <v/>
      </c>
      <c r="C831" s="9" t="str">
        <f t="shared" si="141"/>
        <v/>
      </c>
      <c r="D831" s="9"/>
      <c r="E831" s="9"/>
      <c r="F831" s="9"/>
      <c r="G831" s="9"/>
    </row>
    <row r="832" spans="1:7" x14ac:dyDescent="0.2">
      <c r="A832" s="9" t="str">
        <f t="shared" si="140"/>
        <v/>
      </c>
      <c r="C832" s="9" t="str">
        <f t="shared" si="141"/>
        <v/>
      </c>
      <c r="D832" s="9"/>
      <c r="E832" s="9"/>
      <c r="F832" s="9"/>
      <c r="G832" s="9"/>
    </row>
    <row r="833" spans="1:7" x14ac:dyDescent="0.2">
      <c r="A833" s="9" t="str">
        <f t="shared" si="140"/>
        <v/>
      </c>
      <c r="C833" s="9" t="str">
        <f t="shared" si="141"/>
        <v/>
      </c>
      <c r="D833" s="9"/>
      <c r="E833" s="9"/>
      <c r="F833" s="9"/>
      <c r="G833" s="9"/>
    </row>
    <row r="834" spans="1:7" x14ac:dyDescent="0.2">
      <c r="A834" s="9" t="str">
        <f t="shared" si="140"/>
        <v/>
      </c>
      <c r="C834" s="9" t="str">
        <f t="shared" si="141"/>
        <v/>
      </c>
      <c r="D834" s="9"/>
      <c r="E834" s="9"/>
      <c r="F834" s="9"/>
      <c r="G834" s="9"/>
    </row>
    <row r="835" spans="1:7" x14ac:dyDescent="0.2">
      <c r="A835" s="9" t="str">
        <f t="shared" si="140"/>
        <v/>
      </c>
      <c r="C835" s="9" t="str">
        <f t="shared" si="141"/>
        <v/>
      </c>
      <c r="D835" s="9"/>
      <c r="E835" s="9"/>
      <c r="F835" s="9"/>
      <c r="G835" s="9"/>
    </row>
    <row r="836" spans="1:7" x14ac:dyDescent="0.2">
      <c r="A836" s="9" t="str">
        <f t="shared" si="140"/>
        <v/>
      </c>
      <c r="C836" s="9" t="str">
        <f t="shared" si="141"/>
        <v/>
      </c>
      <c r="D836" s="9"/>
      <c r="E836" s="9"/>
      <c r="F836" s="9"/>
      <c r="G836" s="9"/>
    </row>
    <row r="837" spans="1:7" x14ac:dyDescent="0.2">
      <c r="A837" s="9" t="str">
        <f t="shared" si="140"/>
        <v/>
      </c>
      <c r="C837" s="9" t="str">
        <f t="shared" si="141"/>
        <v/>
      </c>
      <c r="D837" s="9"/>
      <c r="E837" s="9"/>
      <c r="F837" s="9"/>
      <c r="G837" s="9"/>
    </row>
    <row r="838" spans="1:7" x14ac:dyDescent="0.2">
      <c r="A838" s="9" t="str">
        <f t="shared" si="140"/>
        <v/>
      </c>
      <c r="C838" s="9" t="str">
        <f t="shared" si="141"/>
        <v/>
      </c>
      <c r="D838" s="9"/>
      <c r="E838" s="9"/>
      <c r="F838" s="9"/>
      <c r="G838" s="9"/>
    </row>
    <row r="839" spans="1:7" x14ac:dyDescent="0.2">
      <c r="A839" s="9" t="str">
        <f t="shared" si="140"/>
        <v/>
      </c>
      <c r="C839" s="9" t="str">
        <f t="shared" si="141"/>
        <v/>
      </c>
      <c r="D839" s="9"/>
      <c r="E839" s="9"/>
      <c r="F839" s="9"/>
      <c r="G839" s="9"/>
    </row>
    <row r="840" spans="1:7" x14ac:dyDescent="0.2">
      <c r="A840" s="9" t="str">
        <f t="shared" si="140"/>
        <v/>
      </c>
      <c r="C840" s="9" t="str">
        <f t="shared" si="141"/>
        <v/>
      </c>
      <c r="D840" s="9"/>
      <c r="E840" s="9"/>
      <c r="F840" s="9"/>
      <c r="G840" s="9"/>
    </row>
    <row r="841" spans="1:7" x14ac:dyDescent="0.2">
      <c r="A841" s="9" t="str">
        <f t="shared" si="140"/>
        <v/>
      </c>
      <c r="C841" s="9" t="str">
        <f t="shared" si="141"/>
        <v/>
      </c>
      <c r="D841" s="9"/>
      <c r="E841" s="9"/>
      <c r="F841" s="9"/>
      <c r="G841" s="9"/>
    </row>
    <row r="842" spans="1:7" x14ac:dyDescent="0.2">
      <c r="A842" s="9" t="str">
        <f t="shared" si="140"/>
        <v/>
      </c>
      <c r="C842" s="9" t="str">
        <f t="shared" si="141"/>
        <v/>
      </c>
      <c r="D842" s="9"/>
      <c r="E842" s="9"/>
      <c r="F842" s="9"/>
      <c r="G842" s="9"/>
    </row>
    <row r="843" spans="1:7" x14ac:dyDescent="0.2">
      <c r="A843" s="9" t="str">
        <f t="shared" si="140"/>
        <v/>
      </c>
      <c r="C843" s="9" t="str">
        <f t="shared" si="141"/>
        <v/>
      </c>
      <c r="D843" s="9"/>
      <c r="E843" s="9"/>
      <c r="F843" s="9"/>
      <c r="G843" s="9"/>
    </row>
    <row r="844" spans="1:7" x14ac:dyDescent="0.2">
      <c r="A844" s="9" t="str">
        <f t="shared" si="140"/>
        <v/>
      </c>
      <c r="C844" s="9" t="str">
        <f t="shared" si="141"/>
        <v/>
      </c>
      <c r="D844" s="9"/>
      <c r="E844" s="9"/>
      <c r="F844" s="9"/>
      <c r="G844" s="9"/>
    </row>
    <row r="845" spans="1:7" x14ac:dyDescent="0.2">
      <c r="A845" s="9" t="str">
        <f t="shared" si="140"/>
        <v/>
      </c>
      <c r="C845" s="9" t="str">
        <f t="shared" si="141"/>
        <v/>
      </c>
      <c r="D845" s="9"/>
      <c r="E845" s="9"/>
      <c r="F845" s="9"/>
      <c r="G845" s="9"/>
    </row>
    <row r="846" spans="1:7" x14ac:dyDescent="0.2">
      <c r="A846" s="9" t="str">
        <f t="shared" si="140"/>
        <v/>
      </c>
      <c r="C846" s="9" t="str">
        <f t="shared" si="141"/>
        <v/>
      </c>
      <c r="D846" s="9"/>
      <c r="E846" s="9"/>
      <c r="F846" s="9"/>
      <c r="G846" s="9"/>
    </row>
    <row r="847" spans="1:7" x14ac:dyDescent="0.2">
      <c r="A847" s="9" t="str">
        <f t="shared" si="140"/>
        <v/>
      </c>
      <c r="C847" s="9" t="str">
        <f t="shared" si="141"/>
        <v/>
      </c>
      <c r="D847" s="9"/>
      <c r="E847" s="9"/>
      <c r="F847" s="9"/>
      <c r="G847" s="9"/>
    </row>
    <row r="848" spans="1:7" x14ac:dyDescent="0.2">
      <c r="A848" s="9" t="str">
        <f t="shared" si="140"/>
        <v/>
      </c>
      <c r="C848" s="9" t="str">
        <f t="shared" si="141"/>
        <v/>
      </c>
      <c r="D848" s="9"/>
      <c r="E848" s="9"/>
      <c r="F848" s="9"/>
      <c r="G848" s="9"/>
    </row>
    <row r="849" spans="1:7" x14ac:dyDescent="0.2">
      <c r="A849" s="9" t="str">
        <f t="shared" si="140"/>
        <v/>
      </c>
      <c r="C849" s="9" t="str">
        <f t="shared" si="141"/>
        <v/>
      </c>
      <c r="D849" s="9"/>
      <c r="E849" s="9"/>
      <c r="F849" s="9"/>
      <c r="G849" s="9"/>
    </row>
    <row r="850" spans="1:7" x14ac:dyDescent="0.2">
      <c r="A850" s="9" t="str">
        <f t="shared" si="140"/>
        <v/>
      </c>
      <c r="C850" s="9" t="str">
        <f t="shared" si="141"/>
        <v/>
      </c>
      <c r="D850" s="9"/>
      <c r="E850" s="9"/>
      <c r="F850" s="9"/>
      <c r="G850" s="9"/>
    </row>
    <row r="851" spans="1:7" x14ac:dyDescent="0.2">
      <c r="A851" s="9" t="str">
        <f t="shared" si="140"/>
        <v/>
      </c>
      <c r="C851" s="9" t="str">
        <f t="shared" si="141"/>
        <v/>
      </c>
      <c r="D851" s="9"/>
      <c r="E851" s="9"/>
      <c r="F851" s="9"/>
      <c r="G851" s="9"/>
    </row>
    <row r="852" spans="1:7" x14ac:dyDescent="0.2">
      <c r="A852" s="9" t="str">
        <f t="shared" si="140"/>
        <v/>
      </c>
      <c r="C852" s="9" t="str">
        <f t="shared" si="141"/>
        <v/>
      </c>
      <c r="D852" s="9"/>
      <c r="E852" s="9"/>
      <c r="F852" s="9"/>
      <c r="G852" s="9"/>
    </row>
    <row r="853" spans="1:7" x14ac:dyDescent="0.2">
      <c r="A853" s="9" t="str">
        <f t="shared" si="140"/>
        <v/>
      </c>
      <c r="C853" s="9" t="str">
        <f t="shared" si="141"/>
        <v/>
      </c>
      <c r="D853" s="9"/>
      <c r="E853" s="9"/>
      <c r="F853" s="9"/>
      <c r="G853" s="9"/>
    </row>
    <row r="854" spans="1:7" x14ac:dyDescent="0.2">
      <c r="A854" s="9" t="str">
        <f t="shared" si="140"/>
        <v/>
      </c>
      <c r="C854" s="9" t="str">
        <f t="shared" si="141"/>
        <v/>
      </c>
      <c r="D854" s="9"/>
      <c r="E854" s="9"/>
      <c r="F854" s="9"/>
      <c r="G854" s="9"/>
    </row>
    <row r="855" spans="1:7" x14ac:dyDescent="0.2">
      <c r="A855" s="9" t="str">
        <f t="shared" si="140"/>
        <v/>
      </c>
      <c r="C855" s="9" t="str">
        <f t="shared" si="141"/>
        <v/>
      </c>
      <c r="D855" s="9"/>
      <c r="E855" s="9"/>
      <c r="F855" s="9"/>
      <c r="G855" s="9"/>
    </row>
    <row r="856" spans="1:7" x14ac:dyDescent="0.2">
      <c r="A856" s="9" t="str">
        <f t="shared" si="140"/>
        <v/>
      </c>
      <c r="C856" s="9" t="str">
        <f t="shared" si="141"/>
        <v/>
      </c>
      <c r="D856" s="9"/>
      <c r="E856" s="9"/>
      <c r="F856" s="9"/>
      <c r="G856" s="9"/>
    </row>
    <row r="857" spans="1:7" x14ac:dyDescent="0.2">
      <c r="A857" s="9" t="str">
        <f t="shared" si="140"/>
        <v/>
      </c>
      <c r="C857" s="9" t="str">
        <f t="shared" si="141"/>
        <v/>
      </c>
      <c r="D857" s="9"/>
      <c r="E857" s="9"/>
      <c r="F857" s="9"/>
      <c r="G857" s="9"/>
    </row>
    <row r="858" spans="1:7" x14ac:dyDescent="0.2">
      <c r="A858" s="9" t="str">
        <f t="shared" si="140"/>
        <v/>
      </c>
      <c r="C858" s="9" t="str">
        <f t="shared" si="141"/>
        <v/>
      </c>
      <c r="D858" s="9"/>
      <c r="E858" s="9"/>
      <c r="F858" s="9"/>
      <c r="G858" s="9"/>
    </row>
    <row r="859" spans="1:7" x14ac:dyDescent="0.2">
      <c r="A859" s="9" t="str">
        <f t="shared" si="140"/>
        <v/>
      </c>
      <c r="C859" s="9" t="str">
        <f t="shared" si="141"/>
        <v/>
      </c>
      <c r="D859" s="9"/>
      <c r="E859" s="9"/>
      <c r="F859" s="9"/>
      <c r="G859" s="9"/>
    </row>
    <row r="860" spans="1:7" x14ac:dyDescent="0.2">
      <c r="A860" s="9" t="str">
        <f t="shared" si="140"/>
        <v/>
      </c>
      <c r="C860" s="9" t="str">
        <f t="shared" si="141"/>
        <v/>
      </c>
      <c r="D860" s="9"/>
      <c r="E860" s="9"/>
      <c r="F860" s="9"/>
      <c r="G860" s="9"/>
    </row>
    <row r="861" spans="1:7" x14ac:dyDescent="0.2">
      <c r="A861" s="9" t="str">
        <f t="shared" si="140"/>
        <v/>
      </c>
      <c r="C861" s="9" t="str">
        <f t="shared" si="141"/>
        <v/>
      </c>
      <c r="D861" s="9"/>
      <c r="E861" s="9"/>
      <c r="F861" s="9"/>
      <c r="G861" s="9"/>
    </row>
    <row r="862" spans="1:7" x14ac:dyDescent="0.2">
      <c r="A862" s="9" t="str">
        <f t="shared" si="140"/>
        <v/>
      </c>
      <c r="C862" s="9" t="str">
        <f t="shared" si="141"/>
        <v/>
      </c>
      <c r="D862" s="9"/>
      <c r="E862" s="9"/>
      <c r="F862" s="9"/>
      <c r="G862" s="9"/>
    </row>
    <row r="863" spans="1:7" x14ac:dyDescent="0.2">
      <c r="A863" s="9" t="str">
        <f t="shared" ref="A863:A926" si="142">IF(B863="","",A862+1)</f>
        <v/>
      </c>
      <c r="C863" s="9" t="str">
        <f t="shared" ref="C863:C926" si="143">IF(B863="","","vs")</f>
        <v/>
      </c>
      <c r="D863" s="9"/>
      <c r="E863" s="9"/>
      <c r="F863" s="9"/>
      <c r="G863" s="9"/>
    </row>
    <row r="864" spans="1:7" x14ac:dyDescent="0.2">
      <c r="A864" s="9" t="str">
        <f t="shared" si="142"/>
        <v/>
      </c>
      <c r="C864" s="9" t="str">
        <f t="shared" si="143"/>
        <v/>
      </c>
      <c r="D864" s="9"/>
      <c r="E864" s="9"/>
      <c r="F864" s="9"/>
      <c r="G864" s="9"/>
    </row>
    <row r="865" spans="1:7" x14ac:dyDescent="0.2">
      <c r="A865" s="9" t="str">
        <f t="shared" si="142"/>
        <v/>
      </c>
      <c r="C865" s="9" t="str">
        <f t="shared" si="143"/>
        <v/>
      </c>
      <c r="D865" s="9"/>
      <c r="E865" s="9"/>
      <c r="F865" s="9"/>
      <c r="G865" s="9"/>
    </row>
    <row r="866" spans="1:7" x14ac:dyDescent="0.2">
      <c r="A866" s="9" t="str">
        <f t="shared" si="142"/>
        <v/>
      </c>
      <c r="C866" s="9" t="str">
        <f t="shared" si="143"/>
        <v/>
      </c>
      <c r="D866" s="9"/>
      <c r="E866" s="9"/>
      <c r="F866" s="9"/>
      <c r="G866" s="9"/>
    </row>
    <row r="867" spans="1:7" x14ac:dyDescent="0.2">
      <c r="A867" s="9" t="str">
        <f t="shared" si="142"/>
        <v/>
      </c>
      <c r="C867" s="9" t="str">
        <f t="shared" si="143"/>
        <v/>
      </c>
      <c r="D867" s="9"/>
      <c r="E867" s="9"/>
      <c r="F867" s="9"/>
      <c r="G867" s="9"/>
    </row>
    <row r="868" spans="1:7" x14ac:dyDescent="0.2">
      <c r="A868" s="9" t="str">
        <f t="shared" si="142"/>
        <v/>
      </c>
      <c r="C868" s="9" t="str">
        <f t="shared" si="143"/>
        <v/>
      </c>
      <c r="D868" s="9"/>
      <c r="E868" s="9"/>
      <c r="F868" s="9"/>
      <c r="G868" s="9"/>
    </row>
    <row r="869" spans="1:7" x14ac:dyDescent="0.2">
      <c r="A869" s="9" t="str">
        <f t="shared" si="142"/>
        <v/>
      </c>
      <c r="C869" s="9" t="str">
        <f t="shared" si="143"/>
        <v/>
      </c>
      <c r="D869" s="9"/>
      <c r="E869" s="9"/>
      <c r="F869" s="9"/>
      <c r="G869" s="9"/>
    </row>
    <row r="870" spans="1:7" x14ac:dyDescent="0.2">
      <c r="A870" s="9" t="str">
        <f t="shared" si="142"/>
        <v/>
      </c>
      <c r="C870" s="9" t="str">
        <f t="shared" si="143"/>
        <v/>
      </c>
      <c r="D870" s="9"/>
      <c r="E870" s="9"/>
      <c r="F870" s="9"/>
      <c r="G870" s="9"/>
    </row>
    <row r="871" spans="1:7" x14ac:dyDescent="0.2">
      <c r="A871" s="9" t="str">
        <f t="shared" si="142"/>
        <v/>
      </c>
      <c r="C871" s="9" t="str">
        <f t="shared" si="143"/>
        <v/>
      </c>
      <c r="D871" s="9"/>
      <c r="E871" s="9"/>
      <c r="F871" s="9"/>
      <c r="G871" s="9"/>
    </row>
    <row r="872" spans="1:7" x14ac:dyDescent="0.2">
      <c r="A872" s="9" t="str">
        <f t="shared" si="142"/>
        <v/>
      </c>
      <c r="C872" s="9" t="str">
        <f t="shared" si="143"/>
        <v/>
      </c>
      <c r="D872" s="9"/>
      <c r="E872" s="9"/>
      <c r="F872" s="9"/>
      <c r="G872" s="9"/>
    </row>
    <row r="873" spans="1:7" x14ac:dyDescent="0.2">
      <c r="A873" s="9" t="str">
        <f t="shared" si="142"/>
        <v/>
      </c>
      <c r="C873" s="9" t="str">
        <f t="shared" si="143"/>
        <v/>
      </c>
      <c r="D873" s="9"/>
      <c r="E873" s="9"/>
      <c r="F873" s="9"/>
      <c r="G873" s="9"/>
    </row>
    <row r="874" spans="1:7" x14ac:dyDescent="0.2">
      <c r="A874" s="9" t="str">
        <f t="shared" si="142"/>
        <v/>
      </c>
      <c r="C874" s="9" t="str">
        <f t="shared" si="143"/>
        <v/>
      </c>
      <c r="D874" s="9"/>
      <c r="E874" s="9"/>
      <c r="F874" s="9"/>
      <c r="G874" s="9"/>
    </row>
    <row r="875" spans="1:7" x14ac:dyDescent="0.2">
      <c r="A875" s="9" t="str">
        <f t="shared" si="142"/>
        <v/>
      </c>
      <c r="C875" s="9" t="str">
        <f t="shared" si="143"/>
        <v/>
      </c>
      <c r="D875" s="9"/>
      <c r="E875" s="9"/>
      <c r="F875" s="9"/>
      <c r="G875" s="9"/>
    </row>
    <row r="876" spans="1:7" x14ac:dyDescent="0.2">
      <c r="A876" s="9" t="str">
        <f t="shared" si="142"/>
        <v/>
      </c>
      <c r="C876" s="9" t="str">
        <f t="shared" si="143"/>
        <v/>
      </c>
      <c r="D876" s="9"/>
      <c r="E876" s="9"/>
      <c r="F876" s="9"/>
      <c r="G876" s="9"/>
    </row>
    <row r="877" spans="1:7" x14ac:dyDescent="0.2">
      <c r="A877" s="9" t="str">
        <f t="shared" si="142"/>
        <v/>
      </c>
      <c r="C877" s="9" t="str">
        <f t="shared" si="143"/>
        <v/>
      </c>
      <c r="D877" s="9"/>
      <c r="E877" s="9"/>
      <c r="F877" s="9"/>
      <c r="G877" s="9"/>
    </row>
    <row r="878" spans="1:7" x14ac:dyDescent="0.2">
      <c r="A878" s="9" t="str">
        <f t="shared" si="142"/>
        <v/>
      </c>
      <c r="C878" s="9" t="str">
        <f t="shared" si="143"/>
        <v/>
      </c>
      <c r="D878" s="9"/>
      <c r="E878" s="9"/>
      <c r="F878" s="9"/>
      <c r="G878" s="9"/>
    </row>
    <row r="879" spans="1:7" x14ac:dyDescent="0.2">
      <c r="A879" s="9" t="str">
        <f t="shared" si="142"/>
        <v/>
      </c>
      <c r="C879" s="9" t="str">
        <f t="shared" si="143"/>
        <v/>
      </c>
      <c r="D879" s="9"/>
      <c r="E879" s="9"/>
      <c r="F879" s="9"/>
      <c r="G879" s="9"/>
    </row>
    <row r="880" spans="1:7" x14ac:dyDescent="0.2">
      <c r="A880" s="9" t="str">
        <f t="shared" si="142"/>
        <v/>
      </c>
      <c r="C880" s="9" t="str">
        <f t="shared" si="143"/>
        <v/>
      </c>
      <c r="D880" s="9"/>
      <c r="E880" s="9"/>
      <c r="F880" s="9"/>
      <c r="G880" s="9"/>
    </row>
    <row r="881" spans="1:7" x14ac:dyDescent="0.2">
      <c r="A881" s="9" t="str">
        <f t="shared" si="142"/>
        <v/>
      </c>
      <c r="C881" s="9" t="str">
        <f t="shared" si="143"/>
        <v/>
      </c>
      <c r="D881" s="9"/>
      <c r="E881" s="9"/>
      <c r="F881" s="9"/>
      <c r="G881" s="9"/>
    </row>
    <row r="882" spans="1:7" x14ac:dyDescent="0.2">
      <c r="A882" s="9" t="str">
        <f t="shared" si="142"/>
        <v/>
      </c>
      <c r="C882" s="9" t="str">
        <f t="shared" si="143"/>
        <v/>
      </c>
      <c r="D882" s="9"/>
      <c r="E882" s="9"/>
      <c r="F882" s="9"/>
      <c r="G882" s="9"/>
    </row>
    <row r="883" spans="1:7" x14ac:dyDescent="0.2">
      <c r="A883" s="9" t="str">
        <f t="shared" si="142"/>
        <v/>
      </c>
      <c r="C883" s="9" t="str">
        <f t="shared" si="143"/>
        <v/>
      </c>
      <c r="D883" s="9"/>
      <c r="E883" s="9"/>
      <c r="F883" s="9"/>
      <c r="G883" s="9"/>
    </row>
    <row r="884" spans="1:7" x14ac:dyDescent="0.2">
      <c r="A884" s="9" t="str">
        <f t="shared" si="142"/>
        <v/>
      </c>
      <c r="C884" s="9" t="str">
        <f t="shared" si="143"/>
        <v/>
      </c>
      <c r="D884" s="9"/>
      <c r="E884" s="9"/>
      <c r="F884" s="9"/>
      <c r="G884" s="9"/>
    </row>
    <row r="885" spans="1:7" x14ac:dyDescent="0.2">
      <c r="A885" s="9" t="str">
        <f t="shared" si="142"/>
        <v/>
      </c>
      <c r="C885" s="9" t="str">
        <f t="shared" si="143"/>
        <v/>
      </c>
      <c r="D885" s="9"/>
      <c r="E885" s="9"/>
      <c r="F885" s="9"/>
      <c r="G885" s="9"/>
    </row>
    <row r="886" spans="1:7" x14ac:dyDescent="0.2">
      <c r="A886" s="9" t="str">
        <f t="shared" si="142"/>
        <v/>
      </c>
      <c r="C886" s="9" t="str">
        <f t="shared" si="143"/>
        <v/>
      </c>
      <c r="D886" s="9"/>
      <c r="E886" s="9"/>
      <c r="F886" s="9"/>
      <c r="G886" s="9"/>
    </row>
    <row r="887" spans="1:7" x14ac:dyDescent="0.2">
      <c r="A887" s="9" t="str">
        <f t="shared" si="142"/>
        <v/>
      </c>
      <c r="C887" s="9" t="str">
        <f t="shared" si="143"/>
        <v/>
      </c>
      <c r="D887" s="9"/>
      <c r="E887" s="9"/>
      <c r="F887" s="9"/>
      <c r="G887" s="9"/>
    </row>
    <row r="888" spans="1:7" x14ac:dyDescent="0.2">
      <c r="A888" s="9" t="str">
        <f t="shared" si="142"/>
        <v/>
      </c>
      <c r="C888" s="9" t="str">
        <f t="shared" si="143"/>
        <v/>
      </c>
      <c r="D888" s="9"/>
      <c r="E888" s="9"/>
      <c r="F888" s="9"/>
      <c r="G888" s="9"/>
    </row>
    <row r="889" spans="1:7" x14ac:dyDescent="0.2">
      <c r="A889" s="9" t="str">
        <f t="shared" si="142"/>
        <v/>
      </c>
      <c r="C889" s="9" t="str">
        <f t="shared" si="143"/>
        <v/>
      </c>
      <c r="D889" s="9"/>
      <c r="E889" s="9"/>
      <c r="F889" s="9"/>
      <c r="G889" s="9"/>
    </row>
    <row r="890" spans="1:7" x14ac:dyDescent="0.2">
      <c r="A890" s="9" t="str">
        <f t="shared" si="142"/>
        <v/>
      </c>
      <c r="C890" s="9" t="str">
        <f t="shared" si="143"/>
        <v/>
      </c>
      <c r="D890" s="9"/>
      <c r="E890" s="9"/>
      <c r="F890" s="9"/>
      <c r="G890" s="9"/>
    </row>
    <row r="891" spans="1:7" x14ac:dyDescent="0.2">
      <c r="A891" s="9" t="str">
        <f t="shared" si="142"/>
        <v/>
      </c>
      <c r="C891" s="9" t="str">
        <f t="shared" si="143"/>
        <v/>
      </c>
      <c r="D891" s="9"/>
      <c r="E891" s="9"/>
      <c r="F891" s="9"/>
      <c r="G891" s="9"/>
    </row>
    <row r="892" spans="1:7" x14ac:dyDescent="0.2">
      <c r="A892" s="9" t="str">
        <f t="shared" si="142"/>
        <v/>
      </c>
      <c r="C892" s="9" t="str">
        <f t="shared" si="143"/>
        <v/>
      </c>
      <c r="D892" s="9"/>
      <c r="E892" s="9"/>
      <c r="F892" s="9"/>
      <c r="G892" s="9"/>
    </row>
    <row r="893" spans="1:7" x14ac:dyDescent="0.2">
      <c r="A893" s="9" t="str">
        <f t="shared" si="142"/>
        <v/>
      </c>
      <c r="C893" s="9" t="str">
        <f t="shared" si="143"/>
        <v/>
      </c>
      <c r="D893" s="9"/>
      <c r="E893" s="9"/>
      <c r="F893" s="9"/>
      <c r="G893" s="9"/>
    </row>
    <row r="894" spans="1:7" x14ac:dyDescent="0.2">
      <c r="A894" s="9" t="str">
        <f t="shared" si="142"/>
        <v/>
      </c>
      <c r="C894" s="9" t="str">
        <f t="shared" si="143"/>
        <v/>
      </c>
      <c r="D894" s="9"/>
      <c r="E894" s="9"/>
      <c r="F894" s="9"/>
      <c r="G894" s="9"/>
    </row>
    <row r="895" spans="1:7" x14ac:dyDescent="0.2">
      <c r="A895" s="9" t="str">
        <f t="shared" si="142"/>
        <v/>
      </c>
      <c r="C895" s="9" t="str">
        <f t="shared" si="143"/>
        <v/>
      </c>
      <c r="D895" s="9"/>
      <c r="E895" s="9"/>
      <c r="F895" s="9"/>
      <c r="G895" s="9"/>
    </row>
    <row r="896" spans="1:7" x14ac:dyDescent="0.2">
      <c r="A896" s="9" t="str">
        <f t="shared" si="142"/>
        <v/>
      </c>
      <c r="C896" s="9" t="str">
        <f t="shared" si="143"/>
        <v/>
      </c>
      <c r="D896" s="9"/>
      <c r="E896" s="9"/>
      <c r="F896" s="9"/>
      <c r="G896" s="9"/>
    </row>
    <row r="897" spans="1:7" x14ac:dyDescent="0.2">
      <c r="A897" s="9" t="str">
        <f t="shared" si="142"/>
        <v/>
      </c>
      <c r="C897" s="9" t="str">
        <f t="shared" si="143"/>
        <v/>
      </c>
      <c r="D897" s="9"/>
      <c r="E897" s="9"/>
      <c r="F897" s="9"/>
      <c r="G897" s="9"/>
    </row>
    <row r="898" spans="1:7" x14ac:dyDescent="0.2">
      <c r="A898" s="9" t="str">
        <f t="shared" si="142"/>
        <v/>
      </c>
      <c r="C898" s="9" t="str">
        <f t="shared" si="143"/>
        <v/>
      </c>
      <c r="D898" s="9"/>
      <c r="E898" s="9"/>
      <c r="F898" s="9"/>
      <c r="G898" s="9"/>
    </row>
    <row r="899" spans="1:7" x14ac:dyDescent="0.2">
      <c r="A899" s="9" t="str">
        <f t="shared" si="142"/>
        <v/>
      </c>
      <c r="C899" s="9" t="str">
        <f t="shared" si="143"/>
        <v/>
      </c>
      <c r="D899" s="9"/>
      <c r="E899" s="9"/>
      <c r="F899" s="9"/>
      <c r="G899" s="9"/>
    </row>
    <row r="900" spans="1:7" x14ac:dyDescent="0.2">
      <c r="A900" s="9" t="str">
        <f t="shared" si="142"/>
        <v/>
      </c>
      <c r="C900" s="9" t="str">
        <f t="shared" si="143"/>
        <v/>
      </c>
      <c r="D900" s="9"/>
      <c r="E900" s="9"/>
      <c r="F900" s="9"/>
      <c r="G900" s="9"/>
    </row>
    <row r="901" spans="1:7" x14ac:dyDescent="0.2">
      <c r="A901" s="9" t="str">
        <f t="shared" si="142"/>
        <v/>
      </c>
      <c r="C901" s="9" t="str">
        <f t="shared" si="143"/>
        <v/>
      </c>
      <c r="D901" s="9"/>
      <c r="E901" s="9"/>
      <c r="F901" s="9"/>
      <c r="G901" s="9"/>
    </row>
    <row r="902" spans="1:7" x14ac:dyDescent="0.2">
      <c r="A902" s="9" t="str">
        <f t="shared" si="142"/>
        <v/>
      </c>
      <c r="C902" s="9" t="str">
        <f t="shared" si="143"/>
        <v/>
      </c>
      <c r="E902" s="9"/>
    </row>
    <row r="903" spans="1:7" x14ac:dyDescent="0.2">
      <c r="A903" s="9" t="str">
        <f t="shared" si="142"/>
        <v/>
      </c>
      <c r="C903" s="9" t="str">
        <f t="shared" si="143"/>
        <v/>
      </c>
      <c r="E903" s="9"/>
    </row>
    <row r="904" spans="1:7" x14ac:dyDescent="0.2">
      <c r="A904" s="9" t="str">
        <f t="shared" si="142"/>
        <v/>
      </c>
      <c r="C904" s="9" t="str">
        <f t="shared" si="143"/>
        <v/>
      </c>
      <c r="E904" s="9"/>
    </row>
    <row r="905" spans="1:7" x14ac:dyDescent="0.2">
      <c r="A905" s="9" t="str">
        <f t="shared" si="142"/>
        <v/>
      </c>
      <c r="C905" s="9" t="str">
        <f t="shared" si="143"/>
        <v/>
      </c>
      <c r="E905" s="9"/>
    </row>
    <row r="906" spans="1:7" x14ac:dyDescent="0.2">
      <c r="A906" s="9" t="str">
        <f t="shared" si="142"/>
        <v/>
      </c>
      <c r="C906" s="9" t="str">
        <f t="shared" si="143"/>
        <v/>
      </c>
      <c r="E906" s="9"/>
    </row>
    <row r="907" spans="1:7" x14ac:dyDescent="0.2">
      <c r="A907" s="9" t="str">
        <f t="shared" si="142"/>
        <v/>
      </c>
      <c r="C907" s="9" t="str">
        <f t="shared" si="143"/>
        <v/>
      </c>
      <c r="E907" s="9"/>
    </row>
    <row r="908" spans="1:7" x14ac:dyDescent="0.2">
      <c r="A908" s="9" t="str">
        <f t="shared" si="142"/>
        <v/>
      </c>
      <c r="C908" s="9" t="str">
        <f t="shared" si="143"/>
        <v/>
      </c>
      <c r="E908" s="9"/>
    </row>
    <row r="909" spans="1:7" x14ac:dyDescent="0.2">
      <c r="A909" s="9" t="str">
        <f t="shared" si="142"/>
        <v/>
      </c>
      <c r="C909" s="9" t="str">
        <f t="shared" si="143"/>
        <v/>
      </c>
      <c r="E909" s="9"/>
    </row>
    <row r="910" spans="1:7" x14ac:dyDescent="0.2">
      <c r="A910" s="9" t="str">
        <f t="shared" si="142"/>
        <v/>
      </c>
      <c r="C910" s="9" t="str">
        <f t="shared" si="143"/>
        <v/>
      </c>
      <c r="E910" s="9"/>
    </row>
    <row r="911" spans="1:7" x14ac:dyDescent="0.2">
      <c r="A911" s="9" t="str">
        <f t="shared" si="142"/>
        <v/>
      </c>
      <c r="C911" s="9" t="str">
        <f t="shared" si="143"/>
        <v/>
      </c>
      <c r="E911" s="9"/>
    </row>
    <row r="912" spans="1:7" x14ac:dyDescent="0.2">
      <c r="A912" s="9" t="str">
        <f t="shared" si="142"/>
        <v/>
      </c>
      <c r="C912" s="9" t="str">
        <f t="shared" si="143"/>
        <v/>
      </c>
      <c r="E912" s="9"/>
    </row>
    <row r="913" spans="1:5" x14ac:dyDescent="0.2">
      <c r="A913" s="9" t="str">
        <f t="shared" si="142"/>
        <v/>
      </c>
      <c r="C913" s="9" t="str">
        <f t="shared" si="143"/>
        <v/>
      </c>
      <c r="E913" s="9"/>
    </row>
    <row r="914" spans="1:5" x14ac:dyDescent="0.2">
      <c r="A914" s="9" t="str">
        <f t="shared" si="142"/>
        <v/>
      </c>
      <c r="C914" s="9" t="str">
        <f t="shared" si="143"/>
        <v/>
      </c>
      <c r="E914" s="9"/>
    </row>
    <row r="915" spans="1:5" x14ac:dyDescent="0.2">
      <c r="A915" s="9" t="str">
        <f t="shared" si="142"/>
        <v/>
      </c>
      <c r="C915" s="9" t="str">
        <f t="shared" si="143"/>
        <v/>
      </c>
      <c r="E915" s="9"/>
    </row>
    <row r="916" spans="1:5" x14ac:dyDescent="0.2">
      <c r="A916" s="9" t="str">
        <f t="shared" si="142"/>
        <v/>
      </c>
      <c r="C916" s="9" t="str">
        <f t="shared" si="143"/>
        <v/>
      </c>
      <c r="E916" s="9"/>
    </row>
    <row r="917" spans="1:5" x14ac:dyDescent="0.2">
      <c r="A917" s="9" t="str">
        <f t="shared" si="142"/>
        <v/>
      </c>
      <c r="C917" s="9" t="str">
        <f t="shared" si="143"/>
        <v/>
      </c>
      <c r="E917" s="9"/>
    </row>
    <row r="918" spans="1:5" x14ac:dyDescent="0.2">
      <c r="A918" s="9" t="str">
        <f t="shared" si="142"/>
        <v/>
      </c>
      <c r="C918" s="9" t="str">
        <f t="shared" si="143"/>
        <v/>
      </c>
      <c r="E918" s="9"/>
    </row>
    <row r="919" spans="1:5" x14ac:dyDescent="0.2">
      <c r="A919" s="9" t="str">
        <f t="shared" si="142"/>
        <v/>
      </c>
      <c r="C919" s="9" t="str">
        <f t="shared" si="143"/>
        <v/>
      </c>
      <c r="E919" s="9"/>
    </row>
    <row r="920" spans="1:5" x14ac:dyDescent="0.2">
      <c r="A920" s="9" t="str">
        <f t="shared" si="142"/>
        <v/>
      </c>
      <c r="C920" s="9" t="str">
        <f t="shared" si="143"/>
        <v/>
      </c>
      <c r="E920" s="9"/>
    </row>
    <row r="921" spans="1:5" x14ac:dyDescent="0.2">
      <c r="A921" s="9" t="str">
        <f t="shared" si="142"/>
        <v/>
      </c>
      <c r="C921" s="9" t="str">
        <f t="shared" si="143"/>
        <v/>
      </c>
      <c r="E921" s="9"/>
    </row>
    <row r="922" spans="1:5" x14ac:dyDescent="0.2">
      <c r="A922" s="9" t="str">
        <f t="shared" si="142"/>
        <v/>
      </c>
      <c r="C922" s="9" t="str">
        <f t="shared" si="143"/>
        <v/>
      </c>
      <c r="E922" s="9"/>
    </row>
    <row r="923" spans="1:5" x14ac:dyDescent="0.2">
      <c r="A923" s="9" t="str">
        <f t="shared" si="142"/>
        <v/>
      </c>
      <c r="C923" s="9" t="str">
        <f t="shared" si="143"/>
        <v/>
      </c>
      <c r="E923" s="9"/>
    </row>
    <row r="924" spans="1:5" x14ac:dyDescent="0.2">
      <c r="A924" s="9" t="str">
        <f t="shared" si="142"/>
        <v/>
      </c>
      <c r="C924" s="9" t="str">
        <f t="shared" si="143"/>
        <v/>
      </c>
      <c r="E924" s="9"/>
    </row>
    <row r="925" spans="1:5" x14ac:dyDescent="0.2">
      <c r="A925" s="9" t="str">
        <f t="shared" si="142"/>
        <v/>
      </c>
      <c r="C925" s="9" t="str">
        <f t="shared" si="143"/>
        <v/>
      </c>
      <c r="E925" s="9"/>
    </row>
    <row r="926" spans="1:5" x14ac:dyDescent="0.2">
      <c r="A926" s="9" t="str">
        <f t="shared" si="142"/>
        <v/>
      </c>
      <c r="C926" s="9" t="str">
        <f t="shared" si="143"/>
        <v/>
      </c>
      <c r="E926" s="9"/>
    </row>
    <row r="927" spans="1:5" x14ac:dyDescent="0.2">
      <c r="A927" s="9" t="str">
        <f t="shared" ref="A927:A990" si="144">IF(B927="","",A926+1)</f>
        <v/>
      </c>
      <c r="C927" s="9" t="str">
        <f t="shared" ref="C927:C990" si="145">IF(B927="","","vs")</f>
        <v/>
      </c>
      <c r="E927" s="9"/>
    </row>
    <row r="928" spans="1:5" x14ac:dyDescent="0.2">
      <c r="A928" s="9" t="str">
        <f t="shared" si="144"/>
        <v/>
      </c>
      <c r="C928" s="9" t="str">
        <f t="shared" si="145"/>
        <v/>
      </c>
      <c r="E928" s="9"/>
    </row>
    <row r="929" spans="1:5" x14ac:dyDescent="0.2">
      <c r="A929" s="9" t="str">
        <f t="shared" si="144"/>
        <v/>
      </c>
      <c r="C929" s="9" t="str">
        <f t="shared" si="145"/>
        <v/>
      </c>
      <c r="E929" s="9"/>
    </row>
    <row r="930" spans="1:5" x14ac:dyDescent="0.2">
      <c r="A930" s="9" t="str">
        <f t="shared" si="144"/>
        <v/>
      </c>
      <c r="C930" s="9" t="str">
        <f t="shared" si="145"/>
        <v/>
      </c>
      <c r="E930" s="9"/>
    </row>
    <row r="931" spans="1:5" x14ac:dyDescent="0.2">
      <c r="A931" s="9" t="str">
        <f t="shared" si="144"/>
        <v/>
      </c>
      <c r="C931" s="9" t="str">
        <f t="shared" si="145"/>
        <v/>
      </c>
      <c r="E931" s="9"/>
    </row>
    <row r="932" spans="1:5" x14ac:dyDescent="0.2">
      <c r="A932" s="9" t="str">
        <f t="shared" si="144"/>
        <v/>
      </c>
      <c r="C932" s="9" t="str">
        <f t="shared" si="145"/>
        <v/>
      </c>
      <c r="E932" s="9"/>
    </row>
    <row r="933" spans="1:5" x14ac:dyDescent="0.2">
      <c r="A933" s="9" t="str">
        <f t="shared" si="144"/>
        <v/>
      </c>
      <c r="C933" s="9" t="str">
        <f t="shared" si="145"/>
        <v/>
      </c>
      <c r="E933" s="9"/>
    </row>
    <row r="934" spans="1:5" x14ac:dyDescent="0.2">
      <c r="A934" s="9" t="str">
        <f t="shared" si="144"/>
        <v/>
      </c>
      <c r="C934" s="9" t="str">
        <f t="shared" si="145"/>
        <v/>
      </c>
      <c r="E934" s="9"/>
    </row>
    <row r="935" spans="1:5" x14ac:dyDescent="0.2">
      <c r="A935" s="9" t="str">
        <f t="shared" si="144"/>
        <v/>
      </c>
      <c r="C935" s="9" t="str">
        <f t="shared" si="145"/>
        <v/>
      </c>
      <c r="E935" s="9"/>
    </row>
    <row r="936" spans="1:5" x14ac:dyDescent="0.2">
      <c r="A936" s="9" t="str">
        <f t="shared" si="144"/>
        <v/>
      </c>
      <c r="C936" s="9" t="str">
        <f t="shared" si="145"/>
        <v/>
      </c>
      <c r="E936" s="9"/>
    </row>
    <row r="937" spans="1:5" x14ac:dyDescent="0.2">
      <c r="A937" s="9" t="str">
        <f t="shared" si="144"/>
        <v/>
      </c>
      <c r="C937" s="9" t="str">
        <f t="shared" si="145"/>
        <v/>
      </c>
      <c r="E937" s="9"/>
    </row>
    <row r="938" spans="1:5" x14ac:dyDescent="0.2">
      <c r="A938" s="9" t="str">
        <f t="shared" si="144"/>
        <v/>
      </c>
      <c r="C938" s="9" t="str">
        <f t="shared" si="145"/>
        <v/>
      </c>
      <c r="E938" s="9"/>
    </row>
    <row r="939" spans="1:5" x14ac:dyDescent="0.2">
      <c r="A939" s="9" t="str">
        <f t="shared" si="144"/>
        <v/>
      </c>
      <c r="C939" s="9" t="str">
        <f t="shared" si="145"/>
        <v/>
      </c>
      <c r="E939" s="9"/>
    </row>
    <row r="940" spans="1:5" x14ac:dyDescent="0.2">
      <c r="A940" s="9" t="str">
        <f t="shared" si="144"/>
        <v/>
      </c>
      <c r="C940" s="9" t="str">
        <f t="shared" si="145"/>
        <v/>
      </c>
      <c r="E940" s="9"/>
    </row>
    <row r="941" spans="1:5" x14ac:dyDescent="0.2">
      <c r="A941" s="9" t="str">
        <f t="shared" si="144"/>
        <v/>
      </c>
      <c r="C941" s="9" t="str">
        <f t="shared" si="145"/>
        <v/>
      </c>
      <c r="E941" s="9"/>
    </row>
    <row r="942" spans="1:5" x14ac:dyDescent="0.2">
      <c r="A942" s="9" t="str">
        <f t="shared" si="144"/>
        <v/>
      </c>
      <c r="C942" s="9" t="str">
        <f t="shared" si="145"/>
        <v/>
      </c>
      <c r="E942" s="9"/>
    </row>
    <row r="943" spans="1:5" x14ac:dyDescent="0.2">
      <c r="A943" s="9" t="str">
        <f t="shared" si="144"/>
        <v/>
      </c>
      <c r="C943" s="9" t="str">
        <f t="shared" si="145"/>
        <v/>
      </c>
      <c r="E943" s="9"/>
    </row>
    <row r="944" spans="1:5" x14ac:dyDescent="0.2">
      <c r="A944" s="9" t="str">
        <f t="shared" si="144"/>
        <v/>
      </c>
      <c r="C944" s="9" t="str">
        <f t="shared" si="145"/>
        <v/>
      </c>
      <c r="E944" s="9"/>
    </row>
    <row r="945" spans="1:5" x14ac:dyDescent="0.2">
      <c r="A945" s="9" t="str">
        <f t="shared" si="144"/>
        <v/>
      </c>
      <c r="C945" s="9" t="str">
        <f t="shared" si="145"/>
        <v/>
      </c>
      <c r="E945" s="9"/>
    </row>
    <row r="946" spans="1:5" x14ac:dyDescent="0.2">
      <c r="A946" s="9" t="str">
        <f t="shared" si="144"/>
        <v/>
      </c>
      <c r="C946" s="9" t="str">
        <f t="shared" si="145"/>
        <v/>
      </c>
      <c r="E946" s="9"/>
    </row>
    <row r="947" spans="1:5" x14ac:dyDescent="0.2">
      <c r="A947" s="9" t="str">
        <f t="shared" si="144"/>
        <v/>
      </c>
      <c r="C947" s="9" t="str">
        <f t="shared" si="145"/>
        <v/>
      </c>
      <c r="E947" s="9"/>
    </row>
    <row r="948" spans="1:5" x14ac:dyDescent="0.2">
      <c r="A948" s="9" t="str">
        <f t="shared" si="144"/>
        <v/>
      </c>
      <c r="C948" s="9" t="str">
        <f t="shared" si="145"/>
        <v/>
      </c>
      <c r="E948" s="9"/>
    </row>
    <row r="949" spans="1:5" x14ac:dyDescent="0.2">
      <c r="A949" s="9" t="str">
        <f t="shared" si="144"/>
        <v/>
      </c>
      <c r="C949" s="9" t="str">
        <f t="shared" si="145"/>
        <v/>
      </c>
      <c r="E949" s="9"/>
    </row>
    <row r="950" spans="1:5" x14ac:dyDescent="0.2">
      <c r="A950" s="9" t="str">
        <f t="shared" si="144"/>
        <v/>
      </c>
      <c r="C950" s="9" t="str">
        <f t="shared" si="145"/>
        <v/>
      </c>
      <c r="E950" s="9"/>
    </row>
    <row r="951" spans="1:5" x14ac:dyDescent="0.2">
      <c r="A951" s="9" t="str">
        <f t="shared" si="144"/>
        <v/>
      </c>
      <c r="C951" s="9" t="str">
        <f t="shared" si="145"/>
        <v/>
      </c>
      <c r="E951" s="9"/>
    </row>
    <row r="952" spans="1:5" x14ac:dyDescent="0.2">
      <c r="A952" s="9" t="str">
        <f t="shared" si="144"/>
        <v/>
      </c>
      <c r="C952" s="9" t="str">
        <f t="shared" si="145"/>
        <v/>
      </c>
      <c r="E952" s="9"/>
    </row>
    <row r="953" spans="1:5" x14ac:dyDescent="0.2">
      <c r="A953" s="9" t="str">
        <f t="shared" si="144"/>
        <v/>
      </c>
      <c r="C953" s="9" t="str">
        <f t="shared" si="145"/>
        <v/>
      </c>
      <c r="E953" s="9"/>
    </row>
    <row r="954" spans="1:5" x14ac:dyDescent="0.2">
      <c r="A954" s="9" t="str">
        <f t="shared" si="144"/>
        <v/>
      </c>
      <c r="C954" s="9" t="str">
        <f t="shared" si="145"/>
        <v/>
      </c>
      <c r="E954" s="9"/>
    </row>
    <row r="955" spans="1:5" x14ac:dyDescent="0.2">
      <c r="A955" s="9" t="str">
        <f t="shared" si="144"/>
        <v/>
      </c>
      <c r="C955" s="9" t="str">
        <f t="shared" si="145"/>
        <v/>
      </c>
      <c r="E955" s="9"/>
    </row>
    <row r="956" spans="1:5" x14ac:dyDescent="0.2">
      <c r="A956" s="9" t="str">
        <f t="shared" si="144"/>
        <v/>
      </c>
      <c r="C956" s="9" t="str">
        <f t="shared" si="145"/>
        <v/>
      </c>
      <c r="E956" s="9"/>
    </row>
    <row r="957" spans="1:5" x14ac:dyDescent="0.2">
      <c r="A957" s="9" t="str">
        <f t="shared" si="144"/>
        <v/>
      </c>
      <c r="C957" s="9" t="str">
        <f t="shared" si="145"/>
        <v/>
      </c>
      <c r="E957" s="9"/>
    </row>
    <row r="958" spans="1:5" x14ac:dyDescent="0.2">
      <c r="A958" s="9" t="str">
        <f t="shared" si="144"/>
        <v/>
      </c>
      <c r="C958" s="9" t="str">
        <f t="shared" si="145"/>
        <v/>
      </c>
      <c r="E958" s="9"/>
    </row>
    <row r="959" spans="1:5" x14ac:dyDescent="0.2">
      <c r="A959" s="9" t="str">
        <f t="shared" si="144"/>
        <v/>
      </c>
      <c r="C959" s="9" t="str">
        <f t="shared" si="145"/>
        <v/>
      </c>
      <c r="E959" s="9"/>
    </row>
    <row r="960" spans="1:5" x14ac:dyDescent="0.2">
      <c r="A960" s="9" t="str">
        <f t="shared" si="144"/>
        <v/>
      </c>
      <c r="C960" s="9" t="str">
        <f t="shared" si="145"/>
        <v/>
      </c>
      <c r="E960" s="9"/>
    </row>
    <row r="961" spans="1:5" x14ac:dyDescent="0.2">
      <c r="A961" s="9" t="str">
        <f t="shared" si="144"/>
        <v/>
      </c>
      <c r="C961" s="9" t="str">
        <f t="shared" si="145"/>
        <v/>
      </c>
      <c r="E961" s="9"/>
    </row>
    <row r="962" spans="1:5" x14ac:dyDescent="0.2">
      <c r="A962" s="9" t="str">
        <f t="shared" si="144"/>
        <v/>
      </c>
      <c r="C962" s="9" t="str">
        <f t="shared" si="145"/>
        <v/>
      </c>
      <c r="E962" s="9"/>
    </row>
    <row r="963" spans="1:5" x14ac:dyDescent="0.2">
      <c r="A963" s="9" t="str">
        <f t="shared" si="144"/>
        <v/>
      </c>
      <c r="C963" s="9" t="str">
        <f t="shared" si="145"/>
        <v/>
      </c>
      <c r="E963" s="9"/>
    </row>
    <row r="964" spans="1:5" x14ac:dyDescent="0.2">
      <c r="A964" s="9" t="str">
        <f t="shared" si="144"/>
        <v/>
      </c>
      <c r="C964" s="9" t="str">
        <f t="shared" si="145"/>
        <v/>
      </c>
      <c r="E964" s="9"/>
    </row>
    <row r="965" spans="1:5" x14ac:dyDescent="0.2">
      <c r="A965" s="9" t="str">
        <f t="shared" si="144"/>
        <v/>
      </c>
      <c r="C965" s="9" t="str">
        <f t="shared" si="145"/>
        <v/>
      </c>
      <c r="E965" s="9"/>
    </row>
    <row r="966" spans="1:5" x14ac:dyDescent="0.2">
      <c r="A966" s="9" t="str">
        <f t="shared" si="144"/>
        <v/>
      </c>
      <c r="C966" s="9" t="str">
        <f t="shared" si="145"/>
        <v/>
      </c>
      <c r="E966" s="9"/>
    </row>
    <row r="967" spans="1:5" x14ac:dyDescent="0.2">
      <c r="A967" s="9" t="str">
        <f t="shared" si="144"/>
        <v/>
      </c>
      <c r="C967" s="9" t="str">
        <f t="shared" si="145"/>
        <v/>
      </c>
      <c r="E967" s="9"/>
    </row>
    <row r="968" spans="1:5" x14ac:dyDescent="0.2">
      <c r="A968" s="9" t="str">
        <f t="shared" si="144"/>
        <v/>
      </c>
      <c r="C968" s="9" t="str">
        <f t="shared" si="145"/>
        <v/>
      </c>
      <c r="E968" s="9"/>
    </row>
    <row r="969" spans="1:5" x14ac:dyDescent="0.2">
      <c r="A969" s="9" t="str">
        <f t="shared" si="144"/>
        <v/>
      </c>
      <c r="C969" s="9" t="str">
        <f t="shared" si="145"/>
        <v/>
      </c>
      <c r="E969" s="9"/>
    </row>
    <row r="970" spans="1:5" x14ac:dyDescent="0.2">
      <c r="A970" s="9" t="str">
        <f t="shared" si="144"/>
        <v/>
      </c>
      <c r="C970" s="9" t="str">
        <f t="shared" si="145"/>
        <v/>
      </c>
      <c r="E970" s="9"/>
    </row>
    <row r="971" spans="1:5" x14ac:dyDescent="0.2">
      <c r="A971" s="9" t="str">
        <f t="shared" si="144"/>
        <v/>
      </c>
      <c r="C971" s="9" t="str">
        <f t="shared" si="145"/>
        <v/>
      </c>
      <c r="E971" s="9"/>
    </row>
    <row r="972" spans="1:5" x14ac:dyDescent="0.2">
      <c r="A972" s="9" t="str">
        <f t="shared" si="144"/>
        <v/>
      </c>
      <c r="C972" s="9" t="str">
        <f t="shared" si="145"/>
        <v/>
      </c>
      <c r="E972" s="9"/>
    </row>
    <row r="973" spans="1:5" x14ac:dyDescent="0.2">
      <c r="A973" s="9" t="str">
        <f t="shared" si="144"/>
        <v/>
      </c>
      <c r="C973" s="9" t="str">
        <f t="shared" si="145"/>
        <v/>
      </c>
      <c r="E973" s="9"/>
    </row>
    <row r="974" spans="1:5" x14ac:dyDescent="0.2">
      <c r="A974" s="9" t="str">
        <f t="shared" si="144"/>
        <v/>
      </c>
      <c r="C974" s="9" t="str">
        <f t="shared" si="145"/>
        <v/>
      </c>
      <c r="E974" s="9"/>
    </row>
    <row r="975" spans="1:5" x14ac:dyDescent="0.2">
      <c r="A975" s="9" t="str">
        <f t="shared" si="144"/>
        <v/>
      </c>
      <c r="C975" s="9" t="str">
        <f t="shared" si="145"/>
        <v/>
      </c>
      <c r="E975" s="9"/>
    </row>
    <row r="976" spans="1:5" x14ac:dyDescent="0.2">
      <c r="A976" s="9" t="str">
        <f t="shared" si="144"/>
        <v/>
      </c>
      <c r="C976" s="9" t="str">
        <f t="shared" si="145"/>
        <v/>
      </c>
      <c r="E976" s="9"/>
    </row>
    <row r="977" spans="1:5" x14ac:dyDescent="0.2">
      <c r="A977" s="9" t="str">
        <f t="shared" si="144"/>
        <v/>
      </c>
      <c r="C977" s="9" t="str">
        <f t="shared" si="145"/>
        <v/>
      </c>
      <c r="E977" s="9"/>
    </row>
    <row r="978" spans="1:5" x14ac:dyDescent="0.2">
      <c r="A978" s="9" t="str">
        <f t="shared" si="144"/>
        <v/>
      </c>
      <c r="C978" s="9" t="str">
        <f t="shared" si="145"/>
        <v/>
      </c>
      <c r="E978" s="9"/>
    </row>
    <row r="979" spans="1:5" x14ac:dyDescent="0.2">
      <c r="A979" s="9" t="str">
        <f t="shared" si="144"/>
        <v/>
      </c>
      <c r="C979" s="9" t="str">
        <f t="shared" si="145"/>
        <v/>
      </c>
      <c r="E979" s="9"/>
    </row>
    <row r="980" spans="1:5" x14ac:dyDescent="0.2">
      <c r="A980" s="9" t="str">
        <f t="shared" si="144"/>
        <v/>
      </c>
      <c r="C980" s="9" t="str">
        <f t="shared" si="145"/>
        <v/>
      </c>
      <c r="E980" s="9"/>
    </row>
    <row r="981" spans="1:5" x14ac:dyDescent="0.2">
      <c r="A981" s="9" t="str">
        <f t="shared" si="144"/>
        <v/>
      </c>
      <c r="C981" s="9" t="str">
        <f t="shared" si="145"/>
        <v/>
      </c>
      <c r="E981" s="9"/>
    </row>
    <row r="982" spans="1:5" x14ac:dyDescent="0.2">
      <c r="A982" s="9" t="str">
        <f t="shared" si="144"/>
        <v/>
      </c>
      <c r="C982" s="9" t="str">
        <f t="shared" si="145"/>
        <v/>
      </c>
      <c r="E982" s="9"/>
    </row>
    <row r="983" spans="1:5" x14ac:dyDescent="0.2">
      <c r="A983" s="9" t="str">
        <f t="shared" si="144"/>
        <v/>
      </c>
      <c r="C983" s="9" t="str">
        <f t="shared" si="145"/>
        <v/>
      </c>
      <c r="E983" s="9"/>
    </row>
    <row r="984" spans="1:5" x14ac:dyDescent="0.2">
      <c r="A984" s="9" t="str">
        <f t="shared" si="144"/>
        <v/>
      </c>
      <c r="C984" s="9" t="str">
        <f t="shared" si="145"/>
        <v/>
      </c>
      <c r="E984" s="9"/>
    </row>
    <row r="985" spans="1:5" x14ac:dyDescent="0.2">
      <c r="A985" s="9" t="str">
        <f t="shared" si="144"/>
        <v/>
      </c>
      <c r="C985" s="9" t="str">
        <f t="shared" si="145"/>
        <v/>
      </c>
      <c r="E985" s="9"/>
    </row>
    <row r="986" spans="1:5" x14ac:dyDescent="0.2">
      <c r="A986" s="9" t="str">
        <f t="shared" si="144"/>
        <v/>
      </c>
      <c r="C986" s="9" t="str">
        <f t="shared" si="145"/>
        <v/>
      </c>
      <c r="E986" s="9"/>
    </row>
    <row r="987" spans="1:5" x14ac:dyDescent="0.2">
      <c r="A987" s="9" t="str">
        <f t="shared" si="144"/>
        <v/>
      </c>
      <c r="C987" s="9" t="str">
        <f t="shared" si="145"/>
        <v/>
      </c>
      <c r="E987" s="9"/>
    </row>
    <row r="988" spans="1:5" x14ac:dyDescent="0.2">
      <c r="A988" s="9" t="str">
        <f t="shared" si="144"/>
        <v/>
      </c>
      <c r="C988" s="9" t="str">
        <f t="shared" si="145"/>
        <v/>
      </c>
      <c r="E988" s="9"/>
    </row>
    <row r="989" spans="1:5" x14ac:dyDescent="0.2">
      <c r="A989" s="9" t="str">
        <f t="shared" si="144"/>
        <v/>
      </c>
      <c r="C989" s="9" t="str">
        <f t="shared" si="145"/>
        <v/>
      </c>
      <c r="E989" s="9"/>
    </row>
    <row r="990" spans="1:5" x14ac:dyDescent="0.2">
      <c r="A990" s="9" t="str">
        <f t="shared" si="144"/>
        <v/>
      </c>
      <c r="C990" s="9" t="str">
        <f t="shared" si="145"/>
        <v/>
      </c>
      <c r="E990" s="9"/>
    </row>
    <row r="991" spans="1:5" x14ac:dyDescent="0.2">
      <c r="A991" s="9" t="str">
        <f t="shared" ref="A991:A1054" si="146">IF(B991="","",A990+1)</f>
        <v/>
      </c>
      <c r="C991" s="9" t="str">
        <f t="shared" ref="C991:C1054" si="147">IF(B991="","","vs")</f>
        <v/>
      </c>
      <c r="E991" s="9"/>
    </row>
    <row r="992" spans="1:5" x14ac:dyDescent="0.2">
      <c r="A992" s="9" t="str">
        <f t="shared" si="146"/>
        <v/>
      </c>
      <c r="C992" s="9" t="str">
        <f t="shared" si="147"/>
        <v/>
      </c>
      <c r="E992" s="9"/>
    </row>
    <row r="993" spans="1:5" x14ac:dyDescent="0.2">
      <c r="A993" s="9" t="str">
        <f t="shared" si="146"/>
        <v/>
      </c>
      <c r="C993" s="9" t="str">
        <f t="shared" si="147"/>
        <v/>
      </c>
      <c r="E993" s="9"/>
    </row>
    <row r="994" spans="1:5" x14ac:dyDescent="0.2">
      <c r="A994" s="9" t="str">
        <f t="shared" si="146"/>
        <v/>
      </c>
      <c r="C994" s="9" t="str">
        <f t="shared" si="147"/>
        <v/>
      </c>
      <c r="E994" s="9"/>
    </row>
    <row r="995" spans="1:5" x14ac:dyDescent="0.2">
      <c r="A995" s="9" t="str">
        <f t="shared" si="146"/>
        <v/>
      </c>
      <c r="C995" s="9" t="str">
        <f t="shared" si="147"/>
        <v/>
      </c>
      <c r="E995" s="9"/>
    </row>
    <row r="996" spans="1:5" x14ac:dyDescent="0.2">
      <c r="A996" s="9" t="str">
        <f t="shared" si="146"/>
        <v/>
      </c>
      <c r="C996" s="9" t="str">
        <f t="shared" si="147"/>
        <v/>
      </c>
      <c r="E996" s="9"/>
    </row>
    <row r="997" spans="1:5" x14ac:dyDescent="0.2">
      <c r="A997" s="9" t="str">
        <f t="shared" si="146"/>
        <v/>
      </c>
      <c r="C997" s="9" t="str">
        <f t="shared" si="147"/>
        <v/>
      </c>
      <c r="E997" s="9"/>
    </row>
    <row r="998" spans="1:5" x14ac:dyDescent="0.2">
      <c r="A998" s="9" t="str">
        <f t="shared" si="146"/>
        <v/>
      </c>
      <c r="C998" s="9" t="str">
        <f t="shared" si="147"/>
        <v/>
      </c>
      <c r="E998" s="9"/>
    </row>
    <row r="999" spans="1:5" x14ac:dyDescent="0.2">
      <c r="A999" s="9" t="str">
        <f t="shared" si="146"/>
        <v/>
      </c>
      <c r="C999" s="9" t="str">
        <f t="shared" si="147"/>
        <v/>
      </c>
      <c r="E999" s="9"/>
    </row>
    <row r="1000" spans="1:5" x14ac:dyDescent="0.2">
      <c r="A1000" s="9" t="str">
        <f t="shared" si="146"/>
        <v/>
      </c>
      <c r="C1000" s="9" t="str">
        <f t="shared" si="147"/>
        <v/>
      </c>
      <c r="E1000" s="9"/>
    </row>
    <row r="1001" spans="1:5" x14ac:dyDescent="0.2">
      <c r="A1001" s="9" t="str">
        <f t="shared" si="146"/>
        <v/>
      </c>
      <c r="C1001" s="9" t="str">
        <f t="shared" si="147"/>
        <v/>
      </c>
      <c r="E1001" s="9"/>
    </row>
    <row r="1002" spans="1:5" x14ac:dyDescent="0.2">
      <c r="A1002" s="9" t="str">
        <f t="shared" si="146"/>
        <v/>
      </c>
      <c r="C1002" s="9" t="str">
        <f t="shared" si="147"/>
        <v/>
      </c>
      <c r="E1002" s="9"/>
    </row>
    <row r="1003" spans="1:5" x14ac:dyDescent="0.2">
      <c r="A1003" s="9" t="str">
        <f t="shared" si="146"/>
        <v/>
      </c>
      <c r="C1003" s="9" t="str">
        <f t="shared" si="147"/>
        <v/>
      </c>
      <c r="E1003" s="9"/>
    </row>
    <row r="1004" spans="1:5" x14ac:dyDescent="0.2">
      <c r="A1004" s="9" t="str">
        <f t="shared" si="146"/>
        <v/>
      </c>
      <c r="C1004" s="9" t="str">
        <f t="shared" si="147"/>
        <v/>
      </c>
      <c r="E1004" s="9"/>
    </row>
    <row r="1005" spans="1:5" x14ac:dyDescent="0.2">
      <c r="A1005" s="9" t="str">
        <f t="shared" si="146"/>
        <v/>
      </c>
      <c r="C1005" s="9" t="str">
        <f t="shared" si="147"/>
        <v/>
      </c>
      <c r="E1005" s="9"/>
    </row>
    <row r="1006" spans="1:5" x14ac:dyDescent="0.2">
      <c r="A1006" s="9" t="str">
        <f t="shared" si="146"/>
        <v/>
      </c>
      <c r="C1006" s="9" t="str">
        <f t="shared" si="147"/>
        <v/>
      </c>
      <c r="E1006" s="9"/>
    </row>
    <row r="1007" spans="1:5" x14ac:dyDescent="0.2">
      <c r="A1007" s="9" t="str">
        <f t="shared" si="146"/>
        <v/>
      </c>
      <c r="C1007" s="9" t="str">
        <f t="shared" si="147"/>
        <v/>
      </c>
      <c r="E1007" s="9"/>
    </row>
    <row r="1008" spans="1:5" x14ac:dyDescent="0.2">
      <c r="A1008" s="9" t="str">
        <f t="shared" si="146"/>
        <v/>
      </c>
      <c r="C1008" s="9" t="str">
        <f t="shared" si="147"/>
        <v/>
      </c>
      <c r="E1008" s="9"/>
    </row>
    <row r="1009" spans="1:5" x14ac:dyDescent="0.2">
      <c r="A1009" s="9" t="str">
        <f t="shared" si="146"/>
        <v/>
      </c>
      <c r="C1009" s="9" t="str">
        <f t="shared" si="147"/>
        <v/>
      </c>
      <c r="E1009" s="9"/>
    </row>
    <row r="1010" spans="1:5" x14ac:dyDescent="0.2">
      <c r="A1010" s="9" t="str">
        <f t="shared" si="146"/>
        <v/>
      </c>
      <c r="C1010" s="9" t="str">
        <f t="shared" si="147"/>
        <v/>
      </c>
      <c r="E1010" s="9"/>
    </row>
    <row r="1011" spans="1:5" x14ac:dyDescent="0.2">
      <c r="A1011" s="9" t="str">
        <f t="shared" si="146"/>
        <v/>
      </c>
      <c r="C1011" s="9" t="str">
        <f t="shared" si="147"/>
        <v/>
      </c>
      <c r="E1011" s="9"/>
    </row>
    <row r="1012" spans="1:5" x14ac:dyDescent="0.2">
      <c r="A1012" s="9" t="str">
        <f t="shared" si="146"/>
        <v/>
      </c>
      <c r="C1012" s="9" t="str">
        <f t="shared" si="147"/>
        <v/>
      </c>
      <c r="E1012" s="9"/>
    </row>
    <row r="1013" spans="1:5" x14ac:dyDescent="0.2">
      <c r="A1013" s="9" t="str">
        <f t="shared" si="146"/>
        <v/>
      </c>
      <c r="C1013" s="9" t="str">
        <f t="shared" si="147"/>
        <v/>
      </c>
      <c r="E1013" s="9"/>
    </row>
    <row r="1014" spans="1:5" x14ac:dyDescent="0.2">
      <c r="A1014" s="9" t="str">
        <f t="shared" si="146"/>
        <v/>
      </c>
      <c r="C1014" s="9" t="str">
        <f t="shared" si="147"/>
        <v/>
      </c>
      <c r="E1014" s="9"/>
    </row>
    <row r="1015" spans="1:5" x14ac:dyDescent="0.2">
      <c r="A1015" s="9" t="str">
        <f t="shared" si="146"/>
        <v/>
      </c>
      <c r="C1015" s="9" t="str">
        <f t="shared" si="147"/>
        <v/>
      </c>
      <c r="E1015" s="9"/>
    </row>
    <row r="1016" spans="1:5" x14ac:dyDescent="0.2">
      <c r="A1016" s="9" t="str">
        <f t="shared" si="146"/>
        <v/>
      </c>
      <c r="C1016" s="9" t="str">
        <f t="shared" si="147"/>
        <v/>
      </c>
      <c r="E1016" s="9"/>
    </row>
    <row r="1017" spans="1:5" x14ac:dyDescent="0.2">
      <c r="A1017" s="9" t="str">
        <f t="shared" si="146"/>
        <v/>
      </c>
      <c r="C1017" s="9" t="str">
        <f t="shared" si="147"/>
        <v/>
      </c>
      <c r="E1017" s="9"/>
    </row>
    <row r="1018" spans="1:5" x14ac:dyDescent="0.2">
      <c r="A1018" s="9" t="str">
        <f t="shared" si="146"/>
        <v/>
      </c>
      <c r="C1018" s="9" t="str">
        <f t="shared" si="147"/>
        <v/>
      </c>
      <c r="E1018" s="9"/>
    </row>
    <row r="1019" spans="1:5" x14ac:dyDescent="0.2">
      <c r="A1019" s="9" t="str">
        <f t="shared" si="146"/>
        <v/>
      </c>
      <c r="C1019" s="9" t="str">
        <f t="shared" si="147"/>
        <v/>
      </c>
      <c r="E1019" s="9"/>
    </row>
    <row r="1020" spans="1:5" x14ac:dyDescent="0.2">
      <c r="A1020" s="9" t="str">
        <f t="shared" si="146"/>
        <v/>
      </c>
      <c r="C1020" s="9" t="str">
        <f t="shared" si="147"/>
        <v/>
      </c>
      <c r="E1020" s="9"/>
    </row>
    <row r="1021" spans="1:5" x14ac:dyDescent="0.2">
      <c r="A1021" s="9" t="str">
        <f t="shared" si="146"/>
        <v/>
      </c>
      <c r="C1021" s="9" t="str">
        <f t="shared" si="147"/>
        <v/>
      </c>
      <c r="E1021" s="9"/>
    </row>
    <row r="1022" spans="1:5" x14ac:dyDescent="0.2">
      <c r="A1022" s="9" t="str">
        <f t="shared" si="146"/>
        <v/>
      </c>
      <c r="C1022" s="9" t="str">
        <f t="shared" si="147"/>
        <v/>
      </c>
      <c r="E1022" s="9"/>
    </row>
    <row r="1023" spans="1:5" x14ac:dyDescent="0.2">
      <c r="A1023" s="9" t="str">
        <f t="shared" si="146"/>
        <v/>
      </c>
      <c r="C1023" s="9" t="str">
        <f t="shared" si="147"/>
        <v/>
      </c>
      <c r="E1023" s="9"/>
    </row>
    <row r="1024" spans="1:5" x14ac:dyDescent="0.2">
      <c r="A1024" s="9" t="str">
        <f t="shared" si="146"/>
        <v/>
      </c>
      <c r="C1024" s="9" t="str">
        <f t="shared" si="147"/>
        <v/>
      </c>
      <c r="E1024" s="9"/>
    </row>
    <row r="1025" spans="1:5" x14ac:dyDescent="0.2">
      <c r="A1025" s="9" t="str">
        <f t="shared" si="146"/>
        <v/>
      </c>
      <c r="C1025" s="9" t="str">
        <f t="shared" si="147"/>
        <v/>
      </c>
      <c r="E1025" s="9"/>
    </row>
    <row r="1026" spans="1:5" x14ac:dyDescent="0.2">
      <c r="A1026" s="9" t="str">
        <f t="shared" si="146"/>
        <v/>
      </c>
      <c r="C1026" s="9" t="str">
        <f t="shared" si="147"/>
        <v/>
      </c>
      <c r="E1026" s="9"/>
    </row>
    <row r="1027" spans="1:5" x14ac:dyDescent="0.2">
      <c r="A1027" s="9" t="str">
        <f t="shared" si="146"/>
        <v/>
      </c>
      <c r="C1027" s="9" t="str">
        <f t="shared" si="147"/>
        <v/>
      </c>
      <c r="E1027" s="9"/>
    </row>
    <row r="1028" spans="1:5" x14ac:dyDescent="0.2">
      <c r="A1028" s="9" t="str">
        <f t="shared" si="146"/>
        <v/>
      </c>
      <c r="C1028" s="9" t="str">
        <f t="shared" si="147"/>
        <v/>
      </c>
      <c r="E1028" s="9"/>
    </row>
    <row r="1029" spans="1:5" x14ac:dyDescent="0.2">
      <c r="A1029" s="9" t="str">
        <f t="shared" si="146"/>
        <v/>
      </c>
      <c r="C1029" s="9" t="str">
        <f t="shared" si="147"/>
        <v/>
      </c>
      <c r="E1029" s="9"/>
    </row>
    <row r="1030" spans="1:5" x14ac:dyDescent="0.2">
      <c r="A1030" s="9" t="str">
        <f t="shared" si="146"/>
        <v/>
      </c>
      <c r="C1030" s="9" t="str">
        <f t="shared" si="147"/>
        <v/>
      </c>
      <c r="E1030" s="9"/>
    </row>
    <row r="1031" spans="1:5" x14ac:dyDescent="0.2">
      <c r="A1031" s="9" t="str">
        <f t="shared" si="146"/>
        <v/>
      </c>
      <c r="C1031" s="9" t="str">
        <f t="shared" si="147"/>
        <v/>
      </c>
      <c r="E1031" s="9"/>
    </row>
    <row r="1032" spans="1:5" x14ac:dyDescent="0.2">
      <c r="A1032" s="9" t="str">
        <f t="shared" si="146"/>
        <v/>
      </c>
      <c r="C1032" s="9" t="str">
        <f t="shared" si="147"/>
        <v/>
      </c>
      <c r="E1032" s="9"/>
    </row>
    <row r="1033" spans="1:5" x14ac:dyDescent="0.2">
      <c r="A1033" s="9" t="str">
        <f t="shared" si="146"/>
        <v/>
      </c>
      <c r="C1033" s="9" t="str">
        <f t="shared" si="147"/>
        <v/>
      </c>
      <c r="E1033" s="9"/>
    </row>
    <row r="1034" spans="1:5" x14ac:dyDescent="0.2">
      <c r="A1034" s="9" t="str">
        <f t="shared" si="146"/>
        <v/>
      </c>
      <c r="C1034" s="9" t="str">
        <f t="shared" si="147"/>
        <v/>
      </c>
      <c r="E1034" s="9"/>
    </row>
    <row r="1035" spans="1:5" x14ac:dyDescent="0.2">
      <c r="A1035" s="9" t="str">
        <f t="shared" si="146"/>
        <v/>
      </c>
      <c r="C1035" s="9" t="str">
        <f t="shared" si="147"/>
        <v/>
      </c>
      <c r="E1035" s="9"/>
    </row>
    <row r="1036" spans="1:5" x14ac:dyDescent="0.2">
      <c r="A1036" s="9" t="str">
        <f t="shared" si="146"/>
        <v/>
      </c>
      <c r="C1036" s="9" t="str">
        <f t="shared" si="147"/>
        <v/>
      </c>
      <c r="E1036" s="9"/>
    </row>
    <row r="1037" spans="1:5" x14ac:dyDescent="0.2">
      <c r="A1037" s="9" t="str">
        <f t="shared" si="146"/>
        <v/>
      </c>
      <c r="C1037" s="9" t="str">
        <f t="shared" si="147"/>
        <v/>
      </c>
      <c r="E1037" s="9"/>
    </row>
    <row r="1038" spans="1:5" x14ac:dyDescent="0.2">
      <c r="A1038" s="9" t="str">
        <f t="shared" si="146"/>
        <v/>
      </c>
      <c r="C1038" s="9" t="str">
        <f t="shared" si="147"/>
        <v/>
      </c>
      <c r="E1038" s="9"/>
    </row>
    <row r="1039" spans="1:5" x14ac:dyDescent="0.2">
      <c r="A1039" s="9" t="str">
        <f t="shared" si="146"/>
        <v/>
      </c>
      <c r="C1039" s="9" t="str">
        <f t="shared" si="147"/>
        <v/>
      </c>
      <c r="E1039" s="9"/>
    </row>
    <row r="1040" spans="1:5" x14ac:dyDescent="0.2">
      <c r="A1040" s="9" t="str">
        <f t="shared" si="146"/>
        <v/>
      </c>
      <c r="C1040" s="9" t="str">
        <f t="shared" si="147"/>
        <v/>
      </c>
      <c r="E1040" s="9"/>
    </row>
    <row r="1041" spans="1:5" x14ac:dyDescent="0.2">
      <c r="A1041" s="9" t="str">
        <f t="shared" si="146"/>
        <v/>
      </c>
      <c r="C1041" s="9" t="str">
        <f t="shared" si="147"/>
        <v/>
      </c>
      <c r="E1041" s="9"/>
    </row>
    <row r="1042" spans="1:5" x14ac:dyDescent="0.2">
      <c r="A1042" s="9" t="str">
        <f t="shared" si="146"/>
        <v/>
      </c>
      <c r="C1042" s="9" t="str">
        <f t="shared" si="147"/>
        <v/>
      </c>
      <c r="E1042" s="9"/>
    </row>
    <row r="1043" spans="1:5" x14ac:dyDescent="0.2">
      <c r="A1043" s="9" t="str">
        <f t="shared" si="146"/>
        <v/>
      </c>
      <c r="C1043" s="9" t="str">
        <f t="shared" si="147"/>
        <v/>
      </c>
      <c r="E1043" s="9"/>
    </row>
    <row r="1044" spans="1:5" x14ac:dyDescent="0.2">
      <c r="A1044" s="9" t="str">
        <f t="shared" si="146"/>
        <v/>
      </c>
      <c r="C1044" s="9" t="str">
        <f t="shared" si="147"/>
        <v/>
      </c>
      <c r="E1044" s="9"/>
    </row>
    <row r="1045" spans="1:5" x14ac:dyDescent="0.2">
      <c r="A1045" s="9" t="str">
        <f t="shared" si="146"/>
        <v/>
      </c>
      <c r="C1045" s="9" t="str">
        <f t="shared" si="147"/>
        <v/>
      </c>
      <c r="E1045" s="9"/>
    </row>
    <row r="1046" spans="1:5" x14ac:dyDescent="0.2">
      <c r="A1046" s="9" t="str">
        <f t="shared" si="146"/>
        <v/>
      </c>
      <c r="C1046" s="9" t="str">
        <f t="shared" si="147"/>
        <v/>
      </c>
      <c r="E1046" s="9"/>
    </row>
    <row r="1047" spans="1:5" x14ac:dyDescent="0.2">
      <c r="A1047" s="9" t="str">
        <f t="shared" si="146"/>
        <v/>
      </c>
      <c r="C1047" s="9" t="str">
        <f t="shared" si="147"/>
        <v/>
      </c>
      <c r="E1047" s="9"/>
    </row>
    <row r="1048" spans="1:5" x14ac:dyDescent="0.2">
      <c r="A1048" s="9" t="str">
        <f t="shared" si="146"/>
        <v/>
      </c>
      <c r="C1048" s="9" t="str">
        <f t="shared" si="147"/>
        <v/>
      </c>
      <c r="E1048" s="9"/>
    </row>
    <row r="1049" spans="1:5" x14ac:dyDescent="0.2">
      <c r="A1049" s="9" t="str">
        <f t="shared" si="146"/>
        <v/>
      </c>
      <c r="C1049" s="9" t="str">
        <f t="shared" si="147"/>
        <v/>
      </c>
      <c r="E1049" s="9"/>
    </row>
    <row r="1050" spans="1:5" x14ac:dyDescent="0.2">
      <c r="A1050" s="9" t="str">
        <f t="shared" si="146"/>
        <v/>
      </c>
      <c r="C1050" s="9" t="str">
        <f t="shared" si="147"/>
        <v/>
      </c>
      <c r="E1050" s="9"/>
    </row>
    <row r="1051" spans="1:5" x14ac:dyDescent="0.2">
      <c r="A1051" s="9" t="str">
        <f t="shared" si="146"/>
        <v/>
      </c>
      <c r="C1051" s="9" t="str">
        <f t="shared" si="147"/>
        <v/>
      </c>
      <c r="E1051" s="9"/>
    </row>
    <row r="1052" spans="1:5" x14ac:dyDescent="0.2">
      <c r="A1052" s="9" t="str">
        <f t="shared" si="146"/>
        <v/>
      </c>
      <c r="C1052" s="9" t="str">
        <f t="shared" si="147"/>
        <v/>
      </c>
      <c r="E1052" s="9"/>
    </row>
    <row r="1053" spans="1:5" x14ac:dyDescent="0.2">
      <c r="A1053" s="9" t="str">
        <f t="shared" si="146"/>
        <v/>
      </c>
      <c r="C1053" s="9" t="str">
        <f t="shared" si="147"/>
        <v/>
      </c>
      <c r="E1053" s="9"/>
    </row>
    <row r="1054" spans="1:5" x14ac:dyDescent="0.2">
      <c r="A1054" s="9" t="str">
        <f t="shared" si="146"/>
        <v/>
      </c>
      <c r="C1054" s="9" t="str">
        <f t="shared" si="147"/>
        <v/>
      </c>
      <c r="E1054" s="9"/>
    </row>
    <row r="1055" spans="1:5" x14ac:dyDescent="0.2">
      <c r="A1055" s="9" t="str">
        <f t="shared" ref="A1055:A1118" si="148">IF(B1055="","",A1054+1)</f>
        <v/>
      </c>
      <c r="C1055" s="9" t="str">
        <f t="shared" ref="C1055:C1118" si="149">IF(B1055="","","vs")</f>
        <v/>
      </c>
      <c r="E1055" s="9"/>
    </row>
    <row r="1056" spans="1:5" x14ac:dyDescent="0.2">
      <c r="A1056" s="9" t="str">
        <f t="shared" si="148"/>
        <v/>
      </c>
      <c r="C1056" s="9" t="str">
        <f t="shared" si="149"/>
        <v/>
      </c>
      <c r="E1056" s="9"/>
    </row>
    <row r="1057" spans="1:5" x14ac:dyDescent="0.2">
      <c r="A1057" s="9" t="str">
        <f t="shared" si="148"/>
        <v/>
      </c>
      <c r="C1057" s="9" t="str">
        <f t="shared" si="149"/>
        <v/>
      </c>
      <c r="E1057" s="9"/>
    </row>
    <row r="1058" spans="1:5" x14ac:dyDescent="0.2">
      <c r="A1058" s="9" t="str">
        <f t="shared" si="148"/>
        <v/>
      </c>
      <c r="C1058" s="9" t="str">
        <f t="shared" si="149"/>
        <v/>
      </c>
      <c r="E1058" s="9"/>
    </row>
    <row r="1059" spans="1:5" x14ac:dyDescent="0.2">
      <c r="A1059" s="9" t="str">
        <f t="shared" si="148"/>
        <v/>
      </c>
      <c r="C1059" s="9" t="str">
        <f t="shared" si="149"/>
        <v/>
      </c>
      <c r="E1059" s="9"/>
    </row>
    <row r="1060" spans="1:5" x14ac:dyDescent="0.2">
      <c r="A1060" s="9" t="str">
        <f t="shared" si="148"/>
        <v/>
      </c>
      <c r="C1060" s="9" t="str">
        <f t="shared" si="149"/>
        <v/>
      </c>
      <c r="E1060" s="9"/>
    </row>
    <row r="1061" spans="1:5" x14ac:dyDescent="0.2">
      <c r="A1061" s="9" t="str">
        <f t="shared" si="148"/>
        <v/>
      </c>
      <c r="C1061" s="9" t="str">
        <f t="shared" si="149"/>
        <v/>
      </c>
      <c r="E1061" s="9"/>
    </row>
    <row r="1062" spans="1:5" x14ac:dyDescent="0.2">
      <c r="A1062" s="9" t="str">
        <f t="shared" si="148"/>
        <v/>
      </c>
      <c r="C1062" s="9" t="str">
        <f t="shared" si="149"/>
        <v/>
      </c>
      <c r="E1062" s="9"/>
    </row>
    <row r="1063" spans="1:5" x14ac:dyDescent="0.2">
      <c r="A1063" s="9" t="str">
        <f t="shared" si="148"/>
        <v/>
      </c>
      <c r="C1063" s="9" t="str">
        <f t="shared" si="149"/>
        <v/>
      </c>
      <c r="E1063" s="9"/>
    </row>
    <row r="1064" spans="1:5" x14ac:dyDescent="0.2">
      <c r="A1064" s="9" t="str">
        <f t="shared" si="148"/>
        <v/>
      </c>
      <c r="C1064" s="9" t="str">
        <f t="shared" si="149"/>
        <v/>
      </c>
      <c r="E1064" s="9"/>
    </row>
    <row r="1065" spans="1:5" x14ac:dyDescent="0.2">
      <c r="A1065" s="9" t="str">
        <f t="shared" si="148"/>
        <v/>
      </c>
      <c r="C1065" s="9" t="str">
        <f t="shared" si="149"/>
        <v/>
      </c>
      <c r="E1065" s="9"/>
    </row>
    <row r="1066" spans="1:5" x14ac:dyDescent="0.2">
      <c r="A1066" s="9" t="str">
        <f t="shared" si="148"/>
        <v/>
      </c>
      <c r="C1066" s="9" t="str">
        <f t="shared" si="149"/>
        <v/>
      </c>
      <c r="E1066" s="9"/>
    </row>
    <row r="1067" spans="1:5" x14ac:dyDescent="0.2">
      <c r="A1067" s="9" t="str">
        <f t="shared" si="148"/>
        <v/>
      </c>
      <c r="C1067" s="9" t="str">
        <f t="shared" si="149"/>
        <v/>
      </c>
      <c r="E1067" s="9"/>
    </row>
    <row r="1068" spans="1:5" x14ac:dyDescent="0.2">
      <c r="A1068" s="9" t="str">
        <f t="shared" si="148"/>
        <v/>
      </c>
      <c r="C1068" s="9" t="str">
        <f t="shared" si="149"/>
        <v/>
      </c>
      <c r="E1068" s="9"/>
    </row>
    <row r="1069" spans="1:5" x14ac:dyDescent="0.2">
      <c r="A1069" s="9" t="str">
        <f t="shared" si="148"/>
        <v/>
      </c>
      <c r="C1069" s="9" t="str">
        <f t="shared" si="149"/>
        <v/>
      </c>
      <c r="E1069" s="9"/>
    </row>
    <row r="1070" spans="1:5" x14ac:dyDescent="0.2">
      <c r="A1070" s="9" t="str">
        <f t="shared" si="148"/>
        <v/>
      </c>
      <c r="C1070" s="9" t="str">
        <f t="shared" si="149"/>
        <v/>
      </c>
      <c r="E1070" s="9"/>
    </row>
    <row r="1071" spans="1:5" x14ac:dyDescent="0.2">
      <c r="A1071" s="9" t="str">
        <f t="shared" si="148"/>
        <v/>
      </c>
      <c r="C1071" s="9" t="str">
        <f t="shared" si="149"/>
        <v/>
      </c>
      <c r="E1071" s="9"/>
    </row>
    <row r="1072" spans="1:5" x14ac:dyDescent="0.2">
      <c r="A1072" s="9" t="str">
        <f t="shared" si="148"/>
        <v/>
      </c>
      <c r="C1072" s="9" t="str">
        <f t="shared" si="149"/>
        <v/>
      </c>
      <c r="E1072" s="9"/>
    </row>
    <row r="1073" spans="1:5" x14ac:dyDescent="0.2">
      <c r="A1073" s="9" t="str">
        <f t="shared" si="148"/>
        <v/>
      </c>
      <c r="C1073" s="9" t="str">
        <f t="shared" si="149"/>
        <v/>
      </c>
      <c r="E1073" s="9"/>
    </row>
    <row r="1074" spans="1:5" x14ac:dyDescent="0.2">
      <c r="A1074" s="9" t="str">
        <f t="shared" si="148"/>
        <v/>
      </c>
      <c r="C1074" s="9" t="str">
        <f t="shared" si="149"/>
        <v/>
      </c>
      <c r="E1074" s="9"/>
    </row>
    <row r="1075" spans="1:5" x14ac:dyDescent="0.2">
      <c r="A1075" s="9" t="str">
        <f t="shared" si="148"/>
        <v/>
      </c>
      <c r="C1075" s="9" t="str">
        <f t="shared" si="149"/>
        <v/>
      </c>
      <c r="E1075" s="9"/>
    </row>
    <row r="1076" spans="1:5" x14ac:dyDescent="0.2">
      <c r="A1076" s="9" t="str">
        <f t="shared" si="148"/>
        <v/>
      </c>
      <c r="C1076" s="9" t="str">
        <f t="shared" si="149"/>
        <v/>
      </c>
      <c r="E1076" s="9"/>
    </row>
    <row r="1077" spans="1:5" x14ac:dyDescent="0.2">
      <c r="A1077" s="9" t="str">
        <f t="shared" si="148"/>
        <v/>
      </c>
      <c r="C1077" s="9" t="str">
        <f t="shared" si="149"/>
        <v/>
      </c>
      <c r="E1077" s="9"/>
    </row>
    <row r="1078" spans="1:5" x14ac:dyDescent="0.2">
      <c r="A1078" s="9" t="str">
        <f t="shared" si="148"/>
        <v/>
      </c>
      <c r="C1078" s="9" t="str">
        <f t="shared" si="149"/>
        <v/>
      </c>
      <c r="E1078" s="9"/>
    </row>
    <row r="1079" spans="1:5" x14ac:dyDescent="0.2">
      <c r="A1079" s="9" t="str">
        <f t="shared" si="148"/>
        <v/>
      </c>
      <c r="C1079" s="9" t="str">
        <f t="shared" si="149"/>
        <v/>
      </c>
      <c r="E1079" s="9"/>
    </row>
    <row r="1080" spans="1:5" x14ac:dyDescent="0.2">
      <c r="A1080" s="9" t="str">
        <f t="shared" si="148"/>
        <v/>
      </c>
      <c r="C1080" s="9" t="str">
        <f t="shared" si="149"/>
        <v/>
      </c>
      <c r="E1080" s="9"/>
    </row>
    <row r="1081" spans="1:5" x14ac:dyDescent="0.2">
      <c r="A1081" s="9" t="str">
        <f t="shared" si="148"/>
        <v/>
      </c>
      <c r="C1081" s="9" t="str">
        <f t="shared" si="149"/>
        <v/>
      </c>
      <c r="E1081" s="9"/>
    </row>
    <row r="1082" spans="1:5" x14ac:dyDescent="0.2">
      <c r="A1082" s="9" t="str">
        <f t="shared" si="148"/>
        <v/>
      </c>
      <c r="C1082" s="9" t="str">
        <f t="shared" si="149"/>
        <v/>
      </c>
      <c r="E1082" s="9"/>
    </row>
    <row r="1083" spans="1:5" x14ac:dyDescent="0.2">
      <c r="A1083" s="9" t="str">
        <f t="shared" si="148"/>
        <v/>
      </c>
      <c r="C1083" s="9" t="str">
        <f t="shared" si="149"/>
        <v/>
      </c>
      <c r="E1083" s="9"/>
    </row>
    <row r="1084" spans="1:5" x14ac:dyDescent="0.2">
      <c r="A1084" s="9" t="str">
        <f t="shared" si="148"/>
        <v/>
      </c>
      <c r="C1084" s="9" t="str">
        <f t="shared" si="149"/>
        <v/>
      </c>
      <c r="E1084" s="9"/>
    </row>
    <row r="1085" spans="1:5" x14ac:dyDescent="0.2">
      <c r="A1085" s="9" t="str">
        <f t="shared" si="148"/>
        <v/>
      </c>
      <c r="C1085" s="9" t="str">
        <f t="shared" si="149"/>
        <v/>
      </c>
      <c r="E1085" s="9"/>
    </row>
    <row r="1086" spans="1:5" x14ac:dyDescent="0.2">
      <c r="A1086" s="9" t="str">
        <f t="shared" si="148"/>
        <v/>
      </c>
      <c r="C1086" s="9" t="str">
        <f t="shared" si="149"/>
        <v/>
      </c>
      <c r="E1086" s="9"/>
    </row>
    <row r="1087" spans="1:5" x14ac:dyDescent="0.2">
      <c r="A1087" s="9" t="str">
        <f t="shared" si="148"/>
        <v/>
      </c>
      <c r="C1087" s="9" t="str">
        <f t="shared" si="149"/>
        <v/>
      </c>
      <c r="E1087" s="9"/>
    </row>
    <row r="1088" spans="1:5" x14ac:dyDescent="0.2">
      <c r="A1088" s="9" t="str">
        <f t="shared" si="148"/>
        <v/>
      </c>
      <c r="C1088" s="9" t="str">
        <f t="shared" si="149"/>
        <v/>
      </c>
      <c r="E1088" s="9"/>
    </row>
    <row r="1089" spans="1:5" x14ac:dyDescent="0.2">
      <c r="A1089" s="9" t="str">
        <f t="shared" si="148"/>
        <v/>
      </c>
      <c r="C1089" s="9" t="str">
        <f t="shared" si="149"/>
        <v/>
      </c>
      <c r="E1089" s="9"/>
    </row>
    <row r="1090" spans="1:5" x14ac:dyDescent="0.2">
      <c r="A1090" s="9" t="str">
        <f t="shared" si="148"/>
        <v/>
      </c>
      <c r="C1090" s="9" t="str">
        <f t="shared" si="149"/>
        <v/>
      </c>
      <c r="E1090" s="9"/>
    </row>
    <row r="1091" spans="1:5" x14ac:dyDescent="0.2">
      <c r="A1091" s="9" t="str">
        <f t="shared" si="148"/>
        <v/>
      </c>
      <c r="C1091" s="9" t="str">
        <f t="shared" si="149"/>
        <v/>
      </c>
      <c r="E1091" s="9"/>
    </row>
    <row r="1092" spans="1:5" x14ac:dyDescent="0.2">
      <c r="A1092" s="9" t="str">
        <f t="shared" si="148"/>
        <v/>
      </c>
      <c r="C1092" s="9" t="str">
        <f t="shared" si="149"/>
        <v/>
      </c>
      <c r="E1092" s="9"/>
    </row>
    <row r="1093" spans="1:5" x14ac:dyDescent="0.2">
      <c r="A1093" s="9" t="str">
        <f t="shared" si="148"/>
        <v/>
      </c>
      <c r="C1093" s="9" t="str">
        <f t="shared" si="149"/>
        <v/>
      </c>
      <c r="E1093" s="9"/>
    </row>
    <row r="1094" spans="1:5" x14ac:dyDescent="0.2">
      <c r="A1094" s="9" t="str">
        <f t="shared" si="148"/>
        <v/>
      </c>
      <c r="C1094" s="9" t="str">
        <f t="shared" si="149"/>
        <v/>
      </c>
      <c r="E1094" s="9"/>
    </row>
    <row r="1095" spans="1:5" x14ac:dyDescent="0.2">
      <c r="A1095" s="9" t="str">
        <f t="shared" si="148"/>
        <v/>
      </c>
      <c r="C1095" s="9" t="str">
        <f t="shared" si="149"/>
        <v/>
      </c>
      <c r="E1095" s="9"/>
    </row>
    <row r="1096" spans="1:5" x14ac:dyDescent="0.2">
      <c r="A1096" s="9" t="str">
        <f t="shared" si="148"/>
        <v/>
      </c>
      <c r="C1096" s="9" t="str">
        <f t="shared" si="149"/>
        <v/>
      </c>
      <c r="E1096" s="9"/>
    </row>
    <row r="1097" spans="1:5" x14ac:dyDescent="0.2">
      <c r="A1097" s="9" t="str">
        <f t="shared" si="148"/>
        <v/>
      </c>
      <c r="C1097" s="9" t="str">
        <f t="shared" si="149"/>
        <v/>
      </c>
      <c r="E1097" s="9"/>
    </row>
    <row r="1098" spans="1:5" x14ac:dyDescent="0.2">
      <c r="A1098" s="9" t="str">
        <f t="shared" si="148"/>
        <v/>
      </c>
      <c r="C1098" s="9" t="str">
        <f t="shared" si="149"/>
        <v/>
      </c>
      <c r="E1098" s="9"/>
    </row>
    <row r="1099" spans="1:5" x14ac:dyDescent="0.2">
      <c r="A1099" s="9" t="str">
        <f t="shared" si="148"/>
        <v/>
      </c>
      <c r="C1099" s="9" t="str">
        <f t="shared" si="149"/>
        <v/>
      </c>
      <c r="E1099" s="9"/>
    </row>
    <row r="1100" spans="1:5" x14ac:dyDescent="0.2">
      <c r="A1100" s="9" t="str">
        <f t="shared" si="148"/>
        <v/>
      </c>
      <c r="C1100" s="9" t="str">
        <f t="shared" si="149"/>
        <v/>
      </c>
      <c r="E1100" s="9"/>
    </row>
    <row r="1101" spans="1:5" x14ac:dyDescent="0.2">
      <c r="A1101" s="9" t="str">
        <f t="shared" si="148"/>
        <v/>
      </c>
      <c r="C1101" s="9" t="str">
        <f t="shared" si="149"/>
        <v/>
      </c>
      <c r="E1101" s="9"/>
    </row>
    <row r="1102" spans="1:5" x14ac:dyDescent="0.2">
      <c r="A1102" s="9" t="str">
        <f t="shared" si="148"/>
        <v/>
      </c>
      <c r="C1102" s="9" t="str">
        <f t="shared" si="149"/>
        <v/>
      </c>
      <c r="E1102" s="9"/>
    </row>
    <row r="1103" spans="1:5" x14ac:dyDescent="0.2">
      <c r="A1103" s="9" t="str">
        <f t="shared" si="148"/>
        <v/>
      </c>
      <c r="C1103" s="9" t="str">
        <f t="shared" si="149"/>
        <v/>
      </c>
      <c r="E1103" s="9"/>
    </row>
    <row r="1104" spans="1:5" x14ac:dyDescent="0.2">
      <c r="A1104" s="9" t="str">
        <f t="shared" si="148"/>
        <v/>
      </c>
      <c r="C1104" s="9" t="str">
        <f t="shared" si="149"/>
        <v/>
      </c>
      <c r="E1104" s="9"/>
    </row>
    <row r="1105" spans="1:5" x14ac:dyDescent="0.2">
      <c r="A1105" s="9" t="str">
        <f t="shared" si="148"/>
        <v/>
      </c>
      <c r="C1105" s="9" t="str">
        <f t="shared" si="149"/>
        <v/>
      </c>
      <c r="E1105" s="9"/>
    </row>
    <row r="1106" spans="1:5" x14ac:dyDescent="0.2">
      <c r="A1106" s="9" t="str">
        <f t="shared" si="148"/>
        <v/>
      </c>
      <c r="C1106" s="9" t="str">
        <f t="shared" si="149"/>
        <v/>
      </c>
      <c r="E1106" s="9"/>
    </row>
    <row r="1107" spans="1:5" x14ac:dyDescent="0.2">
      <c r="A1107" s="9" t="str">
        <f t="shared" si="148"/>
        <v/>
      </c>
      <c r="C1107" s="9" t="str">
        <f t="shared" si="149"/>
        <v/>
      </c>
      <c r="E1107" s="9"/>
    </row>
    <row r="1108" spans="1:5" x14ac:dyDescent="0.2">
      <c r="A1108" s="9" t="str">
        <f t="shared" si="148"/>
        <v/>
      </c>
      <c r="C1108" s="9" t="str">
        <f t="shared" si="149"/>
        <v/>
      </c>
      <c r="E1108" s="9"/>
    </row>
    <row r="1109" spans="1:5" x14ac:dyDescent="0.2">
      <c r="A1109" s="9" t="str">
        <f t="shared" si="148"/>
        <v/>
      </c>
      <c r="C1109" s="9" t="str">
        <f t="shared" si="149"/>
        <v/>
      </c>
      <c r="E1109" s="9"/>
    </row>
    <row r="1110" spans="1:5" x14ac:dyDescent="0.2">
      <c r="A1110" s="9" t="str">
        <f t="shared" si="148"/>
        <v/>
      </c>
      <c r="C1110" s="9" t="str">
        <f t="shared" si="149"/>
        <v/>
      </c>
      <c r="E1110" s="9"/>
    </row>
    <row r="1111" spans="1:5" x14ac:dyDescent="0.2">
      <c r="A1111" s="9" t="str">
        <f t="shared" si="148"/>
        <v/>
      </c>
      <c r="C1111" s="9" t="str">
        <f t="shared" si="149"/>
        <v/>
      </c>
      <c r="E1111" s="9"/>
    </row>
    <row r="1112" spans="1:5" x14ac:dyDescent="0.2">
      <c r="A1112" s="9" t="str">
        <f t="shared" si="148"/>
        <v/>
      </c>
      <c r="C1112" s="9" t="str">
        <f t="shared" si="149"/>
        <v/>
      </c>
      <c r="E1112" s="9"/>
    </row>
    <row r="1113" spans="1:5" x14ac:dyDescent="0.2">
      <c r="A1113" s="9" t="str">
        <f t="shared" si="148"/>
        <v/>
      </c>
      <c r="C1113" s="9" t="str">
        <f t="shared" si="149"/>
        <v/>
      </c>
      <c r="E1113" s="9"/>
    </row>
    <row r="1114" spans="1:5" x14ac:dyDescent="0.2">
      <c r="A1114" s="9" t="str">
        <f t="shared" si="148"/>
        <v/>
      </c>
      <c r="C1114" s="9" t="str">
        <f t="shared" si="149"/>
        <v/>
      </c>
      <c r="E1114" s="9"/>
    </row>
    <row r="1115" spans="1:5" x14ac:dyDescent="0.2">
      <c r="A1115" s="9" t="str">
        <f t="shared" si="148"/>
        <v/>
      </c>
      <c r="C1115" s="9" t="str">
        <f t="shared" si="149"/>
        <v/>
      </c>
      <c r="E1115" s="9"/>
    </row>
    <row r="1116" spans="1:5" x14ac:dyDescent="0.2">
      <c r="A1116" s="9" t="str">
        <f t="shared" si="148"/>
        <v/>
      </c>
      <c r="C1116" s="9" t="str">
        <f t="shared" si="149"/>
        <v/>
      </c>
      <c r="E1116" s="9"/>
    </row>
    <row r="1117" spans="1:5" x14ac:dyDescent="0.2">
      <c r="A1117" s="9" t="str">
        <f t="shared" si="148"/>
        <v/>
      </c>
      <c r="C1117" s="9" t="str">
        <f t="shared" si="149"/>
        <v/>
      </c>
      <c r="E1117" s="9"/>
    </row>
    <row r="1118" spans="1:5" x14ac:dyDescent="0.2">
      <c r="A1118" s="9" t="str">
        <f t="shared" si="148"/>
        <v/>
      </c>
      <c r="C1118" s="9" t="str">
        <f t="shared" si="149"/>
        <v/>
      </c>
      <c r="E1118" s="9"/>
    </row>
    <row r="1119" spans="1:5" x14ac:dyDescent="0.2">
      <c r="A1119" s="9" t="str">
        <f t="shared" ref="A1119:A1182" si="150">IF(B1119="","",A1118+1)</f>
        <v/>
      </c>
      <c r="C1119" s="9" t="str">
        <f t="shared" ref="C1119:C1182" si="151">IF(B1119="","","vs")</f>
        <v/>
      </c>
      <c r="E1119" s="9"/>
    </row>
    <row r="1120" spans="1:5" x14ac:dyDescent="0.2">
      <c r="A1120" s="9" t="str">
        <f t="shared" si="150"/>
        <v/>
      </c>
      <c r="C1120" s="9" t="str">
        <f t="shared" si="151"/>
        <v/>
      </c>
      <c r="E1120" s="9"/>
    </row>
    <row r="1121" spans="1:5" x14ac:dyDescent="0.2">
      <c r="A1121" s="9" t="str">
        <f t="shared" si="150"/>
        <v/>
      </c>
      <c r="C1121" s="9" t="str">
        <f t="shared" si="151"/>
        <v/>
      </c>
      <c r="E1121" s="9"/>
    </row>
    <row r="1122" spans="1:5" x14ac:dyDescent="0.2">
      <c r="A1122" s="9" t="str">
        <f t="shared" si="150"/>
        <v/>
      </c>
      <c r="C1122" s="9" t="str">
        <f t="shared" si="151"/>
        <v/>
      </c>
      <c r="E1122" s="9"/>
    </row>
    <row r="1123" spans="1:5" x14ac:dyDescent="0.2">
      <c r="A1123" s="9" t="str">
        <f t="shared" si="150"/>
        <v/>
      </c>
      <c r="C1123" s="9" t="str">
        <f t="shared" si="151"/>
        <v/>
      </c>
      <c r="E1123" s="9"/>
    </row>
    <row r="1124" spans="1:5" x14ac:dyDescent="0.2">
      <c r="A1124" s="9" t="str">
        <f t="shared" si="150"/>
        <v/>
      </c>
      <c r="C1124" s="9" t="str">
        <f t="shared" si="151"/>
        <v/>
      </c>
      <c r="E1124" s="9"/>
    </row>
    <row r="1125" spans="1:5" x14ac:dyDescent="0.2">
      <c r="A1125" s="9" t="str">
        <f t="shared" si="150"/>
        <v/>
      </c>
      <c r="C1125" s="9" t="str">
        <f t="shared" si="151"/>
        <v/>
      </c>
      <c r="E1125" s="9"/>
    </row>
    <row r="1126" spans="1:5" x14ac:dyDescent="0.2">
      <c r="A1126" s="9" t="str">
        <f t="shared" si="150"/>
        <v/>
      </c>
      <c r="C1126" s="9" t="str">
        <f t="shared" si="151"/>
        <v/>
      </c>
      <c r="E1126" s="9"/>
    </row>
    <row r="1127" spans="1:5" x14ac:dyDescent="0.2">
      <c r="A1127" s="9" t="str">
        <f t="shared" si="150"/>
        <v/>
      </c>
      <c r="C1127" s="9" t="str">
        <f t="shared" si="151"/>
        <v/>
      </c>
      <c r="E1127" s="9"/>
    </row>
    <row r="1128" spans="1:5" x14ac:dyDescent="0.2">
      <c r="A1128" s="9" t="str">
        <f t="shared" si="150"/>
        <v/>
      </c>
      <c r="C1128" s="9" t="str">
        <f t="shared" si="151"/>
        <v/>
      </c>
      <c r="E1128" s="9"/>
    </row>
    <row r="1129" spans="1:5" x14ac:dyDescent="0.2">
      <c r="A1129" s="9" t="str">
        <f t="shared" si="150"/>
        <v/>
      </c>
      <c r="C1129" s="9" t="str">
        <f t="shared" si="151"/>
        <v/>
      </c>
      <c r="E1129" s="9"/>
    </row>
    <row r="1130" spans="1:5" x14ac:dyDescent="0.2">
      <c r="A1130" s="9" t="str">
        <f t="shared" si="150"/>
        <v/>
      </c>
      <c r="C1130" s="9" t="str">
        <f t="shared" si="151"/>
        <v/>
      </c>
      <c r="E1130" s="9"/>
    </row>
    <row r="1131" spans="1:5" x14ac:dyDescent="0.2">
      <c r="A1131" s="9" t="str">
        <f t="shared" si="150"/>
        <v/>
      </c>
      <c r="C1131" s="9" t="str">
        <f t="shared" si="151"/>
        <v/>
      </c>
      <c r="E1131" s="9"/>
    </row>
    <row r="1132" spans="1:5" x14ac:dyDescent="0.2">
      <c r="A1132" s="9" t="str">
        <f t="shared" si="150"/>
        <v/>
      </c>
      <c r="C1132" s="9" t="str">
        <f t="shared" si="151"/>
        <v/>
      </c>
      <c r="E1132" s="9"/>
    </row>
    <row r="1133" spans="1:5" x14ac:dyDescent="0.2">
      <c r="A1133" s="9" t="str">
        <f t="shared" si="150"/>
        <v/>
      </c>
      <c r="C1133" s="9" t="str">
        <f t="shared" si="151"/>
        <v/>
      </c>
      <c r="E1133" s="9"/>
    </row>
    <row r="1134" spans="1:5" x14ac:dyDescent="0.2">
      <c r="A1134" s="9" t="str">
        <f t="shared" si="150"/>
        <v/>
      </c>
      <c r="C1134" s="9" t="str">
        <f t="shared" si="151"/>
        <v/>
      </c>
      <c r="E1134" s="9"/>
    </row>
    <row r="1135" spans="1:5" x14ac:dyDescent="0.2">
      <c r="A1135" s="9" t="str">
        <f t="shared" si="150"/>
        <v/>
      </c>
      <c r="C1135" s="9" t="str">
        <f t="shared" si="151"/>
        <v/>
      </c>
      <c r="E1135" s="9"/>
    </row>
    <row r="1136" spans="1:5" x14ac:dyDescent="0.2">
      <c r="A1136" s="9" t="str">
        <f t="shared" si="150"/>
        <v/>
      </c>
      <c r="C1136" s="9" t="str">
        <f t="shared" si="151"/>
        <v/>
      </c>
      <c r="E1136" s="9"/>
    </row>
    <row r="1137" spans="1:5" x14ac:dyDescent="0.2">
      <c r="A1137" s="9" t="str">
        <f t="shared" si="150"/>
        <v/>
      </c>
      <c r="C1137" s="9" t="str">
        <f t="shared" si="151"/>
        <v/>
      </c>
      <c r="E1137" s="9"/>
    </row>
    <row r="1138" spans="1:5" x14ac:dyDescent="0.2">
      <c r="A1138" s="9" t="str">
        <f t="shared" si="150"/>
        <v/>
      </c>
      <c r="C1138" s="9" t="str">
        <f t="shared" si="151"/>
        <v/>
      </c>
      <c r="E1138" s="9"/>
    </row>
    <row r="1139" spans="1:5" x14ac:dyDescent="0.2">
      <c r="A1139" s="9" t="str">
        <f t="shared" si="150"/>
        <v/>
      </c>
      <c r="C1139" s="9" t="str">
        <f t="shared" si="151"/>
        <v/>
      </c>
      <c r="E1139" s="9"/>
    </row>
    <row r="1140" spans="1:5" x14ac:dyDescent="0.2">
      <c r="A1140" s="9" t="str">
        <f t="shared" si="150"/>
        <v/>
      </c>
      <c r="C1140" s="9" t="str">
        <f t="shared" si="151"/>
        <v/>
      </c>
      <c r="E1140" s="9"/>
    </row>
    <row r="1141" spans="1:5" x14ac:dyDescent="0.2">
      <c r="A1141" s="9" t="str">
        <f t="shared" si="150"/>
        <v/>
      </c>
      <c r="C1141" s="9" t="str">
        <f t="shared" si="151"/>
        <v/>
      </c>
      <c r="E1141" s="9"/>
    </row>
    <row r="1142" spans="1:5" x14ac:dyDescent="0.2">
      <c r="A1142" s="9" t="str">
        <f t="shared" si="150"/>
        <v/>
      </c>
      <c r="C1142" s="9" t="str">
        <f t="shared" si="151"/>
        <v/>
      </c>
      <c r="E1142" s="9"/>
    </row>
    <row r="1143" spans="1:5" x14ac:dyDescent="0.2">
      <c r="A1143" s="9" t="str">
        <f t="shared" si="150"/>
        <v/>
      </c>
      <c r="C1143" s="9" t="str">
        <f t="shared" si="151"/>
        <v/>
      </c>
      <c r="E1143" s="9"/>
    </row>
    <row r="1144" spans="1:5" x14ac:dyDescent="0.2">
      <c r="A1144" s="9" t="str">
        <f t="shared" si="150"/>
        <v/>
      </c>
      <c r="C1144" s="9" t="str">
        <f t="shared" si="151"/>
        <v/>
      </c>
      <c r="E1144" s="9"/>
    </row>
    <row r="1145" spans="1:5" x14ac:dyDescent="0.2">
      <c r="A1145" s="9" t="str">
        <f t="shared" si="150"/>
        <v/>
      </c>
      <c r="C1145" s="9" t="str">
        <f t="shared" si="151"/>
        <v/>
      </c>
      <c r="E1145" s="9"/>
    </row>
    <row r="1146" spans="1:5" x14ac:dyDescent="0.2">
      <c r="A1146" s="9" t="str">
        <f t="shared" si="150"/>
        <v/>
      </c>
      <c r="C1146" s="9" t="str">
        <f t="shared" si="151"/>
        <v/>
      </c>
      <c r="E1146" s="9"/>
    </row>
    <row r="1147" spans="1:5" x14ac:dyDescent="0.2">
      <c r="A1147" s="9" t="str">
        <f t="shared" si="150"/>
        <v/>
      </c>
      <c r="C1147" s="9" t="str">
        <f t="shared" si="151"/>
        <v/>
      </c>
      <c r="E1147" s="9"/>
    </row>
    <row r="1148" spans="1:5" x14ac:dyDescent="0.2">
      <c r="A1148" s="9" t="str">
        <f t="shared" si="150"/>
        <v/>
      </c>
      <c r="C1148" s="9" t="str">
        <f t="shared" si="151"/>
        <v/>
      </c>
      <c r="E1148" s="9"/>
    </row>
    <row r="1149" spans="1:5" x14ac:dyDescent="0.2">
      <c r="A1149" s="9" t="str">
        <f t="shared" si="150"/>
        <v/>
      </c>
      <c r="C1149" s="9" t="str">
        <f t="shared" si="151"/>
        <v/>
      </c>
      <c r="E1149" s="9"/>
    </row>
    <row r="1150" spans="1:5" x14ac:dyDescent="0.2">
      <c r="A1150" s="9" t="str">
        <f t="shared" si="150"/>
        <v/>
      </c>
      <c r="C1150" s="9" t="str">
        <f t="shared" si="151"/>
        <v/>
      </c>
      <c r="E1150" s="9"/>
    </row>
    <row r="1151" spans="1:5" x14ac:dyDescent="0.2">
      <c r="A1151" s="9" t="str">
        <f t="shared" si="150"/>
        <v/>
      </c>
      <c r="C1151" s="9" t="str">
        <f t="shared" si="151"/>
        <v/>
      </c>
      <c r="E1151" s="9"/>
    </row>
    <row r="1152" spans="1:5" x14ac:dyDescent="0.2">
      <c r="A1152" s="9" t="str">
        <f t="shared" si="150"/>
        <v/>
      </c>
      <c r="C1152" s="9" t="str">
        <f t="shared" si="151"/>
        <v/>
      </c>
      <c r="E1152" s="9"/>
    </row>
    <row r="1153" spans="1:5" x14ac:dyDescent="0.2">
      <c r="A1153" s="9" t="str">
        <f t="shared" si="150"/>
        <v/>
      </c>
      <c r="C1153" s="9" t="str">
        <f t="shared" si="151"/>
        <v/>
      </c>
      <c r="E1153" s="9"/>
    </row>
    <row r="1154" spans="1:5" x14ac:dyDescent="0.2">
      <c r="A1154" s="9" t="str">
        <f t="shared" si="150"/>
        <v/>
      </c>
      <c r="C1154" s="9" t="str">
        <f t="shared" si="151"/>
        <v/>
      </c>
      <c r="E1154" s="9"/>
    </row>
    <row r="1155" spans="1:5" x14ac:dyDescent="0.2">
      <c r="A1155" s="9" t="str">
        <f t="shared" si="150"/>
        <v/>
      </c>
      <c r="C1155" s="9" t="str">
        <f t="shared" si="151"/>
        <v/>
      </c>
      <c r="E1155" s="9"/>
    </row>
    <row r="1156" spans="1:5" x14ac:dyDescent="0.2">
      <c r="A1156" s="9" t="str">
        <f t="shared" si="150"/>
        <v/>
      </c>
      <c r="C1156" s="9" t="str">
        <f t="shared" si="151"/>
        <v/>
      </c>
      <c r="E1156" s="9"/>
    </row>
    <row r="1157" spans="1:5" x14ac:dyDescent="0.2">
      <c r="A1157" s="9" t="str">
        <f t="shared" si="150"/>
        <v/>
      </c>
      <c r="C1157" s="9" t="str">
        <f t="shared" si="151"/>
        <v/>
      </c>
      <c r="E1157" s="9"/>
    </row>
    <row r="1158" spans="1:5" x14ac:dyDescent="0.2">
      <c r="A1158" s="9" t="str">
        <f t="shared" si="150"/>
        <v/>
      </c>
      <c r="C1158" s="9" t="str">
        <f t="shared" si="151"/>
        <v/>
      </c>
      <c r="E1158" s="9"/>
    </row>
    <row r="1159" spans="1:5" x14ac:dyDescent="0.2">
      <c r="A1159" s="9" t="str">
        <f t="shared" si="150"/>
        <v/>
      </c>
      <c r="C1159" s="9" t="str">
        <f t="shared" si="151"/>
        <v/>
      </c>
      <c r="E1159" s="9"/>
    </row>
    <row r="1160" spans="1:5" x14ac:dyDescent="0.2">
      <c r="A1160" s="9" t="str">
        <f t="shared" si="150"/>
        <v/>
      </c>
      <c r="C1160" s="9" t="str">
        <f t="shared" si="151"/>
        <v/>
      </c>
      <c r="E1160" s="9"/>
    </row>
    <row r="1161" spans="1:5" x14ac:dyDescent="0.2">
      <c r="A1161" s="9" t="str">
        <f t="shared" si="150"/>
        <v/>
      </c>
      <c r="C1161" s="9" t="str">
        <f t="shared" si="151"/>
        <v/>
      </c>
      <c r="E1161" s="9"/>
    </row>
    <row r="1162" spans="1:5" x14ac:dyDescent="0.2">
      <c r="A1162" s="9" t="str">
        <f t="shared" si="150"/>
        <v/>
      </c>
      <c r="C1162" s="9" t="str">
        <f t="shared" si="151"/>
        <v/>
      </c>
      <c r="E1162" s="9"/>
    </row>
    <row r="1163" spans="1:5" x14ac:dyDescent="0.2">
      <c r="A1163" s="9" t="str">
        <f t="shared" si="150"/>
        <v/>
      </c>
      <c r="C1163" s="9" t="str">
        <f t="shared" si="151"/>
        <v/>
      </c>
      <c r="E1163" s="9"/>
    </row>
    <row r="1164" spans="1:5" x14ac:dyDescent="0.2">
      <c r="A1164" s="9" t="str">
        <f t="shared" si="150"/>
        <v/>
      </c>
      <c r="C1164" s="9" t="str">
        <f t="shared" si="151"/>
        <v/>
      </c>
      <c r="E1164" s="9"/>
    </row>
    <row r="1165" spans="1:5" x14ac:dyDescent="0.2">
      <c r="A1165" s="9" t="str">
        <f t="shared" si="150"/>
        <v/>
      </c>
      <c r="C1165" s="9" t="str">
        <f t="shared" si="151"/>
        <v/>
      </c>
      <c r="E1165" s="9"/>
    </row>
    <row r="1166" spans="1:5" x14ac:dyDescent="0.2">
      <c r="A1166" s="9" t="str">
        <f t="shared" si="150"/>
        <v/>
      </c>
      <c r="C1166" s="9" t="str">
        <f t="shared" si="151"/>
        <v/>
      </c>
      <c r="E1166" s="9"/>
    </row>
    <row r="1167" spans="1:5" x14ac:dyDescent="0.2">
      <c r="A1167" s="9" t="str">
        <f t="shared" si="150"/>
        <v/>
      </c>
      <c r="C1167" s="9" t="str">
        <f t="shared" si="151"/>
        <v/>
      </c>
      <c r="E1167" s="9"/>
    </row>
    <row r="1168" spans="1:5" x14ac:dyDescent="0.2">
      <c r="A1168" s="9" t="str">
        <f t="shared" si="150"/>
        <v/>
      </c>
      <c r="C1168" s="9" t="str">
        <f t="shared" si="151"/>
        <v/>
      </c>
      <c r="E1168" s="9"/>
    </row>
    <row r="1169" spans="1:5" x14ac:dyDescent="0.2">
      <c r="A1169" s="9" t="str">
        <f t="shared" si="150"/>
        <v/>
      </c>
      <c r="C1169" s="9" t="str">
        <f t="shared" si="151"/>
        <v/>
      </c>
      <c r="E1169" s="9"/>
    </row>
    <row r="1170" spans="1:5" x14ac:dyDescent="0.2">
      <c r="A1170" s="9" t="str">
        <f t="shared" si="150"/>
        <v/>
      </c>
      <c r="C1170" s="9" t="str">
        <f t="shared" si="151"/>
        <v/>
      </c>
      <c r="E1170" s="9"/>
    </row>
    <row r="1171" spans="1:5" x14ac:dyDescent="0.2">
      <c r="A1171" s="9" t="str">
        <f t="shared" si="150"/>
        <v/>
      </c>
      <c r="C1171" s="9" t="str">
        <f t="shared" si="151"/>
        <v/>
      </c>
      <c r="E1171" s="9"/>
    </row>
    <row r="1172" spans="1:5" x14ac:dyDescent="0.2">
      <c r="A1172" s="9" t="str">
        <f t="shared" si="150"/>
        <v/>
      </c>
      <c r="C1172" s="9" t="str">
        <f t="shared" si="151"/>
        <v/>
      </c>
      <c r="E1172" s="9"/>
    </row>
    <row r="1173" spans="1:5" x14ac:dyDescent="0.2">
      <c r="A1173" s="9" t="str">
        <f t="shared" si="150"/>
        <v/>
      </c>
      <c r="C1173" s="9" t="str">
        <f t="shared" si="151"/>
        <v/>
      </c>
      <c r="E1173" s="9"/>
    </row>
    <row r="1174" spans="1:5" x14ac:dyDescent="0.2">
      <c r="A1174" s="9" t="str">
        <f t="shared" si="150"/>
        <v/>
      </c>
      <c r="C1174" s="9" t="str">
        <f t="shared" si="151"/>
        <v/>
      </c>
      <c r="E1174" s="9"/>
    </row>
    <row r="1175" spans="1:5" x14ac:dyDescent="0.2">
      <c r="A1175" s="9" t="str">
        <f t="shared" si="150"/>
        <v/>
      </c>
      <c r="C1175" s="9" t="str">
        <f t="shared" si="151"/>
        <v/>
      </c>
      <c r="E1175" s="9"/>
    </row>
    <row r="1176" spans="1:5" x14ac:dyDescent="0.2">
      <c r="A1176" s="9" t="str">
        <f t="shared" si="150"/>
        <v/>
      </c>
      <c r="C1176" s="9" t="str">
        <f t="shared" si="151"/>
        <v/>
      </c>
      <c r="E1176" s="9"/>
    </row>
    <row r="1177" spans="1:5" x14ac:dyDescent="0.2">
      <c r="A1177" s="9" t="str">
        <f t="shared" si="150"/>
        <v/>
      </c>
      <c r="C1177" s="9" t="str">
        <f t="shared" si="151"/>
        <v/>
      </c>
      <c r="E1177" s="9"/>
    </row>
    <row r="1178" spans="1:5" x14ac:dyDescent="0.2">
      <c r="A1178" s="9" t="str">
        <f t="shared" si="150"/>
        <v/>
      </c>
      <c r="C1178" s="9" t="str">
        <f t="shared" si="151"/>
        <v/>
      </c>
      <c r="E1178" s="9"/>
    </row>
    <row r="1179" spans="1:5" x14ac:dyDescent="0.2">
      <c r="A1179" s="9" t="str">
        <f t="shared" si="150"/>
        <v/>
      </c>
      <c r="C1179" s="9" t="str">
        <f t="shared" si="151"/>
        <v/>
      </c>
      <c r="E1179" s="9"/>
    </row>
    <row r="1180" spans="1:5" x14ac:dyDescent="0.2">
      <c r="A1180" s="9" t="str">
        <f t="shared" si="150"/>
        <v/>
      </c>
      <c r="C1180" s="9" t="str">
        <f t="shared" si="151"/>
        <v/>
      </c>
      <c r="E1180" s="9"/>
    </row>
    <row r="1181" spans="1:5" x14ac:dyDescent="0.2">
      <c r="A1181" s="9" t="str">
        <f t="shared" si="150"/>
        <v/>
      </c>
      <c r="C1181" s="9" t="str">
        <f t="shared" si="151"/>
        <v/>
      </c>
      <c r="E1181" s="9"/>
    </row>
    <row r="1182" spans="1:5" x14ac:dyDescent="0.2">
      <c r="A1182" s="9" t="str">
        <f t="shared" si="150"/>
        <v/>
      </c>
      <c r="C1182" s="9" t="str">
        <f t="shared" si="151"/>
        <v/>
      </c>
      <c r="E1182" s="9"/>
    </row>
    <row r="1183" spans="1:5" x14ac:dyDescent="0.2">
      <c r="A1183" s="9" t="str">
        <f t="shared" ref="A1183:A1246" si="152">IF(B1183="","",A1182+1)</f>
        <v/>
      </c>
      <c r="C1183" s="9" t="str">
        <f t="shared" ref="C1183:C1246" si="153">IF(B1183="","","vs")</f>
        <v/>
      </c>
      <c r="E1183" s="9"/>
    </row>
    <row r="1184" spans="1:5" x14ac:dyDescent="0.2">
      <c r="A1184" s="9" t="str">
        <f t="shared" si="152"/>
        <v/>
      </c>
      <c r="C1184" s="9" t="str">
        <f t="shared" si="153"/>
        <v/>
      </c>
      <c r="E1184" s="9"/>
    </row>
    <row r="1185" spans="1:5" x14ac:dyDescent="0.2">
      <c r="A1185" s="9" t="str">
        <f t="shared" si="152"/>
        <v/>
      </c>
      <c r="C1185" s="9" t="str">
        <f t="shared" si="153"/>
        <v/>
      </c>
      <c r="E1185" s="9"/>
    </row>
    <row r="1186" spans="1:5" x14ac:dyDescent="0.2">
      <c r="A1186" s="9" t="str">
        <f t="shared" si="152"/>
        <v/>
      </c>
      <c r="C1186" s="9" t="str">
        <f t="shared" si="153"/>
        <v/>
      </c>
      <c r="E1186" s="9"/>
    </row>
    <row r="1187" spans="1:5" x14ac:dyDescent="0.2">
      <c r="A1187" s="9" t="str">
        <f t="shared" si="152"/>
        <v/>
      </c>
      <c r="C1187" s="9" t="str">
        <f t="shared" si="153"/>
        <v/>
      </c>
      <c r="E1187" s="9"/>
    </row>
    <row r="1188" spans="1:5" x14ac:dyDescent="0.2">
      <c r="A1188" s="9" t="str">
        <f t="shared" si="152"/>
        <v/>
      </c>
      <c r="C1188" s="9" t="str">
        <f t="shared" si="153"/>
        <v/>
      </c>
      <c r="E1188" s="9"/>
    </row>
    <row r="1189" spans="1:5" x14ac:dyDescent="0.2">
      <c r="A1189" s="9" t="str">
        <f t="shared" si="152"/>
        <v/>
      </c>
      <c r="C1189" s="9" t="str">
        <f t="shared" si="153"/>
        <v/>
      </c>
      <c r="E1189" s="9"/>
    </row>
    <row r="1190" spans="1:5" x14ac:dyDescent="0.2">
      <c r="A1190" s="9" t="str">
        <f t="shared" si="152"/>
        <v/>
      </c>
      <c r="C1190" s="9" t="str">
        <f t="shared" si="153"/>
        <v/>
      </c>
      <c r="E1190" s="9"/>
    </row>
    <row r="1191" spans="1:5" x14ac:dyDescent="0.2">
      <c r="A1191" s="9" t="str">
        <f t="shared" si="152"/>
        <v/>
      </c>
      <c r="C1191" s="9" t="str">
        <f t="shared" si="153"/>
        <v/>
      </c>
      <c r="E1191" s="9"/>
    </row>
    <row r="1192" spans="1:5" x14ac:dyDescent="0.2">
      <c r="A1192" s="9" t="str">
        <f t="shared" si="152"/>
        <v/>
      </c>
      <c r="C1192" s="9" t="str">
        <f t="shared" si="153"/>
        <v/>
      </c>
      <c r="E1192" s="9"/>
    </row>
    <row r="1193" spans="1:5" x14ac:dyDescent="0.2">
      <c r="A1193" s="9" t="str">
        <f t="shared" si="152"/>
        <v/>
      </c>
      <c r="C1193" s="9" t="str">
        <f t="shared" si="153"/>
        <v/>
      </c>
      <c r="E1193" s="9"/>
    </row>
    <row r="1194" spans="1:5" x14ac:dyDescent="0.2">
      <c r="A1194" s="9" t="str">
        <f t="shared" si="152"/>
        <v/>
      </c>
      <c r="C1194" s="9" t="str">
        <f t="shared" si="153"/>
        <v/>
      </c>
      <c r="E1194" s="9"/>
    </row>
    <row r="1195" spans="1:5" x14ac:dyDescent="0.2">
      <c r="A1195" s="9" t="str">
        <f t="shared" si="152"/>
        <v/>
      </c>
      <c r="C1195" s="9" t="str">
        <f t="shared" si="153"/>
        <v/>
      </c>
      <c r="E1195" s="9"/>
    </row>
    <row r="1196" spans="1:5" x14ac:dyDescent="0.2">
      <c r="A1196" s="9" t="str">
        <f t="shared" si="152"/>
        <v/>
      </c>
      <c r="C1196" s="9" t="str">
        <f t="shared" si="153"/>
        <v/>
      </c>
      <c r="E1196" s="9"/>
    </row>
    <row r="1197" spans="1:5" x14ac:dyDescent="0.2">
      <c r="A1197" s="9" t="str">
        <f t="shared" si="152"/>
        <v/>
      </c>
      <c r="C1197" s="9" t="str">
        <f t="shared" si="153"/>
        <v/>
      </c>
      <c r="E1197" s="9"/>
    </row>
    <row r="1198" spans="1:5" x14ac:dyDescent="0.2">
      <c r="A1198" s="9" t="str">
        <f t="shared" si="152"/>
        <v/>
      </c>
      <c r="C1198" s="9" t="str">
        <f t="shared" si="153"/>
        <v/>
      </c>
      <c r="E1198" s="9"/>
    </row>
    <row r="1199" spans="1:5" x14ac:dyDescent="0.2">
      <c r="A1199" s="9" t="str">
        <f t="shared" si="152"/>
        <v/>
      </c>
      <c r="C1199" s="9" t="str">
        <f t="shared" si="153"/>
        <v/>
      </c>
      <c r="E1199" s="9"/>
    </row>
    <row r="1200" spans="1:5" x14ac:dyDescent="0.2">
      <c r="A1200" s="9" t="str">
        <f t="shared" si="152"/>
        <v/>
      </c>
      <c r="C1200" s="9" t="str">
        <f t="shared" si="153"/>
        <v/>
      </c>
      <c r="E1200" s="9"/>
    </row>
    <row r="1201" spans="1:5" x14ac:dyDescent="0.2">
      <c r="A1201" s="9" t="str">
        <f t="shared" si="152"/>
        <v/>
      </c>
      <c r="C1201" s="9" t="str">
        <f t="shared" si="153"/>
        <v/>
      </c>
      <c r="E1201" s="9"/>
    </row>
    <row r="1202" spans="1:5" x14ac:dyDescent="0.2">
      <c r="A1202" s="9" t="str">
        <f t="shared" si="152"/>
        <v/>
      </c>
      <c r="C1202" s="9" t="str">
        <f t="shared" si="153"/>
        <v/>
      </c>
      <c r="E1202" s="9"/>
    </row>
    <row r="1203" spans="1:5" x14ac:dyDescent="0.2">
      <c r="A1203" s="9" t="str">
        <f t="shared" si="152"/>
        <v/>
      </c>
      <c r="C1203" s="9" t="str">
        <f t="shared" si="153"/>
        <v/>
      </c>
      <c r="E1203" s="9"/>
    </row>
    <row r="1204" spans="1:5" x14ac:dyDescent="0.2">
      <c r="A1204" s="9" t="str">
        <f t="shared" si="152"/>
        <v/>
      </c>
      <c r="C1204" s="9" t="str">
        <f t="shared" si="153"/>
        <v/>
      </c>
      <c r="E1204" s="9"/>
    </row>
    <row r="1205" spans="1:5" x14ac:dyDescent="0.2">
      <c r="A1205" s="9" t="str">
        <f t="shared" si="152"/>
        <v/>
      </c>
      <c r="C1205" s="9" t="str">
        <f t="shared" si="153"/>
        <v/>
      </c>
      <c r="E1205" s="9"/>
    </row>
    <row r="1206" spans="1:5" x14ac:dyDescent="0.2">
      <c r="A1206" s="9" t="str">
        <f t="shared" si="152"/>
        <v/>
      </c>
      <c r="C1206" s="9" t="str">
        <f t="shared" si="153"/>
        <v/>
      </c>
      <c r="E1206" s="9"/>
    </row>
    <row r="1207" spans="1:5" x14ac:dyDescent="0.2">
      <c r="A1207" s="9" t="str">
        <f t="shared" si="152"/>
        <v/>
      </c>
      <c r="C1207" s="9" t="str">
        <f t="shared" si="153"/>
        <v/>
      </c>
      <c r="E1207" s="9"/>
    </row>
    <row r="1208" spans="1:5" x14ac:dyDescent="0.2">
      <c r="A1208" s="9" t="str">
        <f t="shared" si="152"/>
        <v/>
      </c>
      <c r="C1208" s="9" t="str">
        <f t="shared" si="153"/>
        <v/>
      </c>
      <c r="E1208" s="9"/>
    </row>
    <row r="1209" spans="1:5" x14ac:dyDescent="0.2">
      <c r="A1209" s="9" t="str">
        <f t="shared" si="152"/>
        <v/>
      </c>
      <c r="C1209" s="9" t="str">
        <f t="shared" si="153"/>
        <v/>
      </c>
      <c r="E1209" s="9"/>
    </row>
    <row r="1210" spans="1:5" x14ac:dyDescent="0.2">
      <c r="A1210" s="9" t="str">
        <f t="shared" si="152"/>
        <v/>
      </c>
      <c r="C1210" s="9" t="str">
        <f t="shared" si="153"/>
        <v/>
      </c>
      <c r="E1210" s="9"/>
    </row>
    <row r="1211" spans="1:5" x14ac:dyDescent="0.2">
      <c r="A1211" s="9" t="str">
        <f t="shared" si="152"/>
        <v/>
      </c>
      <c r="C1211" s="9" t="str">
        <f t="shared" si="153"/>
        <v/>
      </c>
      <c r="E1211" s="9"/>
    </row>
    <row r="1212" spans="1:5" x14ac:dyDescent="0.2">
      <c r="A1212" s="9" t="str">
        <f t="shared" si="152"/>
        <v/>
      </c>
      <c r="C1212" s="9" t="str">
        <f t="shared" si="153"/>
        <v/>
      </c>
      <c r="E1212" s="9"/>
    </row>
    <row r="1213" spans="1:5" x14ac:dyDescent="0.2">
      <c r="A1213" s="9" t="str">
        <f t="shared" si="152"/>
        <v/>
      </c>
      <c r="C1213" s="9" t="str">
        <f t="shared" si="153"/>
        <v/>
      </c>
      <c r="E1213" s="9"/>
    </row>
    <row r="1214" spans="1:5" x14ac:dyDescent="0.2">
      <c r="A1214" s="9" t="str">
        <f t="shared" si="152"/>
        <v/>
      </c>
      <c r="C1214" s="9" t="str">
        <f t="shared" si="153"/>
        <v/>
      </c>
      <c r="E1214" s="9"/>
    </row>
    <row r="1215" spans="1:5" x14ac:dyDescent="0.2">
      <c r="A1215" s="9" t="str">
        <f t="shared" si="152"/>
        <v/>
      </c>
      <c r="C1215" s="9" t="str">
        <f t="shared" si="153"/>
        <v/>
      </c>
      <c r="E1215" s="9"/>
    </row>
    <row r="1216" spans="1:5" x14ac:dyDescent="0.2">
      <c r="A1216" s="9" t="str">
        <f t="shared" si="152"/>
        <v/>
      </c>
      <c r="C1216" s="9" t="str">
        <f t="shared" si="153"/>
        <v/>
      </c>
      <c r="E1216" s="9"/>
    </row>
    <row r="1217" spans="1:5" x14ac:dyDescent="0.2">
      <c r="A1217" s="9" t="str">
        <f t="shared" si="152"/>
        <v/>
      </c>
      <c r="C1217" s="9" t="str">
        <f t="shared" si="153"/>
        <v/>
      </c>
      <c r="E1217" s="9"/>
    </row>
    <row r="1218" spans="1:5" x14ac:dyDescent="0.2">
      <c r="A1218" s="9" t="str">
        <f t="shared" si="152"/>
        <v/>
      </c>
      <c r="C1218" s="9" t="str">
        <f t="shared" si="153"/>
        <v/>
      </c>
      <c r="E1218" s="9"/>
    </row>
    <row r="1219" spans="1:5" x14ac:dyDescent="0.2">
      <c r="A1219" s="9" t="str">
        <f t="shared" si="152"/>
        <v/>
      </c>
      <c r="C1219" s="9" t="str">
        <f t="shared" si="153"/>
        <v/>
      </c>
      <c r="E1219" s="9"/>
    </row>
    <row r="1220" spans="1:5" x14ac:dyDescent="0.2">
      <c r="A1220" s="9" t="str">
        <f t="shared" si="152"/>
        <v/>
      </c>
      <c r="C1220" s="9" t="str">
        <f t="shared" si="153"/>
        <v/>
      </c>
      <c r="E1220" s="9"/>
    </row>
    <row r="1221" spans="1:5" x14ac:dyDescent="0.2">
      <c r="A1221" s="9" t="str">
        <f t="shared" si="152"/>
        <v/>
      </c>
      <c r="C1221" s="9" t="str">
        <f t="shared" si="153"/>
        <v/>
      </c>
      <c r="E1221" s="9"/>
    </row>
    <row r="1222" spans="1:5" x14ac:dyDescent="0.2">
      <c r="A1222" s="9" t="str">
        <f t="shared" si="152"/>
        <v/>
      </c>
      <c r="C1222" s="9" t="str">
        <f t="shared" si="153"/>
        <v/>
      </c>
      <c r="E1222" s="9"/>
    </row>
    <row r="1223" spans="1:5" x14ac:dyDescent="0.2">
      <c r="A1223" s="9" t="str">
        <f t="shared" si="152"/>
        <v/>
      </c>
      <c r="C1223" s="9" t="str">
        <f t="shared" si="153"/>
        <v/>
      </c>
      <c r="E1223" s="9"/>
    </row>
    <row r="1224" spans="1:5" x14ac:dyDescent="0.2">
      <c r="A1224" s="9" t="str">
        <f t="shared" si="152"/>
        <v/>
      </c>
      <c r="C1224" s="9" t="str">
        <f t="shared" si="153"/>
        <v/>
      </c>
      <c r="E1224" s="9"/>
    </row>
    <row r="1225" spans="1:5" x14ac:dyDescent="0.2">
      <c r="A1225" s="9" t="str">
        <f t="shared" si="152"/>
        <v/>
      </c>
      <c r="C1225" s="9" t="str">
        <f t="shared" si="153"/>
        <v/>
      </c>
      <c r="E1225" s="9"/>
    </row>
    <row r="1226" spans="1:5" x14ac:dyDescent="0.2">
      <c r="A1226" s="9" t="str">
        <f t="shared" si="152"/>
        <v/>
      </c>
      <c r="C1226" s="9" t="str">
        <f t="shared" si="153"/>
        <v/>
      </c>
      <c r="E1226" s="9"/>
    </row>
    <row r="1227" spans="1:5" x14ac:dyDescent="0.2">
      <c r="A1227" s="9" t="str">
        <f t="shared" si="152"/>
        <v/>
      </c>
      <c r="C1227" s="9" t="str">
        <f t="shared" si="153"/>
        <v/>
      </c>
      <c r="E1227" s="9"/>
    </row>
    <row r="1228" spans="1:5" x14ac:dyDescent="0.2">
      <c r="A1228" s="9" t="str">
        <f t="shared" si="152"/>
        <v/>
      </c>
      <c r="C1228" s="9" t="str">
        <f t="shared" si="153"/>
        <v/>
      </c>
      <c r="E1228" s="9"/>
    </row>
    <row r="1229" spans="1:5" x14ac:dyDescent="0.2">
      <c r="A1229" s="9" t="str">
        <f t="shared" si="152"/>
        <v/>
      </c>
      <c r="C1229" s="9" t="str">
        <f t="shared" si="153"/>
        <v/>
      </c>
      <c r="E1229" s="9"/>
    </row>
    <row r="1230" spans="1:5" x14ac:dyDescent="0.2">
      <c r="A1230" s="9" t="str">
        <f t="shared" si="152"/>
        <v/>
      </c>
      <c r="C1230" s="9" t="str">
        <f t="shared" si="153"/>
        <v/>
      </c>
      <c r="E1230" s="9"/>
    </row>
    <row r="1231" spans="1:5" x14ac:dyDescent="0.2">
      <c r="A1231" s="9" t="str">
        <f t="shared" si="152"/>
        <v/>
      </c>
      <c r="C1231" s="9" t="str">
        <f t="shared" si="153"/>
        <v/>
      </c>
      <c r="E1231" s="9"/>
    </row>
    <row r="1232" spans="1:5" x14ac:dyDescent="0.2">
      <c r="A1232" s="9" t="str">
        <f t="shared" si="152"/>
        <v/>
      </c>
      <c r="C1232" s="9" t="str">
        <f t="shared" si="153"/>
        <v/>
      </c>
      <c r="E1232" s="9"/>
    </row>
    <row r="1233" spans="1:5" x14ac:dyDescent="0.2">
      <c r="A1233" s="9" t="str">
        <f t="shared" si="152"/>
        <v/>
      </c>
      <c r="C1233" s="9" t="str">
        <f t="shared" si="153"/>
        <v/>
      </c>
      <c r="E1233" s="9"/>
    </row>
    <row r="1234" spans="1:5" x14ac:dyDescent="0.2">
      <c r="A1234" s="9" t="str">
        <f t="shared" si="152"/>
        <v/>
      </c>
      <c r="C1234" s="9" t="str">
        <f t="shared" si="153"/>
        <v/>
      </c>
      <c r="E1234" s="9"/>
    </row>
    <row r="1235" spans="1:5" x14ac:dyDescent="0.2">
      <c r="A1235" s="9" t="str">
        <f t="shared" si="152"/>
        <v/>
      </c>
      <c r="C1235" s="9" t="str">
        <f t="shared" si="153"/>
        <v/>
      </c>
      <c r="E1235" s="9"/>
    </row>
    <row r="1236" spans="1:5" x14ac:dyDescent="0.2">
      <c r="A1236" s="9" t="str">
        <f t="shared" si="152"/>
        <v/>
      </c>
      <c r="C1236" s="9" t="str">
        <f t="shared" si="153"/>
        <v/>
      </c>
      <c r="E1236" s="9"/>
    </row>
    <row r="1237" spans="1:5" x14ac:dyDescent="0.2">
      <c r="A1237" s="9" t="str">
        <f t="shared" si="152"/>
        <v/>
      </c>
      <c r="C1237" s="9" t="str">
        <f t="shared" si="153"/>
        <v/>
      </c>
      <c r="E1237" s="9"/>
    </row>
    <row r="1238" spans="1:5" x14ac:dyDescent="0.2">
      <c r="A1238" s="9" t="str">
        <f t="shared" si="152"/>
        <v/>
      </c>
      <c r="C1238" s="9" t="str">
        <f t="shared" si="153"/>
        <v/>
      </c>
      <c r="E1238" s="9"/>
    </row>
    <row r="1239" spans="1:5" x14ac:dyDescent="0.2">
      <c r="A1239" s="9" t="str">
        <f t="shared" si="152"/>
        <v/>
      </c>
      <c r="C1239" s="9" t="str">
        <f t="shared" si="153"/>
        <v/>
      </c>
      <c r="E1239" s="9"/>
    </row>
    <row r="1240" spans="1:5" x14ac:dyDescent="0.2">
      <c r="A1240" s="9" t="str">
        <f t="shared" si="152"/>
        <v/>
      </c>
      <c r="C1240" s="9" t="str">
        <f t="shared" si="153"/>
        <v/>
      </c>
      <c r="E1240" s="9"/>
    </row>
    <row r="1241" spans="1:5" x14ac:dyDescent="0.2">
      <c r="A1241" s="9" t="str">
        <f t="shared" si="152"/>
        <v/>
      </c>
      <c r="C1241" s="9" t="str">
        <f t="shared" si="153"/>
        <v/>
      </c>
      <c r="E1241" s="9"/>
    </row>
    <row r="1242" spans="1:5" x14ac:dyDescent="0.2">
      <c r="A1242" s="9" t="str">
        <f t="shared" si="152"/>
        <v/>
      </c>
      <c r="C1242" s="9" t="str">
        <f t="shared" si="153"/>
        <v/>
      </c>
      <c r="E1242" s="9"/>
    </row>
    <row r="1243" spans="1:5" x14ac:dyDescent="0.2">
      <c r="A1243" s="9" t="str">
        <f t="shared" si="152"/>
        <v/>
      </c>
      <c r="C1243" s="9" t="str">
        <f t="shared" si="153"/>
        <v/>
      </c>
      <c r="E1243" s="9"/>
    </row>
    <row r="1244" spans="1:5" x14ac:dyDescent="0.2">
      <c r="A1244" s="9" t="str">
        <f t="shared" si="152"/>
        <v/>
      </c>
      <c r="C1244" s="9" t="str">
        <f t="shared" si="153"/>
        <v/>
      </c>
      <c r="E1244" s="9"/>
    </row>
    <row r="1245" spans="1:5" x14ac:dyDescent="0.2">
      <c r="A1245" s="9" t="str">
        <f t="shared" si="152"/>
        <v/>
      </c>
      <c r="C1245" s="9" t="str">
        <f t="shared" si="153"/>
        <v/>
      </c>
      <c r="E1245" s="9"/>
    </row>
    <row r="1246" spans="1:5" x14ac:dyDescent="0.2">
      <c r="A1246" s="9" t="str">
        <f t="shared" si="152"/>
        <v/>
      </c>
      <c r="C1246" s="9" t="str">
        <f t="shared" si="153"/>
        <v/>
      </c>
      <c r="E1246" s="9"/>
    </row>
    <row r="1247" spans="1:5" x14ac:dyDescent="0.2">
      <c r="A1247" s="9" t="str">
        <f t="shared" ref="A1247:A1310" si="154">IF(B1247="","",A1246+1)</f>
        <v/>
      </c>
      <c r="C1247" s="9" t="str">
        <f t="shared" ref="C1247:C1310" si="155">IF(B1247="","","vs")</f>
        <v/>
      </c>
      <c r="E1247" s="9"/>
    </row>
    <row r="1248" spans="1:5" x14ac:dyDescent="0.2">
      <c r="A1248" s="9" t="str">
        <f t="shared" si="154"/>
        <v/>
      </c>
      <c r="C1248" s="9" t="str">
        <f t="shared" si="155"/>
        <v/>
      </c>
      <c r="E1248" s="9"/>
    </row>
    <row r="1249" spans="1:5" x14ac:dyDescent="0.2">
      <c r="A1249" s="9" t="str">
        <f t="shared" si="154"/>
        <v/>
      </c>
      <c r="C1249" s="9" t="str">
        <f t="shared" si="155"/>
        <v/>
      </c>
      <c r="E1249" s="9"/>
    </row>
    <row r="1250" spans="1:5" x14ac:dyDescent="0.2">
      <c r="A1250" s="9" t="str">
        <f t="shared" si="154"/>
        <v/>
      </c>
      <c r="C1250" s="9" t="str">
        <f t="shared" si="155"/>
        <v/>
      </c>
      <c r="E1250" s="9"/>
    </row>
    <row r="1251" spans="1:5" x14ac:dyDescent="0.2">
      <c r="A1251" s="9" t="str">
        <f t="shared" si="154"/>
        <v/>
      </c>
      <c r="C1251" s="9" t="str">
        <f t="shared" si="155"/>
        <v/>
      </c>
      <c r="E1251" s="9"/>
    </row>
    <row r="1252" spans="1:5" x14ac:dyDescent="0.2">
      <c r="A1252" s="9" t="str">
        <f t="shared" si="154"/>
        <v/>
      </c>
      <c r="C1252" s="9" t="str">
        <f t="shared" si="155"/>
        <v/>
      </c>
      <c r="E1252" s="9"/>
    </row>
    <row r="1253" spans="1:5" x14ac:dyDescent="0.2">
      <c r="A1253" s="9" t="str">
        <f t="shared" si="154"/>
        <v/>
      </c>
      <c r="C1253" s="9" t="str">
        <f t="shared" si="155"/>
        <v/>
      </c>
      <c r="E1253" s="9"/>
    </row>
    <row r="1254" spans="1:5" x14ac:dyDescent="0.2">
      <c r="A1254" s="9" t="str">
        <f t="shared" si="154"/>
        <v/>
      </c>
      <c r="C1254" s="9" t="str">
        <f t="shared" si="155"/>
        <v/>
      </c>
      <c r="E1254" s="9"/>
    </row>
    <row r="1255" spans="1:5" x14ac:dyDescent="0.2">
      <c r="A1255" s="9" t="str">
        <f t="shared" si="154"/>
        <v/>
      </c>
      <c r="C1255" s="9" t="str">
        <f t="shared" si="155"/>
        <v/>
      </c>
      <c r="E1255" s="9"/>
    </row>
    <row r="1256" spans="1:5" x14ac:dyDescent="0.2">
      <c r="A1256" s="9" t="str">
        <f t="shared" si="154"/>
        <v/>
      </c>
      <c r="C1256" s="9" t="str">
        <f t="shared" si="155"/>
        <v/>
      </c>
      <c r="E1256" s="9"/>
    </row>
    <row r="1257" spans="1:5" x14ac:dyDescent="0.2">
      <c r="A1257" s="9" t="str">
        <f t="shared" si="154"/>
        <v/>
      </c>
      <c r="C1257" s="9" t="str">
        <f t="shared" si="155"/>
        <v/>
      </c>
      <c r="E1257" s="9"/>
    </row>
    <row r="1258" spans="1:5" x14ac:dyDescent="0.2">
      <c r="A1258" s="9" t="str">
        <f t="shared" si="154"/>
        <v/>
      </c>
      <c r="C1258" s="9" t="str">
        <f t="shared" si="155"/>
        <v/>
      </c>
      <c r="E1258" s="9"/>
    </row>
    <row r="1259" spans="1:5" x14ac:dyDescent="0.2">
      <c r="A1259" s="9" t="str">
        <f t="shared" si="154"/>
        <v/>
      </c>
      <c r="C1259" s="9" t="str">
        <f t="shared" si="155"/>
        <v/>
      </c>
      <c r="E1259" s="9"/>
    </row>
    <row r="1260" spans="1:5" x14ac:dyDescent="0.2">
      <c r="A1260" s="9" t="str">
        <f t="shared" si="154"/>
        <v/>
      </c>
      <c r="C1260" s="9" t="str">
        <f t="shared" si="155"/>
        <v/>
      </c>
      <c r="E1260" s="9"/>
    </row>
    <row r="1261" spans="1:5" x14ac:dyDescent="0.2">
      <c r="A1261" s="9" t="str">
        <f t="shared" si="154"/>
        <v/>
      </c>
      <c r="C1261" s="9" t="str">
        <f t="shared" si="155"/>
        <v/>
      </c>
      <c r="E1261" s="9"/>
    </row>
    <row r="1262" spans="1:5" x14ac:dyDescent="0.2">
      <c r="A1262" s="9" t="str">
        <f t="shared" si="154"/>
        <v/>
      </c>
      <c r="C1262" s="9" t="str">
        <f t="shared" si="155"/>
        <v/>
      </c>
      <c r="E1262" s="9"/>
    </row>
    <row r="1263" spans="1:5" x14ac:dyDescent="0.2">
      <c r="A1263" s="9" t="str">
        <f t="shared" si="154"/>
        <v/>
      </c>
      <c r="C1263" s="9" t="str">
        <f t="shared" si="155"/>
        <v/>
      </c>
      <c r="E1263" s="9"/>
    </row>
    <row r="1264" spans="1:5" x14ac:dyDescent="0.2">
      <c r="A1264" s="9" t="str">
        <f t="shared" si="154"/>
        <v/>
      </c>
      <c r="C1264" s="9" t="str">
        <f t="shared" si="155"/>
        <v/>
      </c>
      <c r="E1264" s="9"/>
    </row>
    <row r="1265" spans="1:5" x14ac:dyDescent="0.2">
      <c r="A1265" s="9" t="str">
        <f t="shared" si="154"/>
        <v/>
      </c>
      <c r="C1265" s="9" t="str">
        <f t="shared" si="155"/>
        <v/>
      </c>
      <c r="E1265" s="9"/>
    </row>
    <row r="1266" spans="1:5" x14ac:dyDescent="0.2">
      <c r="A1266" s="9" t="str">
        <f t="shared" si="154"/>
        <v/>
      </c>
      <c r="C1266" s="9" t="str">
        <f t="shared" si="155"/>
        <v/>
      </c>
      <c r="E1266" s="9"/>
    </row>
    <row r="1267" spans="1:5" x14ac:dyDescent="0.2">
      <c r="A1267" s="9" t="str">
        <f t="shared" si="154"/>
        <v/>
      </c>
      <c r="C1267" s="9" t="str">
        <f t="shared" si="155"/>
        <v/>
      </c>
      <c r="E1267" s="9"/>
    </row>
    <row r="1268" spans="1:5" x14ac:dyDescent="0.2">
      <c r="A1268" s="9" t="str">
        <f t="shared" si="154"/>
        <v/>
      </c>
      <c r="C1268" s="9" t="str">
        <f t="shared" si="155"/>
        <v/>
      </c>
      <c r="E1268" s="9"/>
    </row>
    <row r="1269" spans="1:5" x14ac:dyDescent="0.2">
      <c r="A1269" s="9" t="str">
        <f t="shared" si="154"/>
        <v/>
      </c>
      <c r="C1269" s="9" t="str">
        <f t="shared" si="155"/>
        <v/>
      </c>
      <c r="E1269" s="9"/>
    </row>
    <row r="1270" spans="1:5" x14ac:dyDescent="0.2">
      <c r="A1270" s="9" t="str">
        <f t="shared" si="154"/>
        <v/>
      </c>
      <c r="C1270" s="9" t="str">
        <f t="shared" si="155"/>
        <v/>
      </c>
      <c r="E1270" s="9"/>
    </row>
    <row r="1271" spans="1:5" x14ac:dyDescent="0.2">
      <c r="A1271" s="9" t="str">
        <f t="shared" si="154"/>
        <v/>
      </c>
      <c r="C1271" s="9" t="str">
        <f t="shared" si="155"/>
        <v/>
      </c>
      <c r="E1271" s="9"/>
    </row>
    <row r="1272" spans="1:5" x14ac:dyDescent="0.2">
      <c r="A1272" s="9" t="str">
        <f t="shared" si="154"/>
        <v/>
      </c>
      <c r="C1272" s="9" t="str">
        <f t="shared" si="155"/>
        <v/>
      </c>
      <c r="E1272" s="9"/>
    </row>
    <row r="1273" spans="1:5" x14ac:dyDescent="0.2">
      <c r="A1273" s="9" t="str">
        <f t="shared" si="154"/>
        <v/>
      </c>
      <c r="C1273" s="9" t="str">
        <f t="shared" si="155"/>
        <v/>
      </c>
      <c r="E1273" s="9"/>
    </row>
    <row r="1274" spans="1:5" x14ac:dyDescent="0.2">
      <c r="A1274" s="9" t="str">
        <f t="shared" si="154"/>
        <v/>
      </c>
      <c r="C1274" s="9" t="str">
        <f t="shared" si="155"/>
        <v/>
      </c>
      <c r="E1274" s="9"/>
    </row>
    <row r="1275" spans="1:5" x14ac:dyDescent="0.2">
      <c r="A1275" s="9" t="str">
        <f t="shared" si="154"/>
        <v/>
      </c>
      <c r="C1275" s="9" t="str">
        <f t="shared" si="155"/>
        <v/>
      </c>
      <c r="E1275" s="9"/>
    </row>
    <row r="1276" spans="1:5" x14ac:dyDescent="0.2">
      <c r="A1276" s="9" t="str">
        <f t="shared" si="154"/>
        <v/>
      </c>
      <c r="C1276" s="9" t="str">
        <f t="shared" si="155"/>
        <v/>
      </c>
      <c r="E1276" s="9"/>
    </row>
    <row r="1277" spans="1:5" x14ac:dyDescent="0.2">
      <c r="A1277" s="9" t="str">
        <f t="shared" si="154"/>
        <v/>
      </c>
      <c r="C1277" s="9" t="str">
        <f t="shared" si="155"/>
        <v/>
      </c>
      <c r="E1277" s="9"/>
    </row>
    <row r="1278" spans="1:5" x14ac:dyDescent="0.2">
      <c r="A1278" s="9" t="str">
        <f t="shared" si="154"/>
        <v/>
      </c>
      <c r="C1278" s="9" t="str">
        <f t="shared" si="155"/>
        <v/>
      </c>
      <c r="E1278" s="9"/>
    </row>
    <row r="1279" spans="1:5" x14ac:dyDescent="0.2">
      <c r="A1279" s="9" t="str">
        <f t="shared" si="154"/>
        <v/>
      </c>
      <c r="C1279" s="9" t="str">
        <f t="shared" si="155"/>
        <v/>
      </c>
      <c r="E1279" s="9"/>
    </row>
    <row r="1280" spans="1:5" x14ac:dyDescent="0.2">
      <c r="A1280" s="9" t="str">
        <f t="shared" si="154"/>
        <v/>
      </c>
      <c r="C1280" s="9" t="str">
        <f t="shared" si="155"/>
        <v/>
      </c>
      <c r="E1280" s="9"/>
    </row>
    <row r="1281" spans="1:5" x14ac:dyDescent="0.2">
      <c r="A1281" s="9" t="str">
        <f t="shared" si="154"/>
        <v/>
      </c>
      <c r="C1281" s="9" t="str">
        <f t="shared" si="155"/>
        <v/>
      </c>
      <c r="E1281" s="9"/>
    </row>
    <row r="1282" spans="1:5" x14ac:dyDescent="0.2">
      <c r="A1282" s="9" t="str">
        <f t="shared" si="154"/>
        <v/>
      </c>
      <c r="C1282" s="9" t="str">
        <f t="shared" si="155"/>
        <v/>
      </c>
      <c r="E1282" s="9"/>
    </row>
    <row r="1283" spans="1:5" x14ac:dyDescent="0.2">
      <c r="A1283" s="9" t="str">
        <f t="shared" si="154"/>
        <v/>
      </c>
      <c r="C1283" s="9" t="str">
        <f t="shared" si="155"/>
        <v/>
      </c>
      <c r="E1283" s="9"/>
    </row>
    <row r="1284" spans="1:5" x14ac:dyDescent="0.2">
      <c r="A1284" s="9" t="str">
        <f t="shared" si="154"/>
        <v/>
      </c>
      <c r="C1284" s="9" t="str">
        <f t="shared" si="155"/>
        <v/>
      </c>
      <c r="E1284" s="9"/>
    </row>
    <row r="1285" spans="1:5" x14ac:dyDescent="0.2">
      <c r="A1285" s="9" t="str">
        <f t="shared" si="154"/>
        <v/>
      </c>
      <c r="C1285" s="9" t="str">
        <f t="shared" si="155"/>
        <v/>
      </c>
      <c r="E1285" s="9"/>
    </row>
    <row r="1286" spans="1:5" x14ac:dyDescent="0.2">
      <c r="A1286" s="9" t="str">
        <f t="shared" si="154"/>
        <v/>
      </c>
      <c r="C1286" s="9" t="str">
        <f t="shared" si="155"/>
        <v/>
      </c>
      <c r="E1286" s="9"/>
    </row>
    <row r="1287" spans="1:5" x14ac:dyDescent="0.2">
      <c r="A1287" s="9" t="str">
        <f t="shared" si="154"/>
        <v/>
      </c>
      <c r="C1287" s="9" t="str">
        <f t="shared" si="155"/>
        <v/>
      </c>
      <c r="E1287" s="9"/>
    </row>
    <row r="1288" spans="1:5" x14ac:dyDescent="0.2">
      <c r="A1288" s="9" t="str">
        <f t="shared" si="154"/>
        <v/>
      </c>
      <c r="C1288" s="9" t="str">
        <f t="shared" si="155"/>
        <v/>
      </c>
      <c r="E1288" s="9"/>
    </row>
    <row r="1289" spans="1:5" x14ac:dyDescent="0.2">
      <c r="A1289" s="9" t="str">
        <f t="shared" si="154"/>
        <v/>
      </c>
      <c r="C1289" s="9" t="str">
        <f t="shared" si="155"/>
        <v/>
      </c>
      <c r="E1289" s="9"/>
    </row>
    <row r="1290" spans="1:5" x14ac:dyDescent="0.2">
      <c r="A1290" s="9" t="str">
        <f t="shared" si="154"/>
        <v/>
      </c>
      <c r="C1290" s="9" t="str">
        <f t="shared" si="155"/>
        <v/>
      </c>
      <c r="E1290" s="9"/>
    </row>
    <row r="1291" spans="1:5" x14ac:dyDescent="0.2">
      <c r="A1291" s="9" t="str">
        <f t="shared" si="154"/>
        <v/>
      </c>
      <c r="C1291" s="9" t="str">
        <f t="shared" si="155"/>
        <v/>
      </c>
      <c r="E1291" s="9"/>
    </row>
    <row r="1292" spans="1:5" x14ac:dyDescent="0.2">
      <c r="A1292" s="9" t="str">
        <f t="shared" si="154"/>
        <v/>
      </c>
      <c r="C1292" s="9" t="str">
        <f t="shared" si="155"/>
        <v/>
      </c>
      <c r="E1292" s="9"/>
    </row>
    <row r="1293" spans="1:5" x14ac:dyDescent="0.2">
      <c r="A1293" s="9" t="str">
        <f t="shared" si="154"/>
        <v/>
      </c>
      <c r="C1293" s="9" t="str">
        <f t="shared" si="155"/>
        <v/>
      </c>
      <c r="E1293" s="9"/>
    </row>
    <row r="1294" spans="1:5" x14ac:dyDescent="0.2">
      <c r="A1294" s="9" t="str">
        <f t="shared" si="154"/>
        <v/>
      </c>
      <c r="C1294" s="9" t="str">
        <f t="shared" si="155"/>
        <v/>
      </c>
      <c r="E1294" s="9"/>
    </row>
    <row r="1295" spans="1:5" x14ac:dyDescent="0.2">
      <c r="A1295" s="9" t="str">
        <f t="shared" si="154"/>
        <v/>
      </c>
      <c r="C1295" s="9" t="str">
        <f t="shared" si="155"/>
        <v/>
      </c>
      <c r="E1295" s="9"/>
    </row>
    <row r="1296" spans="1:5" x14ac:dyDescent="0.2">
      <c r="A1296" s="9" t="str">
        <f t="shared" si="154"/>
        <v/>
      </c>
      <c r="C1296" s="9" t="str">
        <f t="shared" si="155"/>
        <v/>
      </c>
      <c r="E1296" s="9"/>
    </row>
    <row r="1297" spans="1:5" x14ac:dyDescent="0.2">
      <c r="A1297" s="9" t="str">
        <f t="shared" si="154"/>
        <v/>
      </c>
      <c r="C1297" s="9" t="str">
        <f t="shared" si="155"/>
        <v/>
      </c>
      <c r="E1297" s="9"/>
    </row>
    <row r="1298" spans="1:5" x14ac:dyDescent="0.2">
      <c r="A1298" s="9" t="str">
        <f t="shared" si="154"/>
        <v/>
      </c>
      <c r="C1298" s="9" t="str">
        <f t="shared" si="155"/>
        <v/>
      </c>
      <c r="E1298" s="9"/>
    </row>
    <row r="1299" spans="1:5" x14ac:dyDescent="0.2">
      <c r="A1299" s="9" t="str">
        <f t="shared" si="154"/>
        <v/>
      </c>
      <c r="C1299" s="9" t="str">
        <f t="shared" si="155"/>
        <v/>
      </c>
      <c r="E1299" s="9"/>
    </row>
    <row r="1300" spans="1:5" x14ac:dyDescent="0.2">
      <c r="A1300" s="9" t="str">
        <f t="shared" si="154"/>
        <v/>
      </c>
      <c r="C1300" s="9" t="str">
        <f t="shared" si="155"/>
        <v/>
      </c>
      <c r="E1300" s="9"/>
    </row>
    <row r="1301" spans="1:5" x14ac:dyDescent="0.2">
      <c r="A1301" s="9" t="str">
        <f t="shared" si="154"/>
        <v/>
      </c>
      <c r="C1301" s="9" t="str">
        <f t="shared" si="155"/>
        <v/>
      </c>
      <c r="E1301" s="9"/>
    </row>
    <row r="1302" spans="1:5" x14ac:dyDescent="0.2">
      <c r="A1302" s="9" t="str">
        <f t="shared" si="154"/>
        <v/>
      </c>
      <c r="C1302" s="9" t="str">
        <f t="shared" si="155"/>
        <v/>
      </c>
      <c r="E1302" s="9"/>
    </row>
    <row r="1303" spans="1:5" x14ac:dyDescent="0.2">
      <c r="A1303" s="9" t="str">
        <f t="shared" si="154"/>
        <v/>
      </c>
      <c r="C1303" s="9" t="str">
        <f t="shared" si="155"/>
        <v/>
      </c>
      <c r="E1303" s="9"/>
    </row>
    <row r="1304" spans="1:5" x14ac:dyDescent="0.2">
      <c r="A1304" s="9" t="str">
        <f t="shared" si="154"/>
        <v/>
      </c>
      <c r="C1304" s="9" t="str">
        <f t="shared" si="155"/>
        <v/>
      </c>
      <c r="E1304" s="9"/>
    </row>
    <row r="1305" spans="1:5" x14ac:dyDescent="0.2">
      <c r="A1305" s="9" t="str">
        <f t="shared" si="154"/>
        <v/>
      </c>
      <c r="C1305" s="9" t="str">
        <f t="shared" si="155"/>
        <v/>
      </c>
      <c r="E1305" s="9"/>
    </row>
    <row r="1306" spans="1:5" x14ac:dyDescent="0.2">
      <c r="A1306" s="9" t="str">
        <f t="shared" si="154"/>
        <v/>
      </c>
      <c r="C1306" s="9" t="str">
        <f t="shared" si="155"/>
        <v/>
      </c>
      <c r="E1306" s="9"/>
    </row>
    <row r="1307" spans="1:5" x14ac:dyDescent="0.2">
      <c r="A1307" s="9" t="str">
        <f t="shared" si="154"/>
        <v/>
      </c>
      <c r="C1307" s="9" t="str">
        <f t="shared" si="155"/>
        <v/>
      </c>
      <c r="E1307" s="9"/>
    </row>
    <row r="1308" spans="1:5" x14ac:dyDescent="0.2">
      <c r="A1308" s="9" t="str">
        <f t="shared" si="154"/>
        <v/>
      </c>
      <c r="C1308" s="9" t="str">
        <f t="shared" si="155"/>
        <v/>
      </c>
      <c r="E1308" s="9"/>
    </row>
    <row r="1309" spans="1:5" x14ac:dyDescent="0.2">
      <c r="A1309" s="9" t="str">
        <f t="shared" si="154"/>
        <v/>
      </c>
      <c r="C1309" s="9" t="str">
        <f t="shared" si="155"/>
        <v/>
      </c>
      <c r="E1309" s="9"/>
    </row>
    <row r="1310" spans="1:5" x14ac:dyDescent="0.2">
      <c r="A1310" s="9" t="str">
        <f t="shared" si="154"/>
        <v/>
      </c>
      <c r="C1310" s="9" t="str">
        <f t="shared" si="155"/>
        <v/>
      </c>
      <c r="E1310" s="9"/>
    </row>
    <row r="1311" spans="1:5" x14ac:dyDescent="0.2">
      <c r="A1311" s="9" t="str">
        <f t="shared" ref="A1311:A1374" si="156">IF(B1311="","",A1310+1)</f>
        <v/>
      </c>
      <c r="C1311" s="9" t="str">
        <f t="shared" ref="C1311:C1374" si="157">IF(B1311="","","vs")</f>
        <v/>
      </c>
      <c r="E1311" s="9"/>
    </row>
    <row r="1312" spans="1:5" x14ac:dyDescent="0.2">
      <c r="A1312" s="9" t="str">
        <f t="shared" si="156"/>
        <v/>
      </c>
      <c r="C1312" s="9" t="str">
        <f t="shared" si="157"/>
        <v/>
      </c>
      <c r="E1312" s="9"/>
    </row>
    <row r="1313" spans="1:5" x14ac:dyDescent="0.2">
      <c r="A1313" s="9" t="str">
        <f t="shared" si="156"/>
        <v/>
      </c>
      <c r="C1313" s="9" t="str">
        <f t="shared" si="157"/>
        <v/>
      </c>
      <c r="E1313" s="9"/>
    </row>
    <row r="1314" spans="1:5" x14ac:dyDescent="0.2">
      <c r="A1314" s="9" t="str">
        <f t="shared" si="156"/>
        <v/>
      </c>
      <c r="C1314" s="9" t="str">
        <f t="shared" si="157"/>
        <v/>
      </c>
      <c r="E1314" s="9"/>
    </row>
    <row r="1315" spans="1:5" x14ac:dyDescent="0.2">
      <c r="A1315" s="9" t="str">
        <f t="shared" si="156"/>
        <v/>
      </c>
      <c r="C1315" s="9" t="str">
        <f t="shared" si="157"/>
        <v/>
      </c>
      <c r="E1315" s="9"/>
    </row>
    <row r="1316" spans="1:5" x14ac:dyDescent="0.2">
      <c r="A1316" s="9" t="str">
        <f t="shared" si="156"/>
        <v/>
      </c>
      <c r="C1316" s="9" t="str">
        <f t="shared" si="157"/>
        <v/>
      </c>
      <c r="E1316" s="9"/>
    </row>
    <row r="1317" spans="1:5" x14ac:dyDescent="0.2">
      <c r="A1317" s="9" t="str">
        <f t="shared" si="156"/>
        <v/>
      </c>
      <c r="C1317" s="9" t="str">
        <f t="shared" si="157"/>
        <v/>
      </c>
      <c r="E1317" s="9"/>
    </row>
    <row r="1318" spans="1:5" x14ac:dyDescent="0.2">
      <c r="A1318" s="9" t="str">
        <f t="shared" si="156"/>
        <v/>
      </c>
      <c r="C1318" s="9" t="str">
        <f t="shared" si="157"/>
        <v/>
      </c>
      <c r="E1318" s="9"/>
    </row>
    <row r="1319" spans="1:5" x14ac:dyDescent="0.2">
      <c r="A1319" s="9" t="str">
        <f t="shared" si="156"/>
        <v/>
      </c>
      <c r="C1319" s="9" t="str">
        <f t="shared" si="157"/>
        <v/>
      </c>
      <c r="E1319" s="9"/>
    </row>
    <row r="1320" spans="1:5" x14ac:dyDescent="0.2">
      <c r="A1320" s="9" t="str">
        <f t="shared" si="156"/>
        <v/>
      </c>
      <c r="C1320" s="9" t="str">
        <f t="shared" si="157"/>
        <v/>
      </c>
      <c r="E1320" s="9"/>
    </row>
    <row r="1321" spans="1:5" x14ac:dyDescent="0.2">
      <c r="A1321" s="9" t="str">
        <f t="shared" si="156"/>
        <v/>
      </c>
      <c r="C1321" s="9" t="str">
        <f t="shared" si="157"/>
        <v/>
      </c>
      <c r="E1321" s="9"/>
    </row>
    <row r="1322" spans="1:5" x14ac:dyDescent="0.2">
      <c r="A1322" s="9" t="str">
        <f t="shared" si="156"/>
        <v/>
      </c>
      <c r="C1322" s="9" t="str">
        <f t="shared" si="157"/>
        <v/>
      </c>
      <c r="E1322" s="9"/>
    </row>
    <row r="1323" spans="1:5" x14ac:dyDescent="0.2">
      <c r="A1323" s="9" t="str">
        <f t="shared" si="156"/>
        <v/>
      </c>
      <c r="C1323" s="9" t="str">
        <f t="shared" si="157"/>
        <v/>
      </c>
      <c r="E1323" s="9"/>
    </row>
    <row r="1324" spans="1:5" x14ac:dyDescent="0.2">
      <c r="A1324" s="9" t="str">
        <f t="shared" si="156"/>
        <v/>
      </c>
      <c r="C1324" s="9" t="str">
        <f t="shared" si="157"/>
        <v/>
      </c>
      <c r="E1324" s="9"/>
    </row>
    <row r="1325" spans="1:5" x14ac:dyDescent="0.2">
      <c r="A1325" s="9" t="str">
        <f t="shared" si="156"/>
        <v/>
      </c>
      <c r="C1325" s="9" t="str">
        <f t="shared" si="157"/>
        <v/>
      </c>
      <c r="E1325" s="9"/>
    </row>
    <row r="1326" spans="1:5" x14ac:dyDescent="0.2">
      <c r="A1326" s="9" t="str">
        <f t="shared" si="156"/>
        <v/>
      </c>
      <c r="C1326" s="9" t="str">
        <f t="shared" si="157"/>
        <v/>
      </c>
      <c r="E1326" s="9"/>
    </row>
    <row r="1327" spans="1:5" x14ac:dyDescent="0.2">
      <c r="A1327" s="9" t="str">
        <f t="shared" si="156"/>
        <v/>
      </c>
      <c r="C1327" s="9" t="str">
        <f t="shared" si="157"/>
        <v/>
      </c>
      <c r="E1327" s="9"/>
    </row>
    <row r="1328" spans="1:5" x14ac:dyDescent="0.2">
      <c r="A1328" s="9" t="str">
        <f t="shared" si="156"/>
        <v/>
      </c>
      <c r="C1328" s="9" t="str">
        <f t="shared" si="157"/>
        <v/>
      </c>
      <c r="E1328" s="9"/>
    </row>
    <row r="1329" spans="1:5" x14ac:dyDescent="0.2">
      <c r="A1329" s="9" t="str">
        <f t="shared" si="156"/>
        <v/>
      </c>
      <c r="C1329" s="9" t="str">
        <f t="shared" si="157"/>
        <v/>
      </c>
      <c r="E1329" s="9"/>
    </row>
    <row r="1330" spans="1:5" x14ac:dyDescent="0.2">
      <c r="A1330" s="9" t="str">
        <f t="shared" si="156"/>
        <v/>
      </c>
      <c r="C1330" s="9" t="str">
        <f t="shared" si="157"/>
        <v/>
      </c>
      <c r="E1330" s="9"/>
    </row>
    <row r="1331" spans="1:5" x14ac:dyDescent="0.2">
      <c r="A1331" s="9" t="str">
        <f t="shared" si="156"/>
        <v/>
      </c>
      <c r="C1331" s="9" t="str">
        <f t="shared" si="157"/>
        <v/>
      </c>
      <c r="E1331" s="9"/>
    </row>
    <row r="1332" spans="1:5" x14ac:dyDescent="0.2">
      <c r="A1332" s="9" t="str">
        <f t="shared" si="156"/>
        <v/>
      </c>
      <c r="C1332" s="9" t="str">
        <f t="shared" si="157"/>
        <v/>
      </c>
      <c r="E1332" s="9"/>
    </row>
    <row r="1333" spans="1:5" x14ac:dyDescent="0.2">
      <c r="A1333" s="9" t="str">
        <f t="shared" si="156"/>
        <v/>
      </c>
      <c r="C1333" s="9" t="str">
        <f t="shared" si="157"/>
        <v/>
      </c>
      <c r="E1333" s="9"/>
    </row>
    <row r="1334" spans="1:5" x14ac:dyDescent="0.2">
      <c r="A1334" s="9" t="str">
        <f t="shared" si="156"/>
        <v/>
      </c>
      <c r="C1334" s="9" t="str">
        <f t="shared" si="157"/>
        <v/>
      </c>
      <c r="E1334" s="9"/>
    </row>
    <row r="1335" spans="1:5" x14ac:dyDescent="0.2">
      <c r="A1335" s="9" t="str">
        <f t="shared" si="156"/>
        <v/>
      </c>
      <c r="C1335" s="9" t="str">
        <f t="shared" si="157"/>
        <v/>
      </c>
      <c r="E1335" s="9"/>
    </row>
    <row r="1336" spans="1:5" x14ac:dyDescent="0.2">
      <c r="A1336" s="9" t="str">
        <f t="shared" si="156"/>
        <v/>
      </c>
      <c r="C1336" s="9" t="str">
        <f t="shared" si="157"/>
        <v/>
      </c>
      <c r="E1336" s="9"/>
    </row>
    <row r="1337" spans="1:5" x14ac:dyDescent="0.2">
      <c r="A1337" s="9" t="str">
        <f t="shared" si="156"/>
        <v/>
      </c>
      <c r="C1337" s="9" t="str">
        <f t="shared" si="157"/>
        <v/>
      </c>
      <c r="E1337" s="9"/>
    </row>
    <row r="1338" spans="1:5" x14ac:dyDescent="0.2">
      <c r="A1338" s="9" t="str">
        <f t="shared" si="156"/>
        <v/>
      </c>
      <c r="C1338" s="9" t="str">
        <f t="shared" si="157"/>
        <v/>
      </c>
      <c r="E1338" s="9"/>
    </row>
    <row r="1339" spans="1:5" x14ac:dyDescent="0.2">
      <c r="A1339" s="9" t="str">
        <f t="shared" si="156"/>
        <v/>
      </c>
      <c r="C1339" s="9" t="str">
        <f t="shared" si="157"/>
        <v/>
      </c>
      <c r="E1339" s="9"/>
    </row>
    <row r="1340" spans="1:5" x14ac:dyDescent="0.2">
      <c r="A1340" s="9" t="str">
        <f t="shared" si="156"/>
        <v/>
      </c>
      <c r="C1340" s="9" t="str">
        <f t="shared" si="157"/>
        <v/>
      </c>
      <c r="E1340" s="9"/>
    </row>
    <row r="1341" spans="1:5" x14ac:dyDescent="0.2">
      <c r="A1341" s="9" t="str">
        <f t="shared" si="156"/>
        <v/>
      </c>
      <c r="C1341" s="9" t="str">
        <f t="shared" si="157"/>
        <v/>
      </c>
      <c r="E1341" s="9"/>
    </row>
    <row r="1342" spans="1:5" x14ac:dyDescent="0.2">
      <c r="A1342" s="9" t="str">
        <f t="shared" si="156"/>
        <v/>
      </c>
      <c r="C1342" s="9" t="str">
        <f t="shared" si="157"/>
        <v/>
      </c>
      <c r="E1342" s="9"/>
    </row>
    <row r="1343" spans="1:5" x14ac:dyDescent="0.2">
      <c r="A1343" s="9" t="str">
        <f t="shared" si="156"/>
        <v/>
      </c>
      <c r="C1343" s="9" t="str">
        <f t="shared" si="157"/>
        <v/>
      </c>
      <c r="E1343" s="9"/>
    </row>
    <row r="1344" spans="1:5" x14ac:dyDescent="0.2">
      <c r="A1344" s="9" t="str">
        <f t="shared" si="156"/>
        <v/>
      </c>
      <c r="C1344" s="9" t="str">
        <f t="shared" si="157"/>
        <v/>
      </c>
      <c r="E1344" s="9"/>
    </row>
    <row r="1345" spans="1:5" x14ac:dyDescent="0.2">
      <c r="A1345" s="9" t="str">
        <f t="shared" si="156"/>
        <v/>
      </c>
      <c r="C1345" s="9" t="str">
        <f t="shared" si="157"/>
        <v/>
      </c>
      <c r="E1345" s="9"/>
    </row>
    <row r="1346" spans="1:5" x14ac:dyDescent="0.2">
      <c r="A1346" s="9" t="str">
        <f t="shared" si="156"/>
        <v/>
      </c>
      <c r="C1346" s="9" t="str">
        <f t="shared" si="157"/>
        <v/>
      </c>
      <c r="E1346" s="9"/>
    </row>
    <row r="1347" spans="1:5" x14ac:dyDescent="0.2">
      <c r="A1347" s="9" t="str">
        <f t="shared" si="156"/>
        <v/>
      </c>
      <c r="C1347" s="9" t="str">
        <f t="shared" si="157"/>
        <v/>
      </c>
      <c r="E1347" s="9"/>
    </row>
    <row r="1348" spans="1:5" x14ac:dyDescent="0.2">
      <c r="A1348" s="9" t="str">
        <f t="shared" si="156"/>
        <v/>
      </c>
      <c r="C1348" s="9" t="str">
        <f t="shared" si="157"/>
        <v/>
      </c>
      <c r="E1348" s="9"/>
    </row>
    <row r="1349" spans="1:5" x14ac:dyDescent="0.2">
      <c r="A1349" s="9" t="str">
        <f t="shared" si="156"/>
        <v/>
      </c>
      <c r="C1349" s="9" t="str">
        <f t="shared" si="157"/>
        <v/>
      </c>
      <c r="E1349" s="9"/>
    </row>
    <row r="1350" spans="1:5" x14ac:dyDescent="0.2">
      <c r="A1350" s="9" t="str">
        <f t="shared" si="156"/>
        <v/>
      </c>
      <c r="C1350" s="9" t="str">
        <f t="shared" si="157"/>
        <v/>
      </c>
      <c r="E1350" s="9"/>
    </row>
    <row r="1351" spans="1:5" x14ac:dyDescent="0.2">
      <c r="A1351" s="9" t="str">
        <f t="shared" si="156"/>
        <v/>
      </c>
      <c r="C1351" s="9" t="str">
        <f t="shared" si="157"/>
        <v/>
      </c>
      <c r="E1351" s="9"/>
    </row>
    <row r="1352" spans="1:5" x14ac:dyDescent="0.2">
      <c r="A1352" s="9" t="str">
        <f t="shared" si="156"/>
        <v/>
      </c>
      <c r="C1352" s="9" t="str">
        <f t="shared" si="157"/>
        <v/>
      </c>
      <c r="E1352" s="9"/>
    </row>
    <row r="1353" spans="1:5" x14ac:dyDescent="0.2">
      <c r="A1353" s="9" t="str">
        <f t="shared" si="156"/>
        <v/>
      </c>
      <c r="C1353" s="9" t="str">
        <f t="shared" si="157"/>
        <v/>
      </c>
      <c r="E1353" s="9"/>
    </row>
    <row r="1354" spans="1:5" x14ac:dyDescent="0.2">
      <c r="A1354" s="9" t="str">
        <f t="shared" si="156"/>
        <v/>
      </c>
      <c r="C1354" s="9" t="str">
        <f t="shared" si="157"/>
        <v/>
      </c>
      <c r="E1354" s="9"/>
    </row>
    <row r="1355" spans="1:5" x14ac:dyDescent="0.2">
      <c r="A1355" s="9" t="str">
        <f t="shared" si="156"/>
        <v/>
      </c>
      <c r="C1355" s="9" t="str">
        <f t="shared" si="157"/>
        <v/>
      </c>
      <c r="E1355" s="9"/>
    </row>
    <row r="1356" spans="1:5" x14ac:dyDescent="0.2">
      <c r="A1356" s="9" t="str">
        <f t="shared" si="156"/>
        <v/>
      </c>
      <c r="C1356" s="9" t="str">
        <f t="shared" si="157"/>
        <v/>
      </c>
      <c r="E1356" s="9"/>
    </row>
    <row r="1357" spans="1:5" x14ac:dyDescent="0.2">
      <c r="A1357" s="9" t="str">
        <f t="shared" si="156"/>
        <v/>
      </c>
      <c r="C1357" s="9" t="str">
        <f t="shared" si="157"/>
        <v/>
      </c>
      <c r="E1357" s="9"/>
    </row>
    <row r="1358" spans="1:5" x14ac:dyDescent="0.2">
      <c r="A1358" s="9" t="str">
        <f t="shared" si="156"/>
        <v/>
      </c>
      <c r="C1358" s="9" t="str">
        <f t="shared" si="157"/>
        <v/>
      </c>
      <c r="E1358" s="9"/>
    </row>
    <row r="1359" spans="1:5" x14ac:dyDescent="0.2">
      <c r="A1359" s="9" t="str">
        <f t="shared" si="156"/>
        <v/>
      </c>
      <c r="C1359" s="9" t="str">
        <f t="shared" si="157"/>
        <v/>
      </c>
      <c r="E1359" s="9"/>
    </row>
    <row r="1360" spans="1:5" x14ac:dyDescent="0.2">
      <c r="A1360" s="9" t="str">
        <f t="shared" si="156"/>
        <v/>
      </c>
      <c r="C1360" s="9" t="str">
        <f t="shared" si="157"/>
        <v/>
      </c>
      <c r="E1360" s="9"/>
    </row>
    <row r="1361" spans="1:5" x14ac:dyDescent="0.2">
      <c r="A1361" s="9" t="str">
        <f t="shared" si="156"/>
        <v/>
      </c>
      <c r="C1361" s="9" t="str">
        <f t="shared" si="157"/>
        <v/>
      </c>
      <c r="E1361" s="9"/>
    </row>
    <row r="1362" spans="1:5" x14ac:dyDescent="0.2">
      <c r="A1362" s="9" t="str">
        <f t="shared" si="156"/>
        <v/>
      </c>
      <c r="C1362" s="9" t="str">
        <f t="shared" si="157"/>
        <v/>
      </c>
      <c r="E1362" s="9"/>
    </row>
    <row r="1363" spans="1:5" x14ac:dyDescent="0.2">
      <c r="A1363" s="9" t="str">
        <f t="shared" si="156"/>
        <v/>
      </c>
      <c r="C1363" s="9" t="str">
        <f t="shared" si="157"/>
        <v/>
      </c>
      <c r="E1363" s="9"/>
    </row>
    <row r="1364" spans="1:5" x14ac:dyDescent="0.2">
      <c r="A1364" s="9" t="str">
        <f t="shared" si="156"/>
        <v/>
      </c>
      <c r="C1364" s="9" t="str">
        <f t="shared" si="157"/>
        <v/>
      </c>
      <c r="E1364" s="9"/>
    </row>
    <row r="1365" spans="1:5" x14ac:dyDescent="0.2">
      <c r="A1365" s="9" t="str">
        <f t="shared" si="156"/>
        <v/>
      </c>
      <c r="C1365" s="9" t="str">
        <f t="shared" si="157"/>
        <v/>
      </c>
      <c r="E1365" s="9"/>
    </row>
    <row r="1366" spans="1:5" x14ac:dyDescent="0.2">
      <c r="A1366" s="9" t="str">
        <f t="shared" si="156"/>
        <v/>
      </c>
      <c r="C1366" s="9" t="str">
        <f t="shared" si="157"/>
        <v/>
      </c>
      <c r="E1366" s="9"/>
    </row>
    <row r="1367" spans="1:5" x14ac:dyDescent="0.2">
      <c r="A1367" s="9" t="str">
        <f t="shared" si="156"/>
        <v/>
      </c>
      <c r="C1367" s="9" t="str">
        <f t="shared" si="157"/>
        <v/>
      </c>
      <c r="E1367" s="9"/>
    </row>
    <row r="1368" spans="1:5" x14ac:dyDescent="0.2">
      <c r="A1368" s="9" t="str">
        <f t="shared" si="156"/>
        <v/>
      </c>
      <c r="C1368" s="9" t="str">
        <f t="shared" si="157"/>
        <v/>
      </c>
      <c r="E1368" s="9"/>
    </row>
    <row r="1369" spans="1:5" x14ac:dyDescent="0.2">
      <c r="A1369" s="9" t="str">
        <f t="shared" si="156"/>
        <v/>
      </c>
      <c r="C1369" s="9" t="str">
        <f t="shared" si="157"/>
        <v/>
      </c>
      <c r="E1369" s="9"/>
    </row>
    <row r="1370" spans="1:5" x14ac:dyDescent="0.2">
      <c r="A1370" s="9" t="str">
        <f t="shared" si="156"/>
        <v/>
      </c>
      <c r="C1370" s="9" t="str">
        <f t="shared" si="157"/>
        <v/>
      </c>
      <c r="E1370" s="9"/>
    </row>
    <row r="1371" spans="1:5" x14ac:dyDescent="0.2">
      <c r="A1371" s="9" t="str">
        <f t="shared" si="156"/>
        <v/>
      </c>
      <c r="C1371" s="9" t="str">
        <f t="shared" si="157"/>
        <v/>
      </c>
      <c r="E1371" s="9"/>
    </row>
    <row r="1372" spans="1:5" x14ac:dyDescent="0.2">
      <c r="A1372" s="9" t="str">
        <f t="shared" si="156"/>
        <v/>
      </c>
      <c r="C1372" s="9" t="str">
        <f t="shared" si="157"/>
        <v/>
      </c>
      <c r="E1372" s="9"/>
    </row>
    <row r="1373" spans="1:5" x14ac:dyDescent="0.2">
      <c r="A1373" s="9" t="str">
        <f t="shared" si="156"/>
        <v/>
      </c>
      <c r="C1373" s="9" t="str">
        <f t="shared" si="157"/>
        <v/>
      </c>
      <c r="E1373" s="9"/>
    </row>
    <row r="1374" spans="1:5" x14ac:dyDescent="0.2">
      <c r="A1374" s="9" t="str">
        <f t="shared" si="156"/>
        <v/>
      </c>
      <c r="C1374" s="9" t="str">
        <f t="shared" si="157"/>
        <v/>
      </c>
      <c r="E1374" s="9"/>
    </row>
    <row r="1375" spans="1:5" x14ac:dyDescent="0.2">
      <c r="A1375" s="9" t="str">
        <f t="shared" ref="A1375:A1438" si="158">IF(B1375="","",A1374+1)</f>
        <v/>
      </c>
      <c r="C1375" s="9" t="str">
        <f t="shared" ref="C1375:C1431" si="159">IF(B1375="","","vs")</f>
        <v/>
      </c>
      <c r="E1375" s="9"/>
    </row>
    <row r="1376" spans="1:5" x14ac:dyDescent="0.2">
      <c r="A1376" s="9" t="str">
        <f t="shared" si="158"/>
        <v/>
      </c>
      <c r="C1376" s="9" t="str">
        <f t="shared" si="159"/>
        <v/>
      </c>
      <c r="E1376" s="9"/>
    </row>
    <row r="1377" spans="1:5" x14ac:dyDescent="0.2">
      <c r="A1377" s="9" t="str">
        <f t="shared" si="158"/>
        <v/>
      </c>
      <c r="C1377" s="9" t="str">
        <f t="shared" si="159"/>
        <v/>
      </c>
      <c r="E1377" s="9"/>
    </row>
    <row r="1378" spans="1:5" x14ac:dyDescent="0.2">
      <c r="A1378" s="9" t="str">
        <f t="shared" si="158"/>
        <v/>
      </c>
      <c r="C1378" s="9" t="str">
        <f t="shared" si="159"/>
        <v/>
      </c>
      <c r="E1378" s="9"/>
    </row>
    <row r="1379" spans="1:5" x14ac:dyDescent="0.2">
      <c r="A1379" s="9" t="str">
        <f t="shared" si="158"/>
        <v/>
      </c>
      <c r="C1379" s="9" t="str">
        <f t="shared" si="159"/>
        <v/>
      </c>
      <c r="E1379" s="9"/>
    </row>
    <row r="1380" spans="1:5" x14ac:dyDescent="0.2">
      <c r="A1380" s="9" t="str">
        <f t="shared" si="158"/>
        <v/>
      </c>
      <c r="C1380" s="9" t="str">
        <f t="shared" si="159"/>
        <v/>
      </c>
      <c r="E1380" s="9"/>
    </row>
    <row r="1381" spans="1:5" x14ac:dyDescent="0.2">
      <c r="A1381" s="9" t="str">
        <f t="shared" si="158"/>
        <v/>
      </c>
      <c r="C1381" s="9" t="str">
        <f t="shared" si="159"/>
        <v/>
      </c>
    </row>
    <row r="1382" spans="1:5" x14ac:dyDescent="0.2">
      <c r="A1382" s="9" t="str">
        <f t="shared" si="158"/>
        <v/>
      </c>
      <c r="C1382" s="9" t="str">
        <f t="shared" si="159"/>
        <v/>
      </c>
    </row>
    <row r="1383" spans="1:5" x14ac:dyDescent="0.2">
      <c r="A1383" s="9" t="str">
        <f t="shared" si="158"/>
        <v/>
      </c>
      <c r="C1383" s="9" t="str">
        <f t="shared" si="159"/>
        <v/>
      </c>
    </row>
    <row r="1384" spans="1:5" x14ac:dyDescent="0.2">
      <c r="A1384" s="9" t="str">
        <f t="shared" si="158"/>
        <v/>
      </c>
      <c r="C1384" s="9" t="str">
        <f t="shared" si="159"/>
        <v/>
      </c>
    </row>
    <row r="1385" spans="1:5" x14ac:dyDescent="0.2">
      <c r="A1385" s="9" t="str">
        <f t="shared" si="158"/>
        <v/>
      </c>
      <c r="C1385" s="9" t="str">
        <f t="shared" si="159"/>
        <v/>
      </c>
    </row>
    <row r="1386" spans="1:5" x14ac:dyDescent="0.2">
      <c r="A1386" s="9" t="str">
        <f t="shared" si="158"/>
        <v/>
      </c>
      <c r="C1386" s="9" t="str">
        <f t="shared" si="159"/>
        <v/>
      </c>
    </row>
    <row r="1387" spans="1:5" x14ac:dyDescent="0.2">
      <c r="A1387" s="9" t="str">
        <f t="shared" si="158"/>
        <v/>
      </c>
      <c r="C1387" s="9" t="str">
        <f t="shared" si="159"/>
        <v/>
      </c>
    </row>
    <row r="1388" spans="1:5" x14ac:dyDescent="0.2">
      <c r="A1388" s="9" t="str">
        <f t="shared" si="158"/>
        <v/>
      </c>
      <c r="C1388" s="9" t="str">
        <f t="shared" si="159"/>
        <v/>
      </c>
    </row>
    <row r="1389" spans="1:5" x14ac:dyDescent="0.2">
      <c r="A1389" s="9" t="str">
        <f t="shared" si="158"/>
        <v/>
      </c>
      <c r="C1389" s="9" t="str">
        <f t="shared" si="159"/>
        <v/>
      </c>
    </row>
    <row r="1390" spans="1:5" x14ac:dyDescent="0.2">
      <c r="A1390" s="9" t="str">
        <f t="shared" si="158"/>
        <v/>
      </c>
      <c r="C1390" s="9" t="str">
        <f t="shared" si="159"/>
        <v/>
      </c>
    </row>
    <row r="1391" spans="1:5" x14ac:dyDescent="0.2">
      <c r="A1391" s="9" t="str">
        <f t="shared" si="158"/>
        <v/>
      </c>
      <c r="C1391" s="9" t="str">
        <f t="shared" si="159"/>
        <v/>
      </c>
    </row>
    <row r="1392" spans="1:5" x14ac:dyDescent="0.2">
      <c r="A1392" s="9" t="str">
        <f t="shared" si="158"/>
        <v/>
      </c>
      <c r="C1392" s="9" t="str">
        <f t="shared" si="159"/>
        <v/>
      </c>
    </row>
    <row r="1393" spans="1:3" x14ac:dyDescent="0.2">
      <c r="A1393" s="9" t="str">
        <f t="shared" si="158"/>
        <v/>
      </c>
      <c r="C1393" s="9" t="str">
        <f t="shared" si="159"/>
        <v/>
      </c>
    </row>
    <row r="1394" spans="1:3" x14ac:dyDescent="0.2">
      <c r="A1394" s="9" t="str">
        <f t="shared" si="158"/>
        <v/>
      </c>
      <c r="C1394" s="9" t="str">
        <f t="shared" si="159"/>
        <v/>
      </c>
    </row>
    <row r="1395" spans="1:3" x14ac:dyDescent="0.2">
      <c r="A1395" s="9" t="str">
        <f t="shared" si="158"/>
        <v/>
      </c>
      <c r="C1395" s="9" t="str">
        <f t="shared" si="159"/>
        <v/>
      </c>
    </row>
    <row r="1396" spans="1:3" x14ac:dyDescent="0.2">
      <c r="A1396" s="9" t="str">
        <f t="shared" si="158"/>
        <v/>
      </c>
      <c r="C1396" s="9" t="str">
        <f t="shared" si="159"/>
        <v/>
      </c>
    </row>
    <row r="1397" spans="1:3" x14ac:dyDescent="0.2">
      <c r="A1397" s="9" t="str">
        <f t="shared" si="158"/>
        <v/>
      </c>
      <c r="C1397" s="9" t="str">
        <f t="shared" si="159"/>
        <v/>
      </c>
    </row>
    <row r="1398" spans="1:3" x14ac:dyDescent="0.2">
      <c r="A1398" s="9" t="str">
        <f t="shared" si="158"/>
        <v/>
      </c>
      <c r="C1398" s="9" t="str">
        <f t="shared" si="159"/>
        <v/>
      </c>
    </row>
    <row r="1399" spans="1:3" x14ac:dyDescent="0.2">
      <c r="A1399" s="9" t="str">
        <f t="shared" si="158"/>
        <v/>
      </c>
      <c r="C1399" s="9" t="str">
        <f t="shared" si="159"/>
        <v/>
      </c>
    </row>
    <row r="1400" spans="1:3" x14ac:dyDescent="0.2">
      <c r="A1400" s="9" t="str">
        <f t="shared" si="158"/>
        <v/>
      </c>
      <c r="C1400" s="9" t="str">
        <f t="shared" si="159"/>
        <v/>
      </c>
    </row>
    <row r="1401" spans="1:3" x14ac:dyDescent="0.2">
      <c r="A1401" s="9" t="str">
        <f t="shared" si="158"/>
        <v/>
      </c>
      <c r="C1401" s="9" t="str">
        <f t="shared" si="159"/>
        <v/>
      </c>
    </row>
    <row r="1402" spans="1:3" x14ac:dyDescent="0.2">
      <c r="A1402" s="9" t="str">
        <f t="shared" si="158"/>
        <v/>
      </c>
      <c r="C1402" s="9" t="str">
        <f t="shared" si="159"/>
        <v/>
      </c>
    </row>
    <row r="1403" spans="1:3" x14ac:dyDescent="0.2">
      <c r="A1403" s="9" t="str">
        <f t="shared" si="158"/>
        <v/>
      </c>
      <c r="C1403" s="9" t="str">
        <f t="shared" si="159"/>
        <v/>
      </c>
    </row>
    <row r="1404" spans="1:3" x14ac:dyDescent="0.2">
      <c r="A1404" s="9" t="str">
        <f t="shared" si="158"/>
        <v/>
      </c>
      <c r="C1404" s="9" t="str">
        <f t="shared" si="159"/>
        <v/>
      </c>
    </row>
    <row r="1405" spans="1:3" x14ac:dyDescent="0.2">
      <c r="A1405" s="9" t="str">
        <f t="shared" si="158"/>
        <v/>
      </c>
      <c r="C1405" s="9" t="str">
        <f t="shared" si="159"/>
        <v/>
      </c>
    </row>
    <row r="1406" spans="1:3" x14ac:dyDescent="0.2">
      <c r="A1406" s="9" t="str">
        <f t="shared" si="158"/>
        <v/>
      </c>
      <c r="C1406" s="9" t="str">
        <f t="shared" si="159"/>
        <v/>
      </c>
    </row>
    <row r="1407" spans="1:3" x14ac:dyDescent="0.2">
      <c r="A1407" s="9" t="str">
        <f t="shared" si="158"/>
        <v/>
      </c>
      <c r="C1407" s="9" t="str">
        <f t="shared" si="159"/>
        <v/>
      </c>
    </row>
    <row r="1408" spans="1:3" x14ac:dyDescent="0.2">
      <c r="A1408" s="9" t="str">
        <f t="shared" si="158"/>
        <v/>
      </c>
      <c r="C1408" s="9" t="str">
        <f t="shared" si="159"/>
        <v/>
      </c>
    </row>
    <row r="1409" spans="1:3" x14ac:dyDescent="0.2">
      <c r="A1409" s="9" t="str">
        <f t="shared" si="158"/>
        <v/>
      </c>
      <c r="C1409" s="9" t="str">
        <f t="shared" si="159"/>
        <v/>
      </c>
    </row>
    <row r="1410" spans="1:3" x14ac:dyDescent="0.2">
      <c r="A1410" s="9" t="str">
        <f t="shared" si="158"/>
        <v/>
      </c>
      <c r="C1410" s="9" t="str">
        <f t="shared" si="159"/>
        <v/>
      </c>
    </row>
    <row r="1411" spans="1:3" x14ac:dyDescent="0.2">
      <c r="A1411" s="9" t="str">
        <f t="shared" si="158"/>
        <v/>
      </c>
      <c r="C1411" s="9" t="str">
        <f t="shared" si="159"/>
        <v/>
      </c>
    </row>
    <row r="1412" spans="1:3" x14ac:dyDescent="0.2">
      <c r="A1412" s="9" t="str">
        <f t="shared" si="158"/>
        <v/>
      </c>
      <c r="C1412" s="9" t="str">
        <f t="shared" si="159"/>
        <v/>
      </c>
    </row>
    <row r="1413" spans="1:3" x14ac:dyDescent="0.2">
      <c r="A1413" s="9" t="str">
        <f t="shared" si="158"/>
        <v/>
      </c>
      <c r="C1413" s="9" t="str">
        <f t="shared" si="159"/>
        <v/>
      </c>
    </row>
    <row r="1414" spans="1:3" x14ac:dyDescent="0.2">
      <c r="A1414" s="9" t="str">
        <f t="shared" si="158"/>
        <v/>
      </c>
      <c r="C1414" s="9" t="str">
        <f t="shared" si="159"/>
        <v/>
      </c>
    </row>
    <row r="1415" spans="1:3" x14ac:dyDescent="0.2">
      <c r="A1415" s="9" t="str">
        <f t="shared" si="158"/>
        <v/>
      </c>
      <c r="C1415" s="9" t="str">
        <f t="shared" si="159"/>
        <v/>
      </c>
    </row>
    <row r="1416" spans="1:3" x14ac:dyDescent="0.2">
      <c r="A1416" s="9" t="str">
        <f t="shared" si="158"/>
        <v/>
      </c>
      <c r="C1416" s="9" t="str">
        <f t="shared" si="159"/>
        <v/>
      </c>
    </row>
    <row r="1417" spans="1:3" x14ac:dyDescent="0.2">
      <c r="A1417" s="9" t="str">
        <f t="shared" si="158"/>
        <v/>
      </c>
      <c r="C1417" s="9" t="str">
        <f t="shared" si="159"/>
        <v/>
      </c>
    </row>
    <row r="1418" spans="1:3" x14ac:dyDescent="0.2">
      <c r="A1418" s="9" t="str">
        <f t="shared" si="158"/>
        <v/>
      </c>
      <c r="C1418" s="9" t="str">
        <f t="shared" si="159"/>
        <v/>
      </c>
    </row>
    <row r="1419" spans="1:3" x14ac:dyDescent="0.2">
      <c r="A1419" s="9" t="str">
        <f t="shared" si="158"/>
        <v/>
      </c>
      <c r="C1419" s="9" t="str">
        <f t="shared" si="159"/>
        <v/>
      </c>
    </row>
    <row r="1420" spans="1:3" x14ac:dyDescent="0.2">
      <c r="A1420" s="9" t="str">
        <f t="shared" si="158"/>
        <v/>
      </c>
      <c r="C1420" s="9" t="str">
        <f t="shared" si="159"/>
        <v/>
      </c>
    </row>
    <row r="1421" spans="1:3" x14ac:dyDescent="0.2">
      <c r="A1421" s="9" t="str">
        <f t="shared" si="158"/>
        <v/>
      </c>
      <c r="C1421" s="9" t="str">
        <f t="shared" si="159"/>
        <v/>
      </c>
    </row>
    <row r="1422" spans="1:3" x14ac:dyDescent="0.2">
      <c r="A1422" s="9" t="str">
        <f t="shared" si="158"/>
        <v/>
      </c>
      <c r="C1422" s="9" t="str">
        <f t="shared" si="159"/>
        <v/>
      </c>
    </row>
    <row r="1423" spans="1:3" x14ac:dyDescent="0.2">
      <c r="A1423" s="9" t="str">
        <f t="shared" si="158"/>
        <v/>
      </c>
      <c r="C1423" s="9" t="str">
        <f t="shared" si="159"/>
        <v/>
      </c>
    </row>
    <row r="1424" spans="1:3" x14ac:dyDescent="0.2">
      <c r="A1424" s="9" t="str">
        <f t="shared" si="158"/>
        <v/>
      </c>
      <c r="C1424" s="9" t="str">
        <f t="shared" si="159"/>
        <v/>
      </c>
    </row>
    <row r="1425" spans="1:3" x14ac:dyDescent="0.2">
      <c r="A1425" s="9" t="str">
        <f t="shared" si="158"/>
        <v/>
      </c>
      <c r="C1425" s="9" t="str">
        <f t="shared" si="159"/>
        <v/>
      </c>
    </row>
    <row r="1426" spans="1:3" x14ac:dyDescent="0.2">
      <c r="A1426" s="9" t="str">
        <f t="shared" si="158"/>
        <v/>
      </c>
      <c r="C1426" s="9" t="str">
        <f t="shared" si="159"/>
        <v/>
      </c>
    </row>
    <row r="1427" spans="1:3" x14ac:dyDescent="0.2">
      <c r="A1427" s="9" t="str">
        <f t="shared" si="158"/>
        <v/>
      </c>
      <c r="C1427" s="9" t="str">
        <f t="shared" si="159"/>
        <v/>
      </c>
    </row>
    <row r="1428" spans="1:3" x14ac:dyDescent="0.2">
      <c r="A1428" s="9" t="str">
        <f t="shared" si="158"/>
        <v/>
      </c>
      <c r="C1428" s="9" t="str">
        <f t="shared" si="159"/>
        <v/>
      </c>
    </row>
    <row r="1429" spans="1:3" x14ac:dyDescent="0.2">
      <c r="A1429" s="9" t="str">
        <f t="shared" si="158"/>
        <v/>
      </c>
      <c r="C1429" s="9" t="str">
        <f t="shared" si="159"/>
        <v/>
      </c>
    </row>
    <row r="1430" spans="1:3" x14ac:dyDescent="0.2">
      <c r="A1430" s="9" t="str">
        <f t="shared" si="158"/>
        <v/>
      </c>
      <c r="C1430" s="9" t="str">
        <f t="shared" si="159"/>
        <v/>
      </c>
    </row>
    <row r="1431" spans="1:3" x14ac:dyDescent="0.2">
      <c r="A1431" s="9" t="str">
        <f t="shared" si="158"/>
        <v/>
      </c>
      <c r="C1431" s="9" t="str">
        <f t="shared" si="159"/>
        <v/>
      </c>
    </row>
    <row r="1432" spans="1:3" x14ac:dyDescent="0.2">
      <c r="A1432" s="9" t="str">
        <f t="shared" si="158"/>
        <v/>
      </c>
    </row>
    <row r="1433" spans="1:3" x14ac:dyDescent="0.2">
      <c r="A1433" s="9" t="str">
        <f t="shared" si="158"/>
        <v/>
      </c>
    </row>
    <row r="1434" spans="1:3" x14ac:dyDescent="0.2">
      <c r="A1434" s="9" t="str">
        <f t="shared" si="158"/>
        <v/>
      </c>
    </row>
    <row r="1435" spans="1:3" x14ac:dyDescent="0.2">
      <c r="A1435" s="9" t="str">
        <f t="shared" si="158"/>
        <v/>
      </c>
    </row>
    <row r="1436" spans="1:3" x14ac:dyDescent="0.2">
      <c r="A1436" s="9" t="str">
        <f t="shared" si="158"/>
        <v/>
      </c>
    </row>
    <row r="1437" spans="1:3" x14ac:dyDescent="0.2">
      <c r="A1437" s="9" t="str">
        <f t="shared" si="158"/>
        <v/>
      </c>
    </row>
    <row r="1438" spans="1:3" x14ac:dyDescent="0.2">
      <c r="A1438" s="9" t="str">
        <f t="shared" si="158"/>
        <v/>
      </c>
    </row>
    <row r="1439" spans="1:3" x14ac:dyDescent="0.2">
      <c r="A1439" s="9" t="str">
        <f t="shared" ref="A1439:A1445" si="160">IF(B1439="","",A1438+1)</f>
        <v/>
      </c>
    </row>
    <row r="1440" spans="1:3" x14ac:dyDescent="0.2">
      <c r="A1440" s="9" t="str">
        <f t="shared" si="160"/>
        <v/>
      </c>
    </row>
    <row r="1441" spans="1:1" x14ac:dyDescent="0.2">
      <c r="A1441" s="9" t="str">
        <f t="shared" si="160"/>
        <v/>
      </c>
    </row>
    <row r="1442" spans="1:1" x14ac:dyDescent="0.2">
      <c r="A1442" s="9" t="str">
        <f t="shared" si="160"/>
        <v/>
      </c>
    </row>
    <row r="1443" spans="1:1" x14ac:dyDescent="0.2">
      <c r="A1443" s="9" t="str">
        <f t="shared" si="160"/>
        <v/>
      </c>
    </row>
    <row r="1444" spans="1:1" x14ac:dyDescent="0.2">
      <c r="A1444" s="9" t="str">
        <f t="shared" si="160"/>
        <v/>
      </c>
    </row>
    <row r="1445" spans="1:1" x14ac:dyDescent="0.2">
      <c r="A1445" s="9" t="str">
        <f t="shared" si="160"/>
        <v/>
      </c>
    </row>
    <row r="1452" spans="1:1" ht="17.25" customHeight="1" x14ac:dyDescent="0.2"/>
    <row r="1456" spans="1:1" ht="17.25" customHeight="1" x14ac:dyDescent="0.2"/>
    <row r="1458" ht="17.25" customHeight="1" x14ac:dyDescent="0.2"/>
  </sheetData>
  <sheetProtection selectLockedCells="1" autoFilter="0"/>
  <autoFilter ref="A3:F1445" xr:uid="{00000000-0001-0000-0000-000000000000}"/>
  <dataConsolidate/>
  <mergeCells count="8">
    <mergeCell ref="G6:G7"/>
    <mergeCell ref="G82:G83"/>
    <mergeCell ref="I103:I104"/>
    <mergeCell ref="Z526:AC526"/>
    <mergeCell ref="K525:L525"/>
    <mergeCell ref="M526:X526"/>
    <mergeCell ref="H169:H170"/>
    <mergeCell ref="A1:F1"/>
  </mergeCells>
  <conditionalFormatting sqref="F4:F213 F215:F524">
    <cfRule type="cellIs" dxfId="19" priority="20" operator="equal">
      <formula>$J$13</formula>
    </cfRule>
    <cfRule type="cellIs" dxfId="18" priority="21" operator="equal">
      <formula>$J$12</formula>
    </cfRule>
  </conditionalFormatting>
  <conditionalFormatting sqref="F4:F213 F215:F525">
    <cfRule type="cellIs" dxfId="17" priority="24" operator="equal">
      <formula>$J$15</formula>
    </cfRule>
    <cfRule type="cellIs" dxfId="16" priority="25" operator="equal">
      <formula>$J$14</formula>
    </cfRule>
    <cfRule type="cellIs" dxfId="15" priority="26" operator="equal">
      <formula>$J$13</formula>
    </cfRule>
    <cfRule type="cellIs" dxfId="14" priority="27" operator="equal">
      <formula>$J$12</formula>
    </cfRule>
  </conditionalFormatting>
  <conditionalFormatting sqref="F4:F524">
    <cfRule type="cellIs" dxfId="13" priority="32" operator="equal">
      <formula>$J$15</formula>
    </cfRule>
    <cfRule type="cellIs" dxfId="12" priority="33" operator="equal">
      <formula>$J$14</formula>
    </cfRule>
  </conditionalFormatting>
  <conditionalFormatting sqref="F214">
    <cfRule type="cellIs" dxfId="11" priority="35" operator="equal">
      <formula>$J$13</formula>
    </cfRule>
    <cfRule type="cellIs" dxfId="10" priority="36" operator="equal">
      <formula>$J$12</formula>
    </cfRule>
    <cfRule type="cellIs" dxfId="9" priority="37" operator="equal">
      <formula>$J$15</formula>
    </cfRule>
    <cfRule type="cellIs" dxfId="8" priority="38" operator="equal">
      <formula>$J$13</formula>
    </cfRule>
    <cfRule type="cellIs" dxfId="7" priority="39" operator="equal">
      <formula>$J$12</formula>
    </cfRule>
  </conditionalFormatting>
  <dataValidations count="4">
    <dataValidation type="list" allowBlank="1" showInputMessage="1" showErrorMessage="1" sqref="D525:D1048576 D1 D78:D298 D367 D399" xr:uid="{00000000-0002-0000-0000-000000000000}">
      <formula1>$M$3:$X$3</formula1>
    </dataValidation>
    <dataValidation type="list" allowBlank="1" showInputMessage="1" showErrorMessage="1" sqref="D4:D77 D299:D366 D400:D524 D368:D398" xr:uid="{514EE6C1-D5F3-4BAE-8936-94417C559F98}">
      <formula1>$M$3:$Y$3</formula1>
    </dataValidation>
    <dataValidation type="list" allowBlank="1" showInputMessage="1" showErrorMessage="1" sqref="F1:F3 F525:F1048576" xr:uid="{00000000-0002-0000-0000-000002000000}">
      <formula1>$J$12:$J$14</formula1>
    </dataValidation>
    <dataValidation type="list" allowBlank="1" showInputMessage="1" showErrorMessage="1" sqref="F4:F524" xr:uid="{00000000-0002-0000-0000-000004000000}">
      <formula1>$J$12:$J$15</formula1>
    </dataValidation>
  </dataValidations>
  <pageMargins left="0.51181102362204722" right="0" top="0.23622047244094491" bottom="0" header="0" footer="0"/>
  <pageSetup paperSize="9" scale="61" orientation="landscape" r:id="rId1"/>
  <headerFooter alignWithMargins="0">
    <oddFooter>&amp;R&amp;6&amp;Z&amp;F</oddFooter>
  </headerFooter>
  <rowBreaks count="11" manualBreakCount="11">
    <brk id="34" max="11" man="1"/>
    <brk id="67" max="11" man="1"/>
    <brk id="93" max="11" man="1"/>
    <brk id="123" max="11" man="1"/>
    <brk id="153" max="11" man="1"/>
    <brk id="184" max="11" man="1"/>
    <brk id="219" max="11" man="1"/>
    <brk id="252" max="11" man="1"/>
    <brk id="283" max="11" man="1"/>
    <brk id="317" max="11" man="1"/>
    <brk id="358"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7C4F-8A94-47E4-8A37-90E91AC16BCB}">
  <dimension ref="A1:L30"/>
  <sheetViews>
    <sheetView tabSelected="1" view="pageBreakPreview" zoomScale="118" zoomScaleNormal="71" zoomScaleSheetLayoutView="118" workbookViewId="0">
      <selection activeCell="C29" sqref="C29"/>
    </sheetView>
  </sheetViews>
  <sheetFormatPr defaultRowHeight="12.75" x14ac:dyDescent="0.2"/>
  <cols>
    <col min="1" max="1" width="11.42578125" customWidth="1"/>
    <col min="2" max="2" width="19.85546875" customWidth="1"/>
    <col min="3" max="3" width="13.85546875" style="113" customWidth="1"/>
    <col min="4" max="4" width="11.5703125" style="113" customWidth="1"/>
    <col min="5" max="5" width="19.28515625" style="113" customWidth="1"/>
    <col min="6" max="6" width="13.7109375" style="113" customWidth="1"/>
    <col min="7" max="7" width="2.5703125" customWidth="1"/>
    <col min="8" max="12" width="8.5703125" customWidth="1"/>
  </cols>
  <sheetData>
    <row r="1" spans="1:12" ht="24" customHeight="1" x14ac:dyDescent="0.25">
      <c r="A1" s="388" t="s">
        <v>802</v>
      </c>
      <c r="B1" s="388"/>
      <c r="C1" s="388"/>
      <c r="D1" s="388"/>
      <c r="E1" s="388"/>
      <c r="F1" s="388"/>
      <c r="G1" s="316"/>
      <c r="H1" s="316"/>
      <c r="I1" s="316"/>
      <c r="J1" s="316"/>
      <c r="K1" s="316"/>
      <c r="L1" s="316"/>
    </row>
    <row r="2" spans="1:12" ht="18" x14ac:dyDescent="0.25">
      <c r="A2" s="388" t="s">
        <v>803</v>
      </c>
      <c r="B2" s="388"/>
      <c r="C2" s="388"/>
      <c r="D2" s="388"/>
      <c r="E2" s="388"/>
      <c r="F2" s="388"/>
      <c r="G2" s="316"/>
      <c r="H2" s="316"/>
      <c r="I2" s="316"/>
      <c r="J2" s="316"/>
      <c r="K2" s="316"/>
      <c r="L2" s="316"/>
    </row>
    <row r="3" spans="1:12" ht="15.75" x14ac:dyDescent="0.2">
      <c r="A3" s="387" t="s">
        <v>804</v>
      </c>
      <c r="B3" s="387"/>
      <c r="C3" s="387"/>
      <c r="D3" s="387"/>
      <c r="E3" s="387"/>
      <c r="F3" s="387"/>
    </row>
    <row r="4" spans="1:12" ht="8.25" customHeight="1" x14ac:dyDescent="0.2">
      <c r="A4" s="307"/>
      <c r="B4" s="307"/>
      <c r="C4" s="307"/>
      <c r="D4" s="307"/>
      <c r="E4" s="307"/>
      <c r="F4" s="307"/>
    </row>
    <row r="5" spans="1:12" ht="21" customHeight="1" x14ac:dyDescent="0.2">
      <c r="A5" s="387" t="s">
        <v>805</v>
      </c>
      <c r="B5" s="387"/>
      <c r="C5" s="387"/>
      <c r="D5" s="387"/>
      <c r="E5" s="387"/>
      <c r="F5" s="387"/>
      <c r="G5" s="317"/>
      <c r="H5" s="317"/>
      <c r="I5" s="317"/>
      <c r="J5" s="317"/>
      <c r="K5" s="317"/>
      <c r="L5" s="317"/>
    </row>
    <row r="6" spans="1:12" ht="7.5" customHeight="1" thickBot="1" x14ac:dyDescent="0.25"/>
    <row r="7" spans="1:12" ht="28.5" customHeight="1" thickBot="1" x14ac:dyDescent="0.25">
      <c r="A7" s="128" t="s">
        <v>806</v>
      </c>
      <c r="B7" s="129" t="s">
        <v>807</v>
      </c>
      <c r="C7" s="308" t="s">
        <v>23</v>
      </c>
      <c r="D7" s="309" t="s">
        <v>47</v>
      </c>
      <c r="E7" s="309" t="s">
        <v>33</v>
      </c>
      <c r="F7" s="310" t="s">
        <v>52</v>
      </c>
    </row>
    <row r="8" spans="1:12" ht="19.5" customHeight="1" x14ac:dyDescent="0.2">
      <c r="A8" s="311">
        <v>2010</v>
      </c>
      <c r="B8" s="312">
        <v>24</v>
      </c>
      <c r="C8" s="325">
        <v>20</v>
      </c>
      <c r="D8" s="331">
        <v>0</v>
      </c>
      <c r="E8" s="326">
        <v>4</v>
      </c>
      <c r="F8" s="332">
        <v>0</v>
      </c>
    </row>
    <row r="9" spans="1:12" ht="19.5" customHeight="1" x14ac:dyDescent="0.2">
      <c r="A9" s="313">
        <v>2011</v>
      </c>
      <c r="B9" s="314">
        <v>37</v>
      </c>
      <c r="C9" s="319">
        <v>24</v>
      </c>
      <c r="D9" s="320">
        <v>9</v>
      </c>
      <c r="E9" s="320">
        <v>4</v>
      </c>
      <c r="F9" s="333">
        <v>0</v>
      </c>
    </row>
    <row r="10" spans="1:12" ht="19.5" customHeight="1" x14ac:dyDescent="0.2">
      <c r="A10" s="313">
        <v>2012</v>
      </c>
      <c r="B10" s="314">
        <f>COUNTIF(rekod!E6:E525,A10)</f>
        <v>14</v>
      </c>
      <c r="C10" s="319">
        <f>COUNTIF(rekod!F68:F81,C7)</f>
        <v>12</v>
      </c>
      <c r="D10" s="320">
        <f>COUNTIF(rekod!F68:F81,D7)</f>
        <v>2</v>
      </c>
      <c r="E10" s="334">
        <f>COUNTIF(rekod!F68:F81,E7)</f>
        <v>0</v>
      </c>
      <c r="F10" s="333">
        <f>COUNTIF(rekod!F68:F81,F7)</f>
        <v>0</v>
      </c>
    </row>
    <row r="11" spans="1:12" ht="19.5" customHeight="1" x14ac:dyDescent="0.2">
      <c r="A11" s="313">
        <v>2013</v>
      </c>
      <c r="B11" s="314">
        <f>COUNTIF(rekod!E7:E526,A11)</f>
        <v>18</v>
      </c>
      <c r="C11" s="319">
        <f>COUNTIF(rekod!F82:F99,C7)</f>
        <v>12</v>
      </c>
      <c r="D11" s="320">
        <f>COUNTIF(rekod!F82:F99,D7)</f>
        <v>2</v>
      </c>
      <c r="E11" s="320">
        <f>COUNTIF(rekod!F82:F99,E7)</f>
        <v>3</v>
      </c>
      <c r="F11" s="321">
        <f>COUNTIF(rekod!F82:F99,F7)</f>
        <v>1</v>
      </c>
      <c r="J11" s="330"/>
    </row>
    <row r="12" spans="1:12" ht="19.5" customHeight="1" x14ac:dyDescent="0.2">
      <c r="A12" s="313">
        <v>2014</v>
      </c>
      <c r="B12" s="314">
        <f>COUNTIF(rekod!E8:E527,A12)</f>
        <v>16</v>
      </c>
      <c r="C12" s="319">
        <f>COUNTIF(rekod!$F$100:$F$115,$C$7)</f>
        <v>13</v>
      </c>
      <c r="D12" s="320">
        <f>COUNTIF(rekod!$F$100:$F$115,D$7)</f>
        <v>2</v>
      </c>
      <c r="E12" s="320">
        <f>COUNTIF(rekod!$F$100:$F$115,E$7)</f>
        <v>1</v>
      </c>
      <c r="F12" s="333">
        <f>COUNTIF(rekod!$F$100:$F$115,F$7)</f>
        <v>0</v>
      </c>
    </row>
    <row r="13" spans="1:12" ht="19.5" customHeight="1" x14ac:dyDescent="0.2">
      <c r="A13" s="313">
        <v>2015</v>
      </c>
      <c r="B13" s="314">
        <f>COUNTIF(rekod!E9:E528,A13)</f>
        <v>23</v>
      </c>
      <c r="C13" s="319">
        <f>COUNTIF(rekod!$F$116:$F$138,C$7)</f>
        <v>20</v>
      </c>
      <c r="D13" s="320">
        <f>COUNTIF(rekod!$F$116:$F$138,D$7)</f>
        <v>1</v>
      </c>
      <c r="E13" s="320">
        <f>COUNTIF(rekod!$F$116:$F$138,E$7)</f>
        <v>2</v>
      </c>
      <c r="F13" s="333">
        <f>COUNTIF(rekod!$F$116:$F$138,F$7)</f>
        <v>0</v>
      </c>
    </row>
    <row r="14" spans="1:12" ht="19.5" customHeight="1" x14ac:dyDescent="0.2">
      <c r="A14" s="313">
        <v>2016</v>
      </c>
      <c r="B14" s="314">
        <f>COUNTIF(rekod!E10:E529,A14)</f>
        <v>9</v>
      </c>
      <c r="C14" s="319">
        <f>COUNTIF(rekod!$F$139:$F$147,C$7)</f>
        <v>5</v>
      </c>
      <c r="D14" s="334">
        <f>COUNTIF(rekod!$F$139:$F$147,D$7)</f>
        <v>0</v>
      </c>
      <c r="E14" s="320">
        <f>COUNTIF(rekod!$F$139:$F$147,E$7)</f>
        <v>3</v>
      </c>
      <c r="F14" s="321">
        <f>COUNTIF(rekod!$F$139:$F$147,F$7)</f>
        <v>1</v>
      </c>
    </row>
    <row r="15" spans="1:12" ht="19.5" customHeight="1" x14ac:dyDescent="0.2">
      <c r="A15" s="313">
        <v>2017</v>
      </c>
      <c r="B15" s="314">
        <f>COUNTIF(rekod!E11:E530,A15)</f>
        <v>18</v>
      </c>
      <c r="C15" s="319">
        <f>COUNTIF(rekod!$F$148:$F$165,C$7)</f>
        <v>16</v>
      </c>
      <c r="D15" s="320">
        <f>COUNTIF(rekod!$F$148:$F$165,D$7)</f>
        <v>2</v>
      </c>
      <c r="E15" s="334">
        <f>COUNTIF(rekod!$F$148:$F$165,E$7)</f>
        <v>0</v>
      </c>
      <c r="F15" s="333">
        <f>COUNTIF(rekod!$F$148:$F$165,F$7)</f>
        <v>0</v>
      </c>
    </row>
    <row r="16" spans="1:12" ht="19.5" customHeight="1" x14ac:dyDescent="0.2">
      <c r="A16" s="313">
        <v>2018</v>
      </c>
      <c r="B16" s="314">
        <f>COUNTIF(rekod!E12:E531,A16)</f>
        <v>19</v>
      </c>
      <c r="C16" s="319">
        <f>COUNTIF(rekod!$F$166:$F$184,C$7)</f>
        <v>17</v>
      </c>
      <c r="D16" s="334">
        <f>COUNTIF(rekod!$F$166:$F$184,D$7)</f>
        <v>0</v>
      </c>
      <c r="E16" s="320">
        <f>COUNTIF(rekod!$F$166:$F$184,E$7)</f>
        <v>2</v>
      </c>
      <c r="F16" s="333">
        <f>COUNTIF(rekod!$F$166:$F$184,F$7)</f>
        <v>0</v>
      </c>
    </row>
    <row r="17" spans="1:6" ht="19.5" customHeight="1" x14ac:dyDescent="0.2">
      <c r="A17" s="313">
        <v>2019</v>
      </c>
      <c r="B17" s="314">
        <f>COUNTIF(rekod!E13:E532,A17)</f>
        <v>20</v>
      </c>
      <c r="C17" s="319">
        <f>COUNTIF(rekod!$F$185:$F$204,C$7)</f>
        <v>17</v>
      </c>
      <c r="D17" s="320">
        <f>COUNTIF(rekod!$F$185:$F$204,D$7)</f>
        <v>2</v>
      </c>
      <c r="E17" s="320">
        <f>COUNTIF(rekod!$F$185:$F$204,E$7)</f>
        <v>1</v>
      </c>
      <c r="F17" s="333">
        <f>COUNTIF(rekod!$F$185:$F$204,F$7)</f>
        <v>0</v>
      </c>
    </row>
    <row r="18" spans="1:6" ht="19.5" customHeight="1" x14ac:dyDescent="0.2">
      <c r="A18" s="313">
        <v>2020</v>
      </c>
      <c r="B18" s="314">
        <f>COUNTIF(rekod!E14:E533,A18)</f>
        <v>10</v>
      </c>
      <c r="C18" s="319">
        <f>COUNTIF(rekod!$F$205:$F$214,C$7)</f>
        <v>7</v>
      </c>
      <c r="D18" s="320">
        <f>COUNTIF(rekod!$F$205:$F$214,D$7)</f>
        <v>3</v>
      </c>
      <c r="E18" s="334">
        <f>COUNTIF(rekod!$F$205:$F$214,E$7)</f>
        <v>0</v>
      </c>
      <c r="F18" s="333">
        <f>COUNTIF(rekod!$F$205:$F$214,F$7)</f>
        <v>0</v>
      </c>
    </row>
    <row r="19" spans="1:6" ht="19.5" customHeight="1" x14ac:dyDescent="0.2">
      <c r="A19" s="313">
        <v>2021</v>
      </c>
      <c r="B19" s="314">
        <f>COUNTIF(rekod!E15:E534,A19)</f>
        <v>10</v>
      </c>
      <c r="C19" s="319">
        <f>COUNTIF(rekod!$F$215:$F$224,C$7)</f>
        <v>9</v>
      </c>
      <c r="D19" s="334">
        <f>COUNTIF(rekod!$F$215:$F$224,D$7)</f>
        <v>0</v>
      </c>
      <c r="E19" s="320">
        <f>COUNTIF(rekod!$F$215:$F$224,E$7)</f>
        <v>1</v>
      </c>
      <c r="F19" s="333">
        <f>COUNTIF(rekod!$F$215:$F$224,F$7)</f>
        <v>0</v>
      </c>
    </row>
    <row r="20" spans="1:6" ht="19.5" customHeight="1" x14ac:dyDescent="0.2">
      <c r="A20" s="313">
        <v>2022</v>
      </c>
      <c r="B20" s="314">
        <f>COUNTIF(rekod!E13:E532,A20)</f>
        <v>24</v>
      </c>
      <c r="C20" s="319">
        <f>COUNTIF(rekod!$F$225:$F$249,C$7)</f>
        <v>15</v>
      </c>
      <c r="D20" s="320">
        <f>COUNTIF(rekod!$F$225:$F$249,D$7)</f>
        <v>9</v>
      </c>
      <c r="E20" s="334">
        <f>COUNTIF(rekod!$F$225:$F$249,E$7)</f>
        <v>0</v>
      </c>
      <c r="F20" s="333">
        <f>COUNTIF(rekod!$F$225:$F$249,F$7)</f>
        <v>0</v>
      </c>
    </row>
    <row r="21" spans="1:6" ht="19.5" customHeight="1" x14ac:dyDescent="0.2">
      <c r="A21" s="313">
        <v>2023</v>
      </c>
      <c r="B21" s="314">
        <f>COUNTIF(rekod!E14:E533,A21)</f>
        <v>28</v>
      </c>
      <c r="C21" s="319">
        <f>COUNTIF(rekod!$F$250:$F$278,C$7)</f>
        <v>24</v>
      </c>
      <c r="D21" s="334">
        <f>COUNTIF(rekod!$F$250:$F$278,D$7)</f>
        <v>0</v>
      </c>
      <c r="E21" s="320">
        <f>COUNTIF(rekod!$F$250:$F$278,E$7)</f>
        <v>3</v>
      </c>
      <c r="F21" s="321">
        <f>COUNTIF(rekod!$F$250:$F$278,F$7)</f>
        <v>1</v>
      </c>
    </row>
    <row r="22" spans="1:6" ht="19.5" customHeight="1" x14ac:dyDescent="0.2">
      <c r="A22" s="313">
        <v>2024</v>
      </c>
      <c r="B22" s="314">
        <f>COUNTIF(rekod!E15:E534,A22)</f>
        <v>34</v>
      </c>
      <c r="C22" s="319">
        <f>COUNTIF(rekod!$F$279:$F$314,C$7)</f>
        <v>27</v>
      </c>
      <c r="D22" s="320">
        <f>COUNTIF(rekod!$F$279:$F$314,D$7)</f>
        <v>6</v>
      </c>
      <c r="E22" s="320">
        <f>COUNTIF(rekod!$F$279:$F$314,E$7)</f>
        <v>1</v>
      </c>
      <c r="F22" s="333">
        <f>COUNTIF(rekod!$F$279:$F$314,F$7)</f>
        <v>0</v>
      </c>
    </row>
    <row r="23" spans="1:6" ht="19.5" customHeight="1" thickBot="1" x14ac:dyDescent="0.25">
      <c r="A23" s="315">
        <v>2025</v>
      </c>
      <c r="B23" s="314">
        <f>COUNTIF(rekod!E16:E535,A23)</f>
        <v>36</v>
      </c>
      <c r="C23" s="322">
        <f>COUNTIF(rekod!$F$315:$F$348,C$7)</f>
        <v>24</v>
      </c>
      <c r="D23" s="323">
        <f>COUNTIF(rekod!$F$315:$F$348,D$7)</f>
        <v>4</v>
      </c>
      <c r="E23" s="323">
        <f>COUNTIF(rekod!$F$315:$F$348,E$7)</f>
        <v>2</v>
      </c>
      <c r="F23" s="324">
        <f>COUNTIF(rekod!$F$315:$F$348,F$7)</f>
        <v>1</v>
      </c>
    </row>
    <row r="24" spans="1:6" ht="19.5" hidden="1" customHeight="1" thickBot="1" x14ac:dyDescent="0.25">
      <c r="A24" s="318">
        <v>2026</v>
      </c>
      <c r="B24" s="314">
        <f>COUNTIF(rekod!E17:E536,A24)</f>
        <v>30</v>
      </c>
      <c r="C24" s="335"/>
      <c r="D24" s="336"/>
      <c r="E24" s="336"/>
      <c r="F24" s="337"/>
    </row>
    <row r="25" spans="1:6" ht="19.5" hidden="1" customHeight="1" thickBot="1" x14ac:dyDescent="0.25">
      <c r="A25" s="318">
        <v>2027</v>
      </c>
      <c r="B25" s="314">
        <f>COUNTIF(rekod!E18:E537,A25)</f>
        <v>0</v>
      </c>
      <c r="C25" s="335"/>
      <c r="D25" s="336"/>
      <c r="E25" s="336"/>
      <c r="F25" s="337"/>
    </row>
    <row r="26" spans="1:6" ht="19.5" hidden="1" customHeight="1" thickBot="1" x14ac:dyDescent="0.25">
      <c r="A26" s="318">
        <v>2028</v>
      </c>
      <c r="B26" s="314">
        <f>COUNTIF(rekod!E19:E538,A26)</f>
        <v>0</v>
      </c>
      <c r="C26" s="335"/>
      <c r="D26" s="336"/>
      <c r="E26" s="336"/>
      <c r="F26" s="337"/>
    </row>
    <row r="27" spans="1:6" ht="19.5" hidden="1" customHeight="1" thickBot="1" x14ac:dyDescent="0.25">
      <c r="A27" s="318">
        <v>2029</v>
      </c>
      <c r="B27" s="314">
        <f>COUNTIF(rekod!E20:E539,A27)</f>
        <v>0</v>
      </c>
      <c r="C27" s="335"/>
      <c r="D27" s="336"/>
      <c r="E27" s="336"/>
      <c r="F27" s="337"/>
    </row>
    <row r="28" spans="1:6" ht="19.5" hidden="1" customHeight="1" thickBot="1" x14ac:dyDescent="0.25">
      <c r="A28" s="318">
        <v>2030</v>
      </c>
      <c r="B28" s="314">
        <f>COUNTIF(rekod!E21:E540,A28)</f>
        <v>0</v>
      </c>
      <c r="C28" s="335"/>
      <c r="D28" s="336"/>
      <c r="E28" s="336"/>
      <c r="F28" s="337"/>
    </row>
    <row r="29" spans="1:6" ht="19.5" customHeight="1" thickBot="1" x14ac:dyDescent="0.25">
      <c r="A29" s="391" t="s">
        <v>808</v>
      </c>
      <c r="B29" s="389">
        <f>SUM(B8:B28)</f>
        <v>370</v>
      </c>
      <c r="C29" s="327">
        <f>SUM(C8:C28)</f>
        <v>262</v>
      </c>
      <c r="D29" s="328">
        <f>SUM(D8:D28)</f>
        <v>42</v>
      </c>
      <c r="E29" s="328">
        <f>SUM(E8:E28)</f>
        <v>27</v>
      </c>
      <c r="F29" s="329">
        <f>SUM(F8:F28)</f>
        <v>4</v>
      </c>
    </row>
    <row r="30" spans="1:6" ht="19.5" customHeight="1" thickBot="1" x14ac:dyDescent="0.25">
      <c r="A30" s="392"/>
      <c r="B30" s="390"/>
      <c r="C30" s="384">
        <f>SUM(C29:F29)</f>
        <v>335</v>
      </c>
      <c r="D30" s="385"/>
      <c r="E30" s="385"/>
      <c r="F30" s="386"/>
    </row>
  </sheetData>
  <mergeCells count="7">
    <mergeCell ref="C30:F30"/>
    <mergeCell ref="A5:F5"/>
    <mergeCell ref="A1:F1"/>
    <mergeCell ref="A2:F2"/>
    <mergeCell ref="A3:F3"/>
    <mergeCell ref="B29:B30"/>
    <mergeCell ref="A29:A30"/>
  </mergeCells>
  <conditionalFormatting sqref="C8:F28">
    <cfRule type="cellIs" dxfId="6" priority="1" operator="equal">
      <formula>0</formula>
    </cfRule>
    <cfRule type="cellIs" dxfId="5" priority="2" operator="equal">
      <formula>0</formula>
    </cfRule>
    <cfRule type="cellIs" dxfId="4" priority="3" operator="equal">
      <formula>0</formula>
    </cfRule>
  </conditionalFormatting>
  <pageMargins left="0.59055118110236227" right="0" top="0.55118110236220474" bottom="0" header="0.31496062992125984" footer="0.31496062992125984"/>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B050"/>
  </sheetPr>
  <dimension ref="A1:J255"/>
  <sheetViews>
    <sheetView view="pageBreakPreview" topLeftCell="A2" zoomScale="106" zoomScaleNormal="100" zoomScaleSheetLayoutView="106" workbookViewId="0">
      <selection activeCell="E9" sqref="E9"/>
    </sheetView>
  </sheetViews>
  <sheetFormatPr defaultColWidth="9.140625" defaultRowHeight="13.5" x14ac:dyDescent="0.25"/>
  <cols>
    <col min="1" max="1" width="7.140625" style="70" customWidth="1"/>
    <col min="2" max="2" width="32.5703125" style="107" customWidth="1"/>
    <col min="3" max="3" width="12.140625" style="99" customWidth="1"/>
    <col min="4" max="4" width="8.85546875" style="99" customWidth="1"/>
    <col min="5" max="5" width="91.140625" style="97" customWidth="1"/>
    <col min="6" max="6" width="27.7109375" style="100" customWidth="1"/>
    <col min="7" max="8" width="9.140625" style="65"/>
    <col min="9" max="9" width="9.140625" style="65" customWidth="1"/>
    <col min="10" max="10" width="9.140625" style="65" hidden="1" customWidth="1"/>
    <col min="11" max="16384" width="9.140625" style="65"/>
  </cols>
  <sheetData>
    <row r="1" spans="1:10" ht="27.75" hidden="1" customHeight="1" x14ac:dyDescent="0.25">
      <c r="A1" s="397" t="s">
        <v>809</v>
      </c>
      <c r="B1" s="397"/>
      <c r="C1" s="397"/>
      <c r="D1" s="397"/>
      <c r="E1" s="397"/>
      <c r="F1" s="397"/>
      <c r="J1" s="66" t="s">
        <v>810</v>
      </c>
    </row>
    <row r="2" spans="1:10" ht="13.5" customHeight="1" x14ac:dyDescent="0.25">
      <c r="A2" s="397" t="s">
        <v>811</v>
      </c>
      <c r="B2" s="397"/>
      <c r="C2" s="397"/>
      <c r="D2" s="397"/>
      <c r="E2" s="397"/>
      <c r="F2" s="397"/>
      <c r="J2" s="66"/>
    </row>
    <row r="3" spans="1:10" ht="24.75" customHeight="1" x14ac:dyDescent="0.25">
      <c r="A3" s="74"/>
      <c r="B3" s="71"/>
      <c r="C3" s="71"/>
      <c r="D3" s="71"/>
      <c r="E3" s="71"/>
      <c r="J3" s="66" t="s">
        <v>812</v>
      </c>
    </row>
    <row r="4" spans="1:10" ht="24.75" customHeight="1" x14ac:dyDescent="0.25">
      <c r="A4" s="395" t="s">
        <v>813</v>
      </c>
      <c r="B4" s="396"/>
      <c r="C4" s="396"/>
      <c r="D4" s="396"/>
      <c r="E4" s="396"/>
      <c r="F4" s="101"/>
      <c r="J4" s="66" t="s">
        <v>814</v>
      </c>
    </row>
    <row r="5" spans="1:10" ht="24.75" customHeight="1" x14ac:dyDescent="0.25">
      <c r="A5" s="393" t="e">
        <f>"Sebanyak "&amp;TEXT(#REF!,"0")&amp;" kes telah diterima oleh Lembaga Rayuan sehingga "&amp;TEXT(#REF!,"0")&amp;" 2014. Status terhadap kes-kes tersebut adalah seperti berikut:-"</f>
        <v>#REF!</v>
      </c>
      <c r="B5" s="394"/>
      <c r="C5" s="394"/>
      <c r="D5" s="394"/>
      <c r="E5" s="394"/>
      <c r="F5" s="101"/>
      <c r="J5" s="66" t="s">
        <v>815</v>
      </c>
    </row>
    <row r="6" spans="1:10" ht="24.75" customHeight="1" x14ac:dyDescent="0.25">
      <c r="A6" s="72"/>
      <c r="B6" s="73" t="s">
        <v>816</v>
      </c>
      <c r="C6" s="73" t="s">
        <v>817</v>
      </c>
      <c r="D6" s="74">
        <f>rekod!Z525</f>
        <v>143</v>
      </c>
      <c r="E6" s="65"/>
      <c r="F6" s="101"/>
      <c r="J6" s="66" t="s">
        <v>818</v>
      </c>
    </row>
    <row r="7" spans="1:10" ht="24.75" customHeight="1" x14ac:dyDescent="0.25">
      <c r="A7" s="72"/>
      <c r="B7" s="73" t="s">
        <v>819</v>
      </c>
      <c r="C7" s="73" t="s">
        <v>817</v>
      </c>
      <c r="D7" s="74">
        <f>rekod!AB525</f>
        <v>143</v>
      </c>
      <c r="E7" s="65"/>
      <c r="F7" s="101"/>
      <c r="J7" s="66" t="s">
        <v>820</v>
      </c>
    </row>
    <row r="8" spans="1:10" ht="24.75" customHeight="1" x14ac:dyDescent="0.25">
      <c r="A8" s="72"/>
      <c r="B8" s="73" t="s">
        <v>821</v>
      </c>
      <c r="C8" s="73" t="s">
        <v>817</v>
      </c>
      <c r="D8" s="74">
        <f>rekod!AA525</f>
        <v>143</v>
      </c>
      <c r="E8" s="65"/>
      <c r="F8" s="101"/>
      <c r="J8" s="66" t="s">
        <v>822</v>
      </c>
    </row>
    <row r="9" spans="1:10" ht="24.75" customHeight="1" x14ac:dyDescent="0.25">
      <c r="A9" s="72"/>
      <c r="B9" s="73" t="s">
        <v>823</v>
      </c>
      <c r="C9" s="73" t="s">
        <v>817</v>
      </c>
      <c r="D9" s="108">
        <f>rekod!AC525</f>
        <v>144</v>
      </c>
      <c r="E9" s="65"/>
      <c r="F9" s="101"/>
      <c r="J9" s="66" t="s">
        <v>824</v>
      </c>
    </row>
    <row r="10" spans="1:10" ht="24.75" customHeight="1" x14ac:dyDescent="0.25">
      <c r="A10" s="72"/>
      <c r="B10" s="73" t="s">
        <v>808</v>
      </c>
      <c r="C10" s="73" t="s">
        <v>817</v>
      </c>
      <c r="D10" s="74">
        <f>SUM(D6:D9)</f>
        <v>573</v>
      </c>
      <c r="E10" s="65"/>
      <c r="F10" s="101"/>
    </row>
    <row r="11" spans="1:10" s="67" customFormat="1" ht="35.25" customHeight="1" x14ac:dyDescent="0.25">
      <c r="A11" s="75"/>
      <c r="B11" s="76"/>
      <c r="C11" s="76"/>
      <c r="D11" s="76"/>
      <c r="E11" s="76"/>
      <c r="F11" s="102"/>
    </row>
    <row r="12" spans="1:10" ht="18.75" customHeight="1" x14ac:dyDescent="0.25">
      <c r="A12" s="75"/>
      <c r="B12" s="76"/>
      <c r="C12" s="76"/>
      <c r="D12" s="76"/>
      <c r="E12" s="76"/>
      <c r="F12" s="102"/>
    </row>
    <row r="13" spans="1:10" ht="36" customHeight="1" x14ac:dyDescent="0.25">
      <c r="A13" s="77" t="s">
        <v>825</v>
      </c>
      <c r="B13" s="78" t="s">
        <v>826</v>
      </c>
      <c r="C13" s="78" t="s">
        <v>3</v>
      </c>
      <c r="D13" s="78" t="s">
        <v>806</v>
      </c>
      <c r="E13" s="96" t="s">
        <v>827</v>
      </c>
      <c r="F13" s="79" t="s">
        <v>828</v>
      </c>
    </row>
    <row r="14" spans="1:10" s="69" customFormat="1" ht="69.75" hidden="1" customHeight="1" x14ac:dyDescent="0.3">
      <c r="A14" s="68">
        <v>1</v>
      </c>
      <c r="B14" s="106" t="str">
        <f>IF(A14="","",UPPER(rekod!B4))</f>
        <v>PPC GLOMAC SDN. BHD.</v>
      </c>
      <c r="C14" s="98" t="str">
        <f>IF(B14="","",rekod!D4)</f>
        <v>MBSA</v>
      </c>
      <c r="D14" s="98">
        <f>IF(B14="","",rekod!E4)</f>
        <v>2010</v>
      </c>
      <c r="E14" s="95" t="str">
        <f>IF(B14="","",rekod!H4)</f>
        <v>Permohonan Serahbalik Dan Berimilik Semula Di Bawah Seksyen 204D KTN, Di Atas Lot 243, 395 Dan 397 Mukim Sungai Buloh, Daerah Petaling, Seksyen U17, 40160 Shah Alam, Selangor Darul Ehsan.</v>
      </c>
      <c r="F14" s="98" t="str">
        <f>IF(rekod!F4="","",rekod!F4)</f>
        <v>BERSETUJU</v>
      </c>
      <c r="I14" s="7" t="s">
        <v>23</v>
      </c>
    </row>
    <row r="15" spans="1:10" s="69" customFormat="1" ht="81" hidden="1" customHeight="1" x14ac:dyDescent="0.3">
      <c r="A15" s="68">
        <f>IF(rekod!B5="","",A14+1)</f>
        <v>2</v>
      </c>
      <c r="B15" s="106" t="str">
        <f>IF(A15="","",UPPER(rekod!B5))</f>
        <v>TURF TECH SDN. BHD.</v>
      </c>
      <c r="C15" s="98" t="str">
        <f>IF(B15="","",rekod!D5)</f>
        <v>MPS</v>
      </c>
      <c r="D15" s="98">
        <f>IF(B15="","",rekod!E5)</f>
        <v>2010</v>
      </c>
      <c r="E15" s="95" t="str">
        <f>IF(B15="","",rekod!H5)</f>
        <v>Permohonan Kelulusan Secara Serentak Bagi Pelan Kebenaran Merancang, Pelan Kerja Tanah, Pelan Jalan Dan Perparitan, Pelan Landskap, Pelan Bangunan Perumahan Di Atas Lot 163, Bandar Selayang, Daerah Gombak, Selangor Darul Ehsan.</v>
      </c>
      <c r="F15" s="98" t="str">
        <f>IF(rekod!F5="","",rekod!F5)</f>
        <v>BERSETUJU</v>
      </c>
      <c r="I15" s="7" t="s">
        <v>47</v>
      </c>
    </row>
    <row r="16" spans="1:10" s="69" customFormat="1" ht="83.25" hidden="1" customHeight="1" x14ac:dyDescent="0.3">
      <c r="A16" s="68">
        <f>IF(rekod!B6="","",A15+1)</f>
        <v>3</v>
      </c>
      <c r="B16" s="106" t="str">
        <f>IF(A16="","",UPPER(rekod!B6))</f>
        <v>SIN HEAP LEE DEVELOPMENT SDN. BHD.</v>
      </c>
      <c r="C16" s="98" t="str">
        <f>IF(B16="","",rekod!D6)</f>
        <v>MPKj</v>
      </c>
      <c r="D16" s="98">
        <f>IF(B16="","",rekod!E6)</f>
        <v>2010</v>
      </c>
      <c r="E16" s="95" t="str">
        <f>IF(B16="","",rekod!H6)</f>
        <v>Permohonan Kebenaran Merancang Cadangan Serahbalik Dan Berimilikan Semula Tanah Di Bawah Seksyen 204A Kanun Tanah Negara (KTN) Bagi Pembangunan Perumahan, Di Atas Lot PT.1495/1, PT.1495/2, PT.1495/3 Dan PT1495/4, Mukim Cheras, Daerah Hulu Langat, Selangor Darul Ehsan.</v>
      </c>
      <c r="F16" s="98" t="str">
        <f>IF(rekod!F6="","",rekod!F6)</f>
        <v>BERSETUJU</v>
      </c>
      <c r="I16" s="7" t="s">
        <v>33</v>
      </c>
    </row>
    <row r="17" spans="1:9" s="69" customFormat="1" ht="105.75" hidden="1" customHeight="1" x14ac:dyDescent="0.3">
      <c r="A17" s="68">
        <f>IF(rekod!B7="","",A16+1)</f>
        <v>4</v>
      </c>
      <c r="B17" s="106" t="str">
        <f>IF(A17="","",UPPER(rekod!B7))</f>
        <v xml:space="preserve">TRANS LOYAL DEVELOPMENT SDN. BHD. </v>
      </c>
      <c r="C17" s="98" t="str">
        <f>IF(B17="","",rekod!D7)</f>
        <v>MPKj</v>
      </c>
      <c r="D17" s="98">
        <f>IF(B17="","",rekod!E7)</f>
        <v>2010</v>
      </c>
      <c r="E17" s="95" t="str">
        <f>IF(B17="","",rekod!H7)</f>
        <v>Permohonan Pindaan Kebenaran Merancang Terhadap Sebahagian Pelan Susunatur Yang Telah Diluluskan (Bil. Surat : (12) Dlm. MPKJ PB/KM1/68-2002) Bagi Cadangan Pembangunan Perumahan Dan Perniagaan, Di Atas Pt 69787 (Sebahagian Lot Asal Lot 41146) Mukim Kajang, Daerah Hulu Langat, Selangor Darul Ehsan.</v>
      </c>
      <c r="F17" s="98" t="str">
        <f>IF(rekod!F7="","",rekod!F7)</f>
        <v>BERSETUJU</v>
      </c>
      <c r="I17" s="7" t="s">
        <v>52</v>
      </c>
    </row>
    <row r="18" spans="1:9" s="69" customFormat="1" ht="70.5" hidden="1" customHeight="1" x14ac:dyDescent="0.3">
      <c r="A18" s="68">
        <f>IF(rekod!B8="","",A17+1)</f>
        <v>5</v>
      </c>
      <c r="B18" s="106" t="str">
        <f>IF(A18="","",UPPER(rekod!B8))</f>
        <v>SUNWAY TERMUNING SDN. BHD.</v>
      </c>
      <c r="C18" s="98" t="str">
        <f>IF(B18="","",rekod!D8)</f>
        <v>MPKj</v>
      </c>
      <c r="D18" s="98">
        <f>IF(B18="","",rekod!E8)</f>
        <v>2010</v>
      </c>
      <c r="E18" s="95" t="str">
        <f>IF(B18="","",rekod!H8)</f>
        <v>Permohonan Kebenaran Merancang Untuk Pelan Susunatur Di Atas Lot 1316, 1352, 1355, 1401-1406, 1408-1410, 1412-1413, 1683-1684 Dan Sebahagian Lot 46953 (Lot 1351), Mukim Cheras, Daerah Hulu Langat, Selangor Darul Ehsan.</v>
      </c>
      <c r="F18" s="98" t="str">
        <f>IF(rekod!F8="","",rekod!F8)</f>
        <v>DITANGGUHKAN</v>
      </c>
    </row>
    <row r="19" spans="1:9" s="69" customFormat="1" ht="53.25" hidden="1" customHeight="1" x14ac:dyDescent="0.3">
      <c r="A19" s="68">
        <f>IF(rekod!B9="","",A18+1)</f>
        <v>6</v>
      </c>
      <c r="B19" s="106" t="str">
        <f>IF(A19="","",UPPER(rekod!B9))</f>
        <v>PRISMA CABARAN SDN. BHD.</v>
      </c>
      <c r="C19" s="98" t="str">
        <f>IF(B19="","",rekod!D9)</f>
        <v>MPSpg</v>
      </c>
      <c r="D19" s="98">
        <f>IF(B19="","",rekod!E9)</f>
        <v>2010</v>
      </c>
      <c r="E19" s="95" t="str">
        <f>IF(B19="","",rekod!H9)</f>
        <v>Permohonan Kebenaran Merancang Bagi Cadangan Serah Balik Dan Pemberimilikan Semula Tanah, Di Bawah Seksyen 204d, Kanun Tanah Negara, Untuk Pembangunan Sekolah Agama Kiblah, Di Atas Lot 30774 (No. Hakmilik Pn) 43378), Mukim Dengkil, Daerah Sepang, Selangor Darul Ehsan Untuk Tetuan Prisma Cabaran Sdn. Bhd.</v>
      </c>
      <c r="F19" s="98" t="str">
        <f>IF(rekod!F9="","",rekod!F9)</f>
        <v>BERSETUJU</v>
      </c>
    </row>
    <row r="20" spans="1:9" s="69" customFormat="1" ht="103.5" hidden="1" customHeight="1" x14ac:dyDescent="0.3">
      <c r="A20" s="68">
        <f>IF(rekod!B10="","",A19+1)</f>
        <v>7</v>
      </c>
      <c r="B20" s="106" t="str">
        <f>IF(A20="","",UPPER(rekod!B10))</f>
        <v>PKNS DAN SPANLAND SDN. BHD.</v>
      </c>
      <c r="C20" s="98" t="str">
        <f>IF(B20="","",rekod!D10)</f>
        <v>MPS</v>
      </c>
      <c r="D20" s="98">
        <f>IF(B20="","",rekod!E10)</f>
        <v>2010</v>
      </c>
      <c r="E20" s="95" t="str">
        <f>IF(B20="","",rekod!H10)</f>
        <v>Permohonan Kebenaran Merancang Bagi Pindaan Pelan Susunatur (Bil. : PKNS/SPANLAND(PR)/G/0411PL1-A) bertarikh 31hb. Januari 2008) di atas lot PT 24263 HS(D) 49212 Lot PT 27264 HS (D) 49213, Lot PT 27265 HS(D) 52089 Dan Tanah Kerajaan Milik PKNS, Mukim Rawang, Daerah Gombak, Selangor</v>
      </c>
      <c r="F20" s="98" t="str">
        <f>IF(rekod!F10="","",rekod!F10)</f>
        <v>BERSETUJU</v>
      </c>
    </row>
    <row r="21" spans="1:9" s="69" customFormat="1" ht="66" hidden="1" customHeight="1" x14ac:dyDescent="0.3">
      <c r="A21" s="68">
        <f>IF(rekod!B11="","",A20+1)</f>
        <v>8</v>
      </c>
      <c r="B21" s="106" t="str">
        <f>IF(A21="","",UPPER(rekod!B11))</f>
        <v>DACING KOTA SDN. BHD.</v>
      </c>
      <c r="C21" s="98" t="str">
        <f>IF(B21="","",rekod!D11)</f>
        <v>MBSA</v>
      </c>
      <c r="D21" s="98">
        <f>IF(B21="","",rekod!E11)</f>
        <v>2010</v>
      </c>
      <c r="E21" s="95" t="str">
        <f>IF(B21="","",rekod!H11)</f>
        <v xml:space="preserve">Permohonan Kebenaran Merancang Pelan Susunatur Bagi Pembangunan Perumahan Di Atas Tanah Seluas 16.80 Ekar, Mukim Bukit Raja, Daerah Petaling, Seksyen U10, Shah Alam </v>
      </c>
      <c r="F21" s="98" t="str">
        <f>IF(rekod!F11="","",rekod!F11)</f>
        <v>BERSETUJU</v>
      </c>
    </row>
    <row r="22" spans="1:9" s="69" customFormat="1" ht="80.25" hidden="1" customHeight="1" x14ac:dyDescent="0.3">
      <c r="A22" s="68">
        <f>IF(rekod!B12="","",A21+1)</f>
        <v>9</v>
      </c>
      <c r="B22" s="106" t="str">
        <f>IF(A22="","",UPPER(rekod!B12))</f>
        <v>KENANGAN MOTIVASI SDN. BHD.</v>
      </c>
      <c r="C22" s="98" t="str">
        <f>IF(B22="","",rekod!D12)</f>
        <v>MBSA</v>
      </c>
      <c r="D22" s="98">
        <f>IF(B22="","",rekod!E12)</f>
        <v>2010</v>
      </c>
      <c r="E22" s="95" t="str">
        <f>IF(B22="","",rekod!H12)</f>
        <v xml:space="preserve">Permohonan Kebenaran Merancang Pelan Susunatur Bagi Pembangunan Perumahan Di Atas Lot Kompartment 32, Tanah Hutan Simpan Bukit Cherakah Seluas 100 Ekar, Mukim Bukit Raja, Daerah Petaling, Seksyen U10, Shah Alam Selangor </v>
      </c>
      <c r="F22" s="98" t="str">
        <f>IF(rekod!F12="","",rekod!F12)</f>
        <v>BERSETUJU</v>
      </c>
    </row>
    <row r="23" spans="1:9" s="69" customFormat="1" ht="84.75" hidden="1" customHeight="1" x14ac:dyDescent="0.3">
      <c r="A23" s="68">
        <f>IF(rekod!B13="","",A22+1)</f>
        <v>10</v>
      </c>
      <c r="B23" s="106" t="str">
        <f>IF(A23="","",UPPER(rekod!B13))</f>
        <v>BASCO SDN. BHD.</v>
      </c>
      <c r="C23" s="98" t="str">
        <f>IF(B23="","",rekod!D13)</f>
        <v>MBSA</v>
      </c>
      <c r="D23" s="98">
        <f>IF(B23="","",rekod!E13)</f>
        <v>2010</v>
      </c>
      <c r="E23" s="95" t="str">
        <f>IF(B23="","",rekod!H13)</f>
        <v xml:space="preserve">Permohonan Kebenaran Merancang Pelan Susunatur Bagi Cadangan Pembangunan Perumahan Dan Perdagangan, Di Atas Tanah Pemberimilikan Seluas 200 Ekar, Seksyen U10, Shah Alam, Mukim Bukit Raja, Daerah Petaling, Selangor Darul Ehsan </v>
      </c>
      <c r="F23" s="98" t="str">
        <f>IF(rekod!F13="","",rekod!F13)</f>
        <v>BERSETUJU</v>
      </c>
    </row>
    <row r="24" spans="1:9" s="69" customFormat="1" ht="56.25" hidden="1" customHeight="1" x14ac:dyDescent="0.3">
      <c r="A24" s="68">
        <f>IF(rekod!B14="","",A23+1)</f>
        <v>11</v>
      </c>
      <c r="B24" s="106" t="str">
        <f>IF(A24="","",UPPER(rekod!B14))</f>
        <v>TPPT SDN. BHD.</v>
      </c>
      <c r="C24" s="98" t="str">
        <f>IF(B24="","",rekod!D14)</f>
        <v>MPS</v>
      </c>
      <c r="D24" s="98">
        <f>IF(B24="","",rekod!E14)</f>
        <v>2010</v>
      </c>
      <c r="E24" s="95" t="str">
        <f>IF(B24="","",rekod!H14)</f>
        <v>Permohonan Kebenaran Merancang Bagi Cadangan Pelan Induk Di Bukit Serai, Mukim Rawang, Daerah Gombak, Selangor Darul Ehsan</v>
      </c>
      <c r="F24" s="98" t="str">
        <f>IF(rekod!F14="","",rekod!F14)</f>
        <v>BERSETUJU</v>
      </c>
    </row>
    <row r="25" spans="1:9" s="69" customFormat="1" ht="43.5" hidden="1" customHeight="1" x14ac:dyDescent="0.3">
      <c r="A25" s="68">
        <f>IF(rekod!B15="","",A24+1)</f>
        <v>12</v>
      </c>
      <c r="B25" s="106" t="str">
        <f>IF(A25="","",UPPER(rekod!B15))</f>
        <v>GRANSTEP DEVELOPMENT SDN. BHD.</v>
      </c>
      <c r="C25" s="98" t="str">
        <f>IF(B25="","",rekod!D15)</f>
        <v>MPAJ</v>
      </c>
      <c r="D25" s="98">
        <f>IF(B25="","",rekod!E15)</f>
        <v>2010</v>
      </c>
      <c r="E25" s="95" t="str">
        <f>IF(B25="","",rekod!H15)</f>
        <v>Permohonan Kebenaran Merancang Bagi Cadangan Pembangunan Perumahan Di Atas Lot 1287 (PT 30517, HS(D) 34803) Seluas 11.84 hektar (29.28 ekar), Bandar Ampang, Daerah Hulu Langat, Selangor Darul Ehsan Untuk Tetuan Granstep Development Sdn. Bhd.</v>
      </c>
      <c r="F25" s="98" t="str">
        <f>IF(rekod!F15="","",rekod!F15)</f>
        <v>DITANGGUHKAN</v>
      </c>
    </row>
    <row r="26" spans="1:9" s="69" customFormat="1" ht="96.75" hidden="1" customHeight="1" x14ac:dyDescent="0.3">
      <c r="A26" s="68">
        <f>IF(rekod!B16="","",A25+1)</f>
        <v>13</v>
      </c>
      <c r="B26" s="106" t="str">
        <f>IF(A26="","",UPPER(rekod!B16))</f>
        <v>DIJAYA PROPERTY SDN. BHD.</v>
      </c>
      <c r="C26" s="98" t="str">
        <f>IF(B26="","",rekod!D16)</f>
        <v>MPKj</v>
      </c>
      <c r="D26" s="98">
        <f>IF(B26="","",rekod!E16)</f>
        <v>2010</v>
      </c>
      <c r="E26" s="95" t="str">
        <f>IF(B26="","",rekod!H16)</f>
        <v>Permohonan Pecah Sempadan Dan Tukar Syarat Tanah Secara Serentak Di Bawah Seksyen 124a Kanun Tanah Negara 1965 Dan Pembangunan 90 Unit Rumah Teres Strata Di Bawah Seksyen 6(1a) Akta 318 (Akta Hakmilik Strata 1985) Di Atas Lot 5717 Dan 1953, Mukim Kajang, Daerah Hulu Langat, Selangor Darul Ehsan.</v>
      </c>
      <c r="F26" s="98" t="str">
        <f>IF(rekod!F16="","",rekod!F16)</f>
        <v>BERSETUJU</v>
      </c>
    </row>
    <row r="27" spans="1:9" s="69" customFormat="1" ht="84" hidden="1" customHeight="1" x14ac:dyDescent="0.3">
      <c r="A27" s="68">
        <f>IF(rekod!B17="","",A26+1)</f>
        <v>14</v>
      </c>
      <c r="B27" s="106" t="str">
        <f>IF(A27="","",UPPER(rekod!B17))</f>
        <v>WANGMATIC SDN. BHD.</v>
      </c>
      <c r="C27" s="98" t="str">
        <f>IF(B27="","",rekod!D17)</f>
        <v>MPKj</v>
      </c>
      <c r="D27" s="98">
        <f>IF(B27="","",rekod!E17)</f>
        <v>2010</v>
      </c>
      <c r="E27" s="95" t="str">
        <f>IF(B27="","",rekod!H17)</f>
        <v>Permohonan Kebenaran Merancang Bagi Tujuan Tukar Syarat Daripada Tiada Kepada Bangunan Perumahan Di Bawah Seksyen 124a, Kanun Tanah Negara Di Atas Lot 2717, Mukim Kajang, Daerah Hulu Langat, Selangor Darul Ehsan</v>
      </c>
      <c r="F27" s="98" t="str">
        <f>IF(rekod!F17="","",rekod!F17)</f>
        <v>BERSETUJU</v>
      </c>
    </row>
    <row r="28" spans="1:9" s="69" customFormat="1" ht="99" hidden="1" customHeight="1" x14ac:dyDescent="0.3">
      <c r="A28" s="68">
        <f>IF(rekod!B18="","",A27+1)</f>
        <v>15</v>
      </c>
      <c r="B28" s="106" t="str">
        <f>IF(A28="","",UPPER(rekod!B18))</f>
        <v>PRISMA CABARAN SDN. BHD.</v>
      </c>
      <c r="C28" s="98" t="str">
        <f>IF(B28="","",rekod!D18)</f>
        <v>MPSpg</v>
      </c>
      <c r="D28" s="98">
        <f>IF(B28="","",rekod!E18)</f>
        <v>2010</v>
      </c>
      <c r="E28" s="95" t="str">
        <f>IF(B28="","",rekod!H18)</f>
        <v>Permohonan Kebenaran Merancang Bagi Cadangan Serah Balik Dan Pemberimilikan Semula Tanah Di Bawah Seksyen 204d, Kanun Tanah Negara (Ktn) Untuk Pembangunan Sekolah Agama Kiblah Dan Mahad Tahfiz,                Di Atas Lot 30774 No. Hakmilik Pn 49378 (Pt17124), Mukim Dengkil, Daerah Sepang, Selangor Darul Ehsan.</v>
      </c>
      <c r="F28" s="98" t="str">
        <f>IF(rekod!F18="","",rekod!F18)</f>
        <v>DITANGGUHKAN</v>
      </c>
    </row>
    <row r="29" spans="1:9" s="69" customFormat="1" ht="103.5" hidden="1" customHeight="1" x14ac:dyDescent="0.3">
      <c r="A29" s="68">
        <f>IF(rekod!B19="","",A28+1)</f>
        <v>16</v>
      </c>
      <c r="B29" s="106" t="str">
        <f>IF(A29="","",UPPER(rekod!B19))</f>
        <v>B.U. DEVELOPMENTS SDN. BHD.</v>
      </c>
      <c r="C29" s="98" t="str">
        <f>IF(B29="","",rekod!D19)</f>
        <v>MPAJ</v>
      </c>
      <c r="D29" s="98">
        <f>IF(B29="","",rekod!E19)</f>
        <v>2010</v>
      </c>
      <c r="E29" s="95" t="str">
        <f>IF(B29="","",rekod!H19)</f>
        <v xml:space="preserve">Permohonan Kebenaran Merancang Bagi Cadangan Pembangunan Perniagaan yang Mengandungi Blok A, Blok B dan Blok C Serta meminda Syarat Nyata Tanah Daripada Bangunan Kediaman Kepada Perniagaan Secara Serentak Di Bawah Seksyen 124A Kanun Tanah Negara (KTN) Di Atas Lot 322 (GM53), Mukim Ulu Kelang, Daerah Gombak, Selangor Darul Ehsan. </v>
      </c>
      <c r="F29" s="98" t="str">
        <f>IF(rekod!F19="","",rekod!F19)</f>
        <v>BERSETUJU</v>
      </c>
    </row>
    <row r="30" spans="1:9" s="69" customFormat="1" ht="72.75" hidden="1" customHeight="1" x14ac:dyDescent="0.3">
      <c r="A30" s="68">
        <f>IF(rekod!B20="","",A29+1)</f>
        <v>17</v>
      </c>
      <c r="B30" s="106" t="str">
        <f>IF(A30="","",UPPER(rekod!B20))</f>
        <v>MAJLIS AGAMA ISLAM SELANGOR (MAIS).</v>
      </c>
      <c r="C30" s="98" t="str">
        <f>IF(B30="","",rekod!D20)</f>
        <v>MDHS</v>
      </c>
      <c r="D30" s="98">
        <f>IF(B30="","",rekod!E20)</f>
        <v>2010</v>
      </c>
      <c r="E30" s="95" t="str">
        <f>IF(B30="","",rekod!H20)</f>
        <v>Permohonan Kebenaran Merancang Bagi Cadangan Pembangunan Pusat Latihan Saudara Baru ( Baitul Hikmah) Di Atas Sebahagian Hakmilik HSD 40183 PT 8789, Mukim Hulu Yam, Daerah Hulu Selangor, Selangor Darul Ehsan.</v>
      </c>
      <c r="F30" s="98" t="str">
        <f>IF(rekod!F20="","",rekod!F20)</f>
        <v>BERSETUJU</v>
      </c>
    </row>
    <row r="31" spans="1:9" s="69" customFormat="1" ht="73.5" hidden="1" customHeight="1" x14ac:dyDescent="0.3">
      <c r="A31" s="68">
        <f>IF(rekod!B21="","",A30+1)</f>
        <v>18</v>
      </c>
      <c r="B31" s="106" t="str">
        <f>IF(A31="","",UPPER(rekod!B21))</f>
        <v>TANMING INDAH SDN. BHD.</v>
      </c>
      <c r="C31" s="98" t="str">
        <f>IF(B31="","",rekod!D21)</f>
        <v>MPKj</v>
      </c>
      <c r="D31" s="98">
        <f>IF(B31="","",rekod!E21)</f>
        <v>2010</v>
      </c>
      <c r="E31" s="95" t="str">
        <f>IF(B31="","",rekod!H21)</f>
        <v xml:space="preserve">Permohonan Kebenaran Merancang Bagi Pindaan Terhapadap Pelan Yang Telah Diluluskan (Pelan Bil.MPKj/PB/KM/113-2004) Di Atas Lot 12681, Mukim Kajang, Daerah Hulu Langat, Selangor Darul Ehsan. </v>
      </c>
      <c r="F31" s="98" t="str">
        <f>IF(rekod!F21="","",rekod!F21)</f>
        <v>BERSETUJU</v>
      </c>
    </row>
    <row r="32" spans="1:9" s="69" customFormat="1" ht="81" hidden="1" customHeight="1" x14ac:dyDescent="0.3">
      <c r="A32" s="68">
        <f>IF(rekod!B22="","",A31+1)</f>
        <v>19</v>
      </c>
      <c r="B32" s="106" t="str">
        <f>IF(A32="","",UPPER(rekod!B22))</f>
        <v>SMS DEVELOPMENT SDN. BHD.</v>
      </c>
      <c r="C32" s="98" t="str">
        <f>IF(B32="","",rekod!D22)</f>
        <v>MPKj</v>
      </c>
      <c r="D32" s="98">
        <f>IF(B32="","",rekod!E22)</f>
        <v>2010</v>
      </c>
      <c r="E32" s="95" t="str">
        <f>IF(B32="","",rekod!H22)</f>
        <v xml:space="preserve">Permohonan Kebenaran Merancang Bagi Cadangan Pelan Susunatur Industri Berkembar 56 Unit Di Atas Lot 19003 Sekxsyen 19, Bandar Rawang, Daerah Gombak, Selangor Darul Ehsan   </v>
      </c>
      <c r="F32" s="98" t="str">
        <f>IF(rekod!F22="","",rekod!F22)</f>
        <v>BERSETUJU</v>
      </c>
    </row>
    <row r="33" spans="1:6" s="69" customFormat="1" ht="106.5" hidden="1" customHeight="1" x14ac:dyDescent="0.3">
      <c r="A33" s="68">
        <f>IF(rekod!B24="","",A32+1)</f>
        <v>20</v>
      </c>
      <c r="B33" s="106" t="str">
        <f>IF(A33="","",UPPER(rekod!B24))</f>
        <v>MAMMOTH EMPIRE LAND SDN. BHD.</v>
      </c>
      <c r="C33" s="98" t="str">
        <f>IF(B33="","",rekod!D24)</f>
        <v>MBPJ</v>
      </c>
      <c r="D33" s="98">
        <f>IF(B33="","",rekod!E24)</f>
        <v>2010</v>
      </c>
      <c r="E33" s="95" t="str">
        <f>IF(B33="","",rekod!H24)</f>
        <v xml:space="preserve">Permohonan Kebenaran Merancang Bagi Cadangan Pecah Sempadan Mengikut Seksyen 135 (Kanun Tanah Negara 1965) Dan Pembangunan 795 Unit Rumah Teres 3 Tingkat Serta 1 Tingkat Tempat Letak kereta (Permilikan Berstrata Mengikut Seksyen 6, Akta Hakmilik Strata 1985) Di Atas Lot 44012 HSD 222396, Mukim Sungai Buloh, Daerah Petaling, Selangor Darul Ehsan.  </v>
      </c>
      <c r="F33" s="98" t="str">
        <f>IF(rekod!F24="","",rekod!F24)</f>
        <v>BERSETUJU</v>
      </c>
    </row>
    <row r="34" spans="1:6" s="69" customFormat="1" ht="98.25" hidden="1" customHeight="1" x14ac:dyDescent="0.3">
      <c r="A34" s="68">
        <f>IF(rekod!B25="","",A33+1)</f>
        <v>21</v>
      </c>
      <c r="B34" s="106" t="str">
        <f>IF(A34="","",UPPER(rekod!B25))</f>
        <v xml:space="preserve">PERMODALAN NEGERI SELANGOR BERHAD (PNSB) </v>
      </c>
      <c r="C34" s="98" t="str">
        <f>IF(B34="","",rekod!D25)</f>
        <v>MBPJ</v>
      </c>
      <c r="D34" s="98">
        <f>IF(B34="","",rekod!E25)</f>
        <v>2010</v>
      </c>
      <c r="E34" s="95" t="str">
        <f>IF(B34="","",rekod!H25)</f>
        <v>Cadangan Projek Perumahan Dimajukan Secara Usahasama Di Antara Setiausaha Kerajaan Negeri Selangor (Perbadanan) Dengan Syarikat Tetuan Agro Fresh (M) Sdn. Bhd. Pembangunan Perumahan Di Atas Lot 23739 (Dahulu Lot 1999), 23740 (Dahulu Lot 3505) Dan 23741 (Lot 3587) Mukim Sungai Buloh Daerah Petaling Selangor Darul Ehsan.</v>
      </c>
      <c r="F34" s="98" t="str">
        <f>IF(rekod!F25="","",rekod!F25)</f>
        <v>BERSETUJU</v>
      </c>
    </row>
    <row r="35" spans="1:6" s="69" customFormat="1" ht="75" hidden="1" customHeight="1" x14ac:dyDescent="0.3">
      <c r="A35" s="68">
        <f>IF(rekod!B26="","",A34+1)</f>
        <v>22</v>
      </c>
      <c r="B35" s="106" t="str">
        <f>IF(A35="","",UPPER(rekod!B26))</f>
        <v>RESTU MANTAP SDN. BHD.</v>
      </c>
      <c r="C35" s="98" t="str">
        <f>IF(B35="","",rekod!D26)</f>
        <v>MBSA</v>
      </c>
      <c r="D35" s="98">
        <f>IF(B35="","",rekod!E26)</f>
        <v>2010</v>
      </c>
      <c r="E35" s="95" t="str">
        <f>IF(B35="","",rekod!H26)</f>
        <v>Permohonan Kebenaran Merancang Bagi Cadangan Pelan Susunatur Perumahan Di Atas Kompartmen 35, Hutan Simpan Bukit Cherakah, Mukim Bukit Raja, Daerah Petaling, Seksyen U10, Shah Alam, Selangor Darul Ehsan.</v>
      </c>
      <c r="F35" s="98" t="str">
        <f>IF(rekod!F26="","",rekod!F26)</f>
        <v>BERSETUJU</v>
      </c>
    </row>
    <row r="36" spans="1:6" s="69" customFormat="1" ht="126.75" hidden="1" customHeight="1" x14ac:dyDescent="0.3">
      <c r="A36" s="68">
        <f>IF(rekod!B27="","",A35+1)</f>
        <v>23</v>
      </c>
      <c r="B36" s="106" t="str">
        <f>IF(A36="","",UPPER(rekod!B27))</f>
        <v>MADONNA HEIGHTS DEVELOPMENT SDN. BHD.</v>
      </c>
      <c r="C36" s="98" t="str">
        <f>IF(B36="","",rekod!D27)</f>
        <v>MPAJ</v>
      </c>
      <c r="D36" s="98">
        <f>IF(B36="","",rekod!E27)</f>
        <v>2010</v>
      </c>
      <c r="E36" s="95" t="str">
        <f>IF(B36="","",rekod!H27)</f>
        <v>Permohonan Kebenaran Merancang Secara Serentak Dengan Menambah Syarat Nyata Tanah (Seksyen 124 (1) (C), Ktn Daripada Tapak Institusi Kepada Tapak Institusi Dan Bangunan Kediaman Bagi Cadangan Skim Perumahan Berpagar (‘Gated Community’) Mengandungi 15 Unit Rumah Sesebuah (Zero Lot) 3 Tingkat Dan 160 Unit Kondominium Termasuk 5 Tingkat Aras Bawah Di Atas Sebahagian Lot 389, Mukim Ulu Kelang, Daerah Gombak Selangor Darul Ehsan.</v>
      </c>
      <c r="F36" s="98" t="str">
        <f>IF(rekod!F27="","",rekod!F27)</f>
        <v>DITANGGUHKAN</v>
      </c>
    </row>
    <row r="37" spans="1:6" s="69" customFormat="1" ht="105" hidden="1" customHeight="1" x14ac:dyDescent="0.3">
      <c r="A37" s="68">
        <f>IF(rekod!B28="","",A36+1)</f>
        <v>24</v>
      </c>
      <c r="B37" s="106" t="str">
        <f>IF(A37="","",UPPER(rekod!B28))</f>
        <v>SPECTACULAR SDN. BHD.</v>
      </c>
      <c r="C37" s="98" t="str">
        <f>IF(B37="","",rekod!D28)</f>
        <v>MPAJ</v>
      </c>
      <c r="D37" s="98">
        <f>IF(B37="","",rekod!E28)</f>
        <v>2010</v>
      </c>
      <c r="E37" s="95" t="str">
        <f>IF(B37="","",rekod!H28)</f>
        <v>Permohonan Kebenaran Merancang Bagi Pembangunan Skim ‘Gated Community’ Di Bawah Seksyen 6(1a) Akta 318 (Akta Hakmilik Strata 1985) Yang Mengandungi Pembangunan 29 Unit Villa 3 ½ Tingkat Dan 12 Unit Rumah Kos Sederhana 4 Tingkat Di Atas Lot 5, Seksyen 2, Jalan 2, Taman Sri Ukay, Mukim Hulu Kelang, Daerah Gombak, Selangor Darul Ehsan.</v>
      </c>
      <c r="F37" s="98" t="str">
        <f>IF(rekod!F28="","",rekod!F28)</f>
        <v>BERSETUJU</v>
      </c>
    </row>
    <row r="38" spans="1:6" s="69" customFormat="1" ht="50.25" hidden="1" customHeight="1" x14ac:dyDescent="0.3">
      <c r="A38" s="68">
        <f>IF(rekod!B29="","",A37+1)</f>
        <v>25</v>
      </c>
      <c r="B38" s="106" t="str">
        <f>IF(A38="","",UPPER(rekod!B29))</f>
        <v>JABATAN PENJARA MALAYSIA</v>
      </c>
      <c r="C38" s="98" t="str">
        <f>IF(B38="","",rekod!D29)</f>
        <v>MPSpg</v>
      </c>
      <c r="D38" s="98">
        <f>IF(B38="","",rekod!E29)</f>
        <v>2011</v>
      </c>
      <c r="E38" s="95" t="str">
        <f>IF(B38="","",rekod!H29)</f>
        <v>Cadangan Pembinaan Pusat Latihan Juvana Penjara Malaysia Di Atas     Lot 2238 Mukim Dengkil, Daerah Sepang, Selangor Darul Ehsan.</v>
      </c>
      <c r="F38" s="98" t="str">
        <f>IF(rekod!F29="","",rekod!F29)</f>
        <v>BERSETUJU</v>
      </c>
    </row>
    <row r="39" spans="1:6" s="69" customFormat="1" ht="69" hidden="1" customHeight="1" x14ac:dyDescent="0.3">
      <c r="A39" s="68">
        <f>IF(rekod!B30="","",A38+1)</f>
        <v>26</v>
      </c>
      <c r="B39" s="106" t="str">
        <f>IF(A39="","",UPPER(rekod!B30))</f>
        <v>ANGEL WING(M) SDN. BHD.</v>
      </c>
      <c r="C39" s="98" t="str">
        <f>IF(B39="","",rekod!D30)</f>
        <v>MPAJ</v>
      </c>
      <c r="D39" s="98">
        <f>IF(B39="","",rekod!E30)</f>
        <v>2011</v>
      </c>
      <c r="E39" s="95" t="str">
        <f>IF(B39="","",rekod!H30)</f>
        <v>Permohonan Kebenaran Merancang Bagi Cadangan Pindaan Pelan Pembangunan Bercampur Di Atas Lot 96, 149, 452, 453 Dan 454 Mukim Hulu Kelang, Daerah Gombak, Selangor Darul Ehsan.</v>
      </c>
      <c r="F39" s="98" t="str">
        <f>IF(rekod!F30="","",rekod!F30)</f>
        <v>DITOLAK</v>
      </c>
    </row>
    <row r="40" spans="1:6" s="69" customFormat="1" ht="65.25" hidden="1" customHeight="1" x14ac:dyDescent="0.3">
      <c r="A40" s="68">
        <f>IF(rekod!B31="","",A39+1)</f>
        <v>27</v>
      </c>
      <c r="B40" s="106" t="str">
        <f>IF(A40="","",UPPER(rekod!B31))</f>
        <v>APEX CAPACITY SDN. BHD.</v>
      </c>
      <c r="C40" s="98" t="str">
        <f>IF(B40="","",rekod!D31)</f>
        <v>MBSA</v>
      </c>
      <c r="D40" s="98">
        <f>IF(B40="","",rekod!E31)</f>
        <v>2011</v>
      </c>
      <c r="E40" s="95" t="str">
        <f>IF(B40="","",rekod!H31)</f>
        <v>Permohonan Pembangunan Bercampur Secara Berimilikan Tanah Kerajaan Seluas 29.11 Ekar,  Mukim Bukit Raja, Daerah Petaling, Selangor Darul Ehsan.</v>
      </c>
      <c r="F40" s="98" t="str">
        <f>IF(rekod!F31="","",rekod!F31)</f>
        <v>BERSETUJU</v>
      </c>
    </row>
    <row r="41" spans="1:6" s="69" customFormat="1" ht="63.75" hidden="1" customHeight="1" x14ac:dyDescent="0.3">
      <c r="A41" s="68">
        <f>IF(rekod!B32="","",A40+1)</f>
        <v>28</v>
      </c>
      <c r="B41" s="106" t="str">
        <f>IF(A41="","",UPPER(rekod!B32))</f>
        <v>TETUAN MESEBA SDN. BHD + LG 4 PERMOHONAN</v>
      </c>
      <c r="C41" s="98" t="str">
        <f>IF(B41="","",rekod!D32)</f>
        <v>MPKj</v>
      </c>
      <c r="D41" s="98">
        <f>IF(B41="","",rekod!E32)</f>
        <v>2011</v>
      </c>
      <c r="E41" s="95" t="str">
        <f>IF(B41="","",rekod!H32)</f>
        <v>Permohonan Kebenaran Merancang Bagi Cadangan Serahbalik dan Berimilik Semula Di Bawah Seksyen 204B, Kanun Tanah Negara Untuk Cadangan Pembangunan Kediaman Sesebuah Di Atas Lot 43818 – 43829, Mukim Cheras, Daerah Hulu Langat, Selangor Darul Ehsan Untuk Tetuan Meseba Sdn. Bhd</v>
      </c>
      <c r="F41" s="98" t="str">
        <f>IF(rekod!F32="","",rekod!F32)</f>
        <v>DITOLAK</v>
      </c>
    </row>
    <row r="42" spans="1:6" s="69" customFormat="1" ht="80.25" hidden="1" customHeight="1" x14ac:dyDescent="0.3">
      <c r="A42" s="68">
        <f>IF(rekod!B35="","",A41+1)</f>
        <v>29</v>
      </c>
      <c r="B42" s="106" t="str">
        <f>IF(A42="","",UPPER(rekod!B35))</f>
        <v>CYBERVIEW SDN. BHD. (TETUAN MESSRS. MYVILLA DEVELOPMENT SDN. BHD.)</v>
      </c>
      <c r="C42" s="98" t="str">
        <f>IF(B42="","",rekod!D35)</f>
        <v>MPSpg</v>
      </c>
      <c r="D42" s="98">
        <f>IF(B42="","",rekod!E35)</f>
        <v>2011</v>
      </c>
      <c r="E42" s="95" t="str">
        <f>IF(B42="","",rekod!H35)</f>
        <v>Permohonan Kebenaran Merancang Bagi Cadangan Pembangunan :
I.  Perumahan Berkembar 2 Tingkat (52 Unit)
Ii.  Perumahan Berkembar 3 Tingkat (164 Unit)
Iii.  Perumahan Sesebuah 3 Tingkat (5 Unit)
Iv.  1 Unit Surau Dan
V.  1 Unit Rumah Pengawal
Di Bawah Skim ‘Guarded &amp; Gated Community’ Mengikut Seksyen 6(1a) Akta 318 (Akta Hakmilik Strata 1985) Di Atas Pt 26774 Seluas 34.86 Ekar, Jalan B15 (Baru) Cyberjaya, Mukim Dengkil, Daerah Sepang, Selangor Darul Ehsan.</v>
      </c>
      <c r="F42" s="98" t="str">
        <f>IF(rekod!F35="","",rekod!F35)</f>
        <v>BERSETUJU</v>
      </c>
    </row>
    <row r="43" spans="1:6" s="69" customFormat="1" ht="75.75" hidden="1" customHeight="1" x14ac:dyDescent="0.3">
      <c r="A43" s="68">
        <f>IF(rekod!B36="","",A42+1)</f>
        <v>30</v>
      </c>
      <c r="B43" s="106" t="str">
        <f>IF(A43="","",UPPER(rekod!B36))</f>
        <v>TRIPLE ESTEEM SDN. BHD.</v>
      </c>
      <c r="C43" s="98" t="str">
        <f>IF(B43="","",rekod!D36)</f>
        <v>MPAJ</v>
      </c>
      <c r="D43" s="98">
        <f>IF(B43="","",rekod!E36)</f>
        <v>2011</v>
      </c>
      <c r="E43" s="95" t="str">
        <f>IF(B43="","",rekod!H36)</f>
        <v>Permohonan Kebenaran Merancang Bagi Membina 1 Unit Rumah Sesebuah 3 Tingkat (Termasuk 1 Separa Bawah Tanah) Di Atas Lot  6842 (4784), Jalan Teberau 1, Taman Ukay Heights, Bandar Ulu Klang, Daerah Gombak, Selangor Darul Ehsan</v>
      </c>
      <c r="F43" s="98" t="str">
        <f>IF(rekod!F36="","",rekod!F36)</f>
        <v>BERSETUJU</v>
      </c>
    </row>
    <row r="44" spans="1:6" s="69" customFormat="1" ht="93" hidden="1" customHeight="1" x14ac:dyDescent="0.3">
      <c r="A44" s="68">
        <f>IF(rekod!B37="","",A43+1)</f>
        <v>31</v>
      </c>
      <c r="B44" s="106" t="str">
        <f>IF(A44="","",UPPER(rekod!B37))</f>
        <v>GRAHAM MURRAY DAVIDSON</v>
      </c>
      <c r="C44" s="98" t="str">
        <f>IF(B44="","",rekod!D37)</f>
        <v>MPAJ</v>
      </c>
      <c r="D44" s="98">
        <f>IF(B44="","",rekod!E37)</f>
        <v>2011</v>
      </c>
      <c r="E44" s="95" t="str">
        <f>IF(B44="","",rekod!H37)</f>
        <v xml:space="preserve">Permohonan Kebenaran Merancang Secara Serentak Dengan Tukar Syarat Nyata Tanah Daripada Tiada Kepada Kediaman bagi Membina Sebuah Banglo 3 Tingkat Beserta Bawah Tanah Dan Satu Kolam Renang Di Atas Lot 1614 Taman Ukay Heights, Mukim Ulu Kelang, Daerah Gombak, Selangor </v>
      </c>
      <c r="F44" s="98" t="str">
        <f>IF(rekod!F37="","",rekod!F37)</f>
        <v>BERSETUJU</v>
      </c>
    </row>
    <row r="45" spans="1:6" s="69" customFormat="1" ht="110.25" hidden="1" customHeight="1" x14ac:dyDescent="0.3">
      <c r="A45" s="68">
        <f>IF(rekod!B38="","",A44+1)</f>
        <v>32</v>
      </c>
      <c r="B45" s="106" t="str">
        <f>IF(A45="","",UPPER(rekod!B38))</f>
        <v>PAUL LESLIE SMITH</v>
      </c>
      <c r="C45" s="98" t="str">
        <f>IF(B45="","",rekod!D38)</f>
        <v>MPS</v>
      </c>
      <c r="D45" s="98">
        <f>IF(B45="","",rekod!E38)</f>
        <v>2011</v>
      </c>
      <c r="E45" s="95" t="str">
        <f>IF(B45="","",rekod!H38)</f>
        <v xml:space="preserve">Permohonan Kebenaran Merancang Secara Serentak Dengan Tukar Syarat Nyata Tanah Daripada Tiada Kepada Kediaman bagi Meroboh Dan Membina Semula Sebuah Banglo 3 Tingkat Beserta Bawah Tanah Dan Satu Kolam Renang Di Atas Lot 1615 Taman Ukay Heights, Mukim Ulu Kelang, Daerah Gombak, Selangor </v>
      </c>
      <c r="F45" s="98" t="str">
        <f>IF(rekod!F38="","",rekod!F38)</f>
        <v>BERSETUJU</v>
      </c>
    </row>
    <row r="46" spans="1:6" s="69" customFormat="1" ht="92.25" hidden="1" customHeight="1" x14ac:dyDescent="0.3">
      <c r="A46" s="68">
        <f>IF(rekod!B39="","",A45+1)</f>
        <v>33</v>
      </c>
      <c r="B46" s="106" t="str">
        <f>IF(A46="","",UPPER(rekod!B39))</f>
        <v>ILONA RUSSELL NEE IONA FINNIGAN</v>
      </c>
      <c r="C46" s="98" t="str">
        <f>IF(B46="","",rekod!D39)</f>
        <v>MPAJ</v>
      </c>
      <c r="D46" s="98">
        <f>IF(B46="","",rekod!E39)</f>
        <v>2011</v>
      </c>
      <c r="E46" s="95" t="str">
        <f>IF(B46="","",rekod!H39)</f>
        <v xml:space="preserve">Permohonan Kebenaran Merancang Secara Serentak Dengan Tukar Syarat Nyata Tanah Daripada Tiada Kepada Kediaman bagi Meroboh Dan Membina Semula Sebuah Banglo 3 Tingkat Beserta Bawah Tanah Dan Satu Kolam Renang Di Atas Lot 1616 Taman Ukay Heights, Mukim Ulu Kelang, Daerah Gombak, Selangor </v>
      </c>
      <c r="F46" s="98" t="str">
        <f>IF(rekod!F39="","",rekod!F39)</f>
        <v>BERSETUJU</v>
      </c>
    </row>
    <row r="47" spans="1:6" s="69" customFormat="1" ht="87" hidden="1" customHeight="1" x14ac:dyDescent="0.3">
      <c r="A47" s="68">
        <f>IF(rekod!B40="","",A46+1)</f>
        <v>34</v>
      </c>
      <c r="B47" s="106" t="str">
        <f>IF(A47="","",UPPER(rekod!B40))</f>
        <v>SK LAND &amp; PROPERTY SDN. BHD.</v>
      </c>
      <c r="C47" s="98" t="str">
        <f>IF(B47="","",rekod!D40)</f>
        <v>MPS</v>
      </c>
      <c r="D47" s="98">
        <f>IF(B47="","",rekod!E40)</f>
        <v>2011</v>
      </c>
      <c r="E47" s="95" t="str">
        <f>IF(B47="","",rekod!H40)</f>
        <v xml:space="preserve">Permohonan Kebenaran Merancang Pelan Susunatur Bagi Cadangan Membina Sebuah Bangunan ‘Cold Room’ 5 Tingkat Di Atas Lot PT 31117 (Lot 1713), Mukim Batu, Daerah Gombak, Selangor Darul Ehsan </v>
      </c>
      <c r="F47" s="98" t="str">
        <f>IF(rekod!F40="","",rekod!F40)</f>
        <v>DITOLAK</v>
      </c>
    </row>
    <row r="48" spans="1:6" s="69" customFormat="1" ht="114" hidden="1" customHeight="1" x14ac:dyDescent="0.3">
      <c r="A48" s="68">
        <f>IF(rekod!B41="","",A47+1)</f>
        <v>35</v>
      </c>
      <c r="B48" s="106" t="str">
        <f>IF(A48="","",UPPER(rekod!B41))</f>
        <v>TENTERAJAYA SDN. BHD. (AMAN KEMENSAH SDN. BHD.)</v>
      </c>
      <c r="C48" s="98" t="str">
        <f>IF(B48="","",rekod!D41)</f>
        <v>MPAJ</v>
      </c>
      <c r="D48" s="98">
        <f>IF(B48="","",rekod!E41)</f>
        <v>2011</v>
      </c>
      <c r="E48" s="95" t="str">
        <f>IF(B48="","",rekod!H41)</f>
        <v xml:space="preserve">Permohonan Kebenaran Merancang Bagi Tujuan Penyerahan Balik Dan Pemberimilikan Semula Di Bawahseksyen 204, Ktn Untuk Pembangunan Perumahan Skim Komuniti Berpagar Di Bawah Seksyen 6 (1a) Akta 318 (Akta Hakmilik Strata 1985) Di Atas Lot 584, 585 Dan 599 Seluas 14.72 Ekar Mukim Ulu Klang Daerah Gombak, Selangor Darul Ehsan </v>
      </c>
      <c r="F48" s="98" t="str">
        <f>IF(rekod!F41="","",rekod!F41)</f>
        <v>DITANGGUHKAN</v>
      </c>
    </row>
    <row r="49" spans="1:6" s="69" customFormat="1" ht="115.5" hidden="1" customHeight="1" x14ac:dyDescent="0.3">
      <c r="A49" s="68">
        <f>IF(rekod!B42="","",A48+1)</f>
        <v>36</v>
      </c>
      <c r="B49" s="106" t="str">
        <f>IF(A49="","",UPPER(rekod!B42))</f>
        <v>TWIN RIDGE SDN. BHD.</v>
      </c>
      <c r="C49" s="98" t="str">
        <f>IF(B49="","",rekod!D42)</f>
        <v>MPAJ</v>
      </c>
      <c r="D49" s="98">
        <f>IF(B49="","",rekod!E42)</f>
        <v>2011</v>
      </c>
      <c r="E49" s="95" t="str">
        <f>IF(B49="","",rekod!H42)</f>
        <v xml:space="preserve">Permohonan Pindaan Kebenaran Merancang Ke Atas Pelan Susunatur Yang Telah Diluluskan No. Rujukan Bil.(73)dlm MPAJ 11/2/91 Bertarikh 26 Oktober 2007 Bagi Cadangan Pembangunan Perumahan (Guarded Community) Di Atas Sebahagian Lot 424 Dan 542, Mukim Hulu Kelang, Daerah Gombak, Selangor Darul Ehsan </v>
      </c>
      <c r="F49" s="98" t="str">
        <f>IF(rekod!F42="","",rekod!F42)</f>
        <v>DITANGGUHKAN</v>
      </c>
    </row>
    <row r="50" spans="1:6" s="69" customFormat="1" ht="102" hidden="1" customHeight="1" x14ac:dyDescent="0.3">
      <c r="A50" s="68">
        <f>IF(rekod!B43="","",A49+1)</f>
        <v>37</v>
      </c>
      <c r="B50" s="106" t="str">
        <f>IF(A50="","",UPPER(rekod!B43))</f>
        <v>MAJLIS AGAMA ISLAM SELANGOR.</v>
      </c>
      <c r="C50" s="98" t="str">
        <f>IF(B50="","",rekod!D43)</f>
        <v>MDHS</v>
      </c>
      <c r="D50" s="98">
        <f>IF(B50="","",rekod!E43)</f>
        <v>2011</v>
      </c>
      <c r="E50" s="95" t="str">
        <f>IF(B50="","",rekod!H43)</f>
        <v>Permohonan Kebenaran Merancang (Pindaan) Mengikut Seksyen 21 Akta 172 Bagi Kelulusan Pelan Susunatur Ke Atas Cadangan Merekabentuk, Membina dan Menyiapkan Pusat Pemulihan Dadah Tegar Serta Kemudahan Infrastruktur Di Atas Sebahagian Lot PT 20304 (HSD 44501) Seluas 31.851 Ekar, Tanah Milik Kerajaan, Mukim Serendah, Daerah Hulu Selangor</v>
      </c>
      <c r="F50" s="98" t="str">
        <f>IF(rekod!F43="","",rekod!F43)</f>
        <v>DITOLAK</v>
      </c>
    </row>
    <row r="51" spans="1:6" s="69" customFormat="1" ht="123" hidden="1" customHeight="1" x14ac:dyDescent="0.3">
      <c r="A51" s="68">
        <f>IF(rekod!B44="","",A50+1)</f>
        <v>38</v>
      </c>
      <c r="B51" s="106" t="str">
        <f>IF(A51="","",UPPER(rekod!B44))</f>
        <v>TAMAN TAR DEVELOPMENT SDN. BHD.</v>
      </c>
      <c r="C51" s="98" t="str">
        <f>IF(B51="","",rekod!D44)</f>
        <v>MPAJ</v>
      </c>
      <c r="D51" s="98">
        <f>IF(B51="","",rekod!E44)</f>
        <v>2011</v>
      </c>
      <c r="E51" s="95" t="str">
        <f>IF(B51="","",rekod!H44)</f>
        <v xml:space="preserve">Cadangan Pembangunan Perumahan 88 Lot Banglo Di Atas HS(D) 18814 PT 11527 (Lot Lama 11641), Taman Tun Abdul Razak, Mukim Hulu Klang, Daerah Gombak, Selangor Darul Ehsan. </v>
      </c>
      <c r="F51" s="98" t="str">
        <f>IF(rekod!F44="","",rekod!F44)</f>
        <v>BERSETUJU</v>
      </c>
    </row>
    <row r="52" spans="1:6" s="69" customFormat="1" ht="81" hidden="1" customHeight="1" x14ac:dyDescent="0.3">
      <c r="A52" s="68">
        <f>IF(rekod!B45="","",A51+1)</f>
        <v>39</v>
      </c>
      <c r="B52" s="106" t="str">
        <f>IF(A52="","",UPPER(rekod!B45))</f>
        <v>SUNRISE ALLIANCE SDN. BHD.</v>
      </c>
      <c r="C52" s="98" t="str">
        <f>IF(B52="","",rekod!D45)</f>
        <v>MPKj</v>
      </c>
      <c r="D52" s="98">
        <f>IF(B52="","",rekod!E45)</f>
        <v>2011</v>
      </c>
      <c r="E52" s="95" t="str">
        <f>IF(B52="","",rekod!H45)</f>
        <v xml:space="preserve">Permohonan Kebenaran Bagi Tujuan Serah Balik Dan Pemberimilikan Semula Di Bawah Seksyen 204A Untuk Cadangan Bangunan Perniagaa Di Atas Lot PT 24376 Mukim Kajang Daerah Hulu Langat, Selangor Darul Ehsan. </v>
      </c>
      <c r="F52" s="98" t="str">
        <f>IF(rekod!F45="","",rekod!F45)</f>
        <v>DITANGGUHKAN</v>
      </c>
    </row>
    <row r="53" spans="1:6" s="69" customFormat="1" ht="114.75" hidden="1" customHeight="1" x14ac:dyDescent="0.3">
      <c r="A53" s="68">
        <f>IF(rekod!B46="","",A52+1)</f>
        <v>40</v>
      </c>
      <c r="B53" s="106" t="str">
        <f>IF(A53="","",UPPER(rekod!B46))</f>
        <v>BRAS SANCTUARY PROPERTY SDN. BHD.</v>
      </c>
      <c r="C53" s="98" t="str">
        <f>IF(B53="","",rekod!D46)</f>
        <v>MPS</v>
      </c>
      <c r="D53" s="98">
        <f>IF(B53="","",rekod!E46)</f>
        <v>2011</v>
      </c>
      <c r="E53" s="95" t="str">
        <f>IF(B53="","",rekod!H46)</f>
        <v>Permohonan Kebenaran Merancang Kepada Pelan Yang Telah Diluluskan  Oleh Majlis Perbandaran Selayang Bagi Cadangan Pembangunan 60 Unit Lot Sesebuah Skim “ Gated Community” Di bawah Seksyen 6(1A) Akta 318 (Hakmilik Strata 1985) Di atas Lot 5070 (Fasa 5A) Templer Park Resort, Mukim Rawang, Daerah Gombak.</v>
      </c>
      <c r="F53" s="98" t="str">
        <f>IF(rekod!F46="","",rekod!F46)</f>
        <v>DITANGGUHKAN</v>
      </c>
    </row>
    <row r="54" spans="1:6" s="69" customFormat="1" ht="84.75" hidden="1" customHeight="1" x14ac:dyDescent="0.3">
      <c r="A54" s="68">
        <f>IF(rekod!B47="","",A53+1)</f>
        <v>41</v>
      </c>
      <c r="B54" s="106" t="str">
        <f>IF(A54="","",UPPER(rekod!B47))</f>
        <v>MINES GOLF CITY SDN. BHD.</v>
      </c>
      <c r="C54" s="98" t="str">
        <f>IF(B54="","",rekod!D47)</f>
        <v>MDHS</v>
      </c>
      <c r="D54" s="98">
        <f>IF(B54="","",rekod!E47)</f>
        <v>2011</v>
      </c>
      <c r="E54" s="95" t="str">
        <f>IF(B54="","",rekod!H47)</f>
        <v>Permohonan Kebenaran Merancang Mengikut Seksyen 21(1) Akta 172 Untuk Tujuan Pembangunan Sebuah Resort Golf 18 Lubang Di atas Lot 2746, 2747, 2748, 2749, 2750 Dan 2849, Bagi Fasa 1 dan Pelan Konsep Bagi Fasa 2, Mukim Batang Kali, Daerah Hulu Selangor, Selangor Darul Ehsan.</v>
      </c>
      <c r="F54" s="98" t="str">
        <f>IF(rekod!F47="","",rekod!F47)</f>
        <v>BERSETUJU</v>
      </c>
    </row>
    <row r="55" spans="1:6" s="69" customFormat="1" ht="96" hidden="1" customHeight="1" x14ac:dyDescent="0.3">
      <c r="A55" s="68">
        <f>IF(rekod!B48="","",A54+1)</f>
        <v>42</v>
      </c>
      <c r="B55" s="106" t="str">
        <f>IF(A55="","",UPPER(rekod!B48))</f>
        <v xml:space="preserve">BLUEWATER DEVELOPMENT BERHAD </v>
      </c>
      <c r="C55" s="98" t="str">
        <f>IF(B55="","",rekod!D48)</f>
        <v>MPKj</v>
      </c>
      <c r="D55" s="98">
        <f>IF(B55="","",rekod!E48)</f>
        <v>2011</v>
      </c>
      <c r="E55" s="95" t="str">
        <f>IF(B55="","",rekod!H48)</f>
        <v xml:space="preserve">Permohonan Kebenaran Merancang Bagi Pelan Susunatur Perumahan Serta Tujuan Serah Balik Dan Pemberimilikan Semula Tanah Di Bawah Seksyen 204a Daripada Tiada Kepada Bangunan (Kediaman) Kanun Tanah Negara Di Atas Lot 8845, Mukim Kajang, Daerah Hulu Langat, Selangor Darul Ehsan </v>
      </c>
      <c r="F55" s="98" t="str">
        <f>IF(rekod!F48="","",rekod!F48)</f>
        <v>DITOLAK</v>
      </c>
    </row>
    <row r="56" spans="1:6" s="69" customFormat="1" ht="90.75" hidden="1" customHeight="1" x14ac:dyDescent="0.3">
      <c r="A56" s="68">
        <f>IF(rekod!B49="","",A55+1)</f>
        <v>43</v>
      </c>
      <c r="B56" s="106" t="str">
        <f>IF(A56="","",UPPER(rekod!B49))</f>
        <v>EUTHENIA LAND SDN. BHD.</v>
      </c>
      <c r="C56" s="98" t="str">
        <f>IF(B56="","",rekod!D49)</f>
        <v>MPKj</v>
      </c>
      <c r="D56" s="98">
        <f>IF(B56="","",rekod!E49)</f>
        <v>2011</v>
      </c>
      <c r="E56" s="95" t="str">
        <f>IF(B56="","",rekod!H49)</f>
        <v>Permohonan Kebenaran Merancang Bagi Serah Balik Dan Pemberimilikan Semula Tanah Di Bawah Seksyen 204A, Kanun Tanah Negara (KTN), Daripada Pertanian Kepada Bangunan, Mukim Kajang, Daerah Hulu Langat, Selangor Darul Ehsan.</v>
      </c>
      <c r="F56" s="98" t="str">
        <f>IF(rekod!F49="","",rekod!F49)</f>
        <v>BERSETUJU</v>
      </c>
    </row>
    <row r="57" spans="1:6" s="69" customFormat="1" ht="90.75" hidden="1" customHeight="1" x14ac:dyDescent="0.3">
      <c r="A57" s="68">
        <f>IF(rekod!B50="","",A56+1)</f>
        <v>44</v>
      </c>
      <c r="B57" s="106" t="str">
        <f>IF(A57="","",UPPER(rekod!B50))</f>
        <v>LUCKY BRIGHT STAR SDN. BHD.</v>
      </c>
      <c r="C57" s="98" t="str">
        <f>IF(B57="","",rekod!D50)</f>
        <v>MPKj</v>
      </c>
      <c r="D57" s="98">
        <f>IF(B57="","",rekod!E50)</f>
        <v>2011</v>
      </c>
      <c r="E57" s="95" t="str">
        <f>IF(B57="","",rekod!H50)</f>
        <v>Permohonan Kebenaran Bagi Pelan Susunatur Perumahan Strata Secara Komuniti Berpengawal Dan Berpagar Di Bawah Seksyen 6 1A Akta 318 ( Akta Hakmilik Strata 1985 ) Di Atas Lot 1108 ( Lot Lama PT 243740 ) Pekan Kajang, Daerah Hulu Langat, Selangor Darul Ehsan.</v>
      </c>
      <c r="F57" s="98" t="str">
        <f>IF(rekod!F50="","",rekod!F50)</f>
        <v>BERSETUJU</v>
      </c>
    </row>
    <row r="58" spans="1:6" s="69" customFormat="1" ht="108.75" hidden="1" customHeight="1" x14ac:dyDescent="0.3">
      <c r="A58" s="68">
        <f>IF(rekod!B51="","",A57+1)</f>
        <v>45</v>
      </c>
      <c r="B58" s="106" t="str">
        <f>IF(A58="","",UPPER(rekod!B51))</f>
        <v>SIERRA UKAY SDN. BHD.</v>
      </c>
      <c r="C58" s="98" t="str">
        <f>IF(B58="","",rekod!D51)</f>
        <v>MPAJ</v>
      </c>
      <c r="D58" s="98">
        <f>IF(B58="","",rekod!E51)</f>
        <v>2011</v>
      </c>
      <c r="E58" s="95" t="str">
        <f>IF(B58="","",rekod!H51)</f>
        <v>Permohonan Kebenaran Merancang Mengikut Seksyen 21, Akta 172, Bagi Cadangan Pindaan Pelan Susunatur Untuk Tujuan Tukar Syarat Dan Pecah Sempadan Tanah Di Bawah Seksyen 124A, Kanun Tanah Negara (KTN) Daripada Pertanian Kepada Bangunan , Di Atas Lot 15687 Seluas 90.56 Ekar, Mukim Hulu Klang, Daerah Gombak, Selangor Darul Ehsan.</v>
      </c>
      <c r="F58" s="98" t="str">
        <f>IF(rekod!F51="","",rekod!F51)</f>
        <v>BERSETUJU</v>
      </c>
    </row>
    <row r="59" spans="1:6" s="69" customFormat="1" ht="71.25" hidden="1" customHeight="1" x14ac:dyDescent="0.3">
      <c r="A59" s="68">
        <f>IF(rekod!B52="","",A58+1)</f>
        <v>46</v>
      </c>
      <c r="B59" s="106" t="str">
        <f>IF(A59="","",UPPER(rekod!B52))</f>
        <v>ANGKASA GAGAH SDN. BHD.</v>
      </c>
      <c r="C59" s="98" t="str">
        <f>IF(B59="","",rekod!D52)</f>
        <v>MPAJ</v>
      </c>
      <c r="D59" s="98">
        <f>IF(B59="","",rekod!E52)</f>
        <v>2011</v>
      </c>
      <c r="E59" s="95" t="str">
        <f>IF(B59="","",rekod!H52)</f>
        <v>Permohonan Pelan Pembangunan Perumahan Bercampur Di Atas Lot 16833 (PT 4609), 16834 (PT 4610), 16835 (PT 4611) Dan 16836 Dan 16837, Taman Melawati, Mukim Setapak, Daerah Gombak, Selangor Darul Ehsan.</v>
      </c>
      <c r="F59" s="98" t="str">
        <f>IF(rekod!F52="","",rekod!F52)</f>
        <v>BERSETUJU</v>
      </c>
    </row>
    <row r="60" spans="1:6" s="69" customFormat="1" ht="120" hidden="1" customHeight="1" x14ac:dyDescent="0.3">
      <c r="A60" s="68">
        <f>IF(rekod!B53="","",A59+1)</f>
        <v>47</v>
      </c>
      <c r="B60" s="106" t="str">
        <f>IF(A60="","",UPPER(rekod!B53))</f>
        <v>MDS VENTURES SDN. BHD.</v>
      </c>
      <c r="C60" s="98" t="str">
        <f>IF(B60="","",rekod!D53)</f>
        <v>MBPJ</v>
      </c>
      <c r="D60" s="98">
        <f>IF(B60="","",rekod!E53)</f>
        <v>2011</v>
      </c>
      <c r="E60" s="95" t="str">
        <f>IF(B60="","",rekod!H53)</f>
        <v>Permohonan Kebenaran Merancang Bagi Tujuan Serah Balik Kurnia Semula Di Bawah Seksyen 197 dan 79 Kanun Tanah Negara (KTN) Untuk Pembangunan 8 Unit Rumah Sesebuah (2 Tingkat Dan 1 Tingkat Separa Bawah Tanah ) Di Atas Lot PT 360, PT 361, PT 362, PT 584, PT 585, PT 586, PT 587 Dan Sebahagian Tanah Kerajaan, Jalan 5/64, Seksyen 19, Bandar Petaling Jaya, Daerah Petaling, Selangor Darul Ehsan.</v>
      </c>
      <c r="F60" s="98" t="str">
        <f>IF(rekod!F53="","",rekod!F53)</f>
        <v>BERSETUJU</v>
      </c>
    </row>
    <row r="61" spans="1:6" s="69" customFormat="1" ht="94.5" hidden="1" customHeight="1" x14ac:dyDescent="0.3">
      <c r="A61" s="68">
        <f>IF(rekod!B54="","",A60+1)</f>
        <v>48</v>
      </c>
      <c r="B61" s="106" t="str">
        <f>IF(A61="","",UPPER(rekod!B54))</f>
        <v>PN. LUM MUN YEE</v>
      </c>
      <c r="C61" s="98" t="str">
        <f>IF(B61="","",rekod!D54)</f>
        <v>MPAJ</v>
      </c>
      <c r="D61" s="98">
        <f>IF(B61="","",rekod!E54)</f>
        <v>2011</v>
      </c>
      <c r="E61" s="95" t="str">
        <f>IF(B61="","",rekod!H54)</f>
        <v xml:space="preserve">Permohonan Kebenaran Merancang Bagi Cadangan Pembangunan Satu Unit Rumah Banglo 2 Tingkat Dan 1 Aras Bawah (Basement), Di Atas Lot 16700 Dan Lot 16701, Taman Melawati, Bandar Ulu Kelang, Mukim Setapak, Daerah Gombak, Selangor Darul Ehsan. </v>
      </c>
      <c r="F61" s="98" t="str">
        <f>IF(rekod!F54="","",rekod!F54)</f>
        <v>BERSETUJU</v>
      </c>
    </row>
    <row r="62" spans="1:6" s="69" customFormat="1" ht="82.5" hidden="1" customHeight="1" x14ac:dyDescent="0.3">
      <c r="A62" s="68">
        <f>IF(rekod!B55="","",A61+1)</f>
        <v>49</v>
      </c>
      <c r="B62" s="106" t="str">
        <f>IF(A62="","",UPPER(rekod!B55))</f>
        <v>SK LAND &amp; PROPERTY SDN. BHD.</v>
      </c>
      <c r="C62" s="98" t="str">
        <f>IF(B62="","",rekod!D55)</f>
        <v>MPS</v>
      </c>
      <c r="D62" s="98">
        <f>IF(B62="","",rekod!E55)</f>
        <v>2011</v>
      </c>
      <c r="E62" s="95" t="str">
        <f>IF(B62="","",rekod!H55)</f>
        <v xml:space="preserve">Permohonan Kebenaran Merancang Pelan Susunatur Bagi Cadangan Membina Sebuah Bangunan 'Cold Room' 5 Tingkat Di Atas Lot Pt 31117 (1713), Mukim Batu, Daerah Gombak, Bandar Baru Selayang, Selangor Darul Ehsan Untuk Tetuan Sk Land &amp; Property Sdn.Bhd. </v>
      </c>
      <c r="F62" s="98" t="str">
        <f>IF(rekod!F55="","",rekod!F55)</f>
        <v>BERSETUJU</v>
      </c>
    </row>
    <row r="63" spans="1:6" s="69" customFormat="1" ht="84.75" hidden="1" customHeight="1" x14ac:dyDescent="0.3">
      <c r="A63" s="68">
        <f>IF(rekod!B56="","",A62+1)</f>
        <v>50</v>
      </c>
      <c r="B63" s="106" t="str">
        <f>IF(A63="","",UPPER(rekod!B56))</f>
        <v>KETAPANG REALITY SDN. BHD.</v>
      </c>
      <c r="C63" s="98" t="str">
        <f>IF(B63="","",rekod!D56)</f>
        <v>MPAJ</v>
      </c>
      <c r="D63" s="98">
        <f>IF(B63="","",rekod!E56)</f>
        <v>2011</v>
      </c>
      <c r="E63" s="95" t="str">
        <f>IF(B63="","",rekod!H56)</f>
        <v>Permohonan Pindaan Pelan Susunatur Yang Telah Diluluskan ( Bernombor Rujukan Bil. 11/5/350 Bertarikh 16 Februari 2001 ) Bagi Cadangan Pembangunan Perumahan Di Atas Lot 115283, Mukim Hulu Kelang, Daerah Gombak, Selangor Darul Ehsan.</v>
      </c>
      <c r="F63" s="98" t="str">
        <f>IF(rekod!F56="","",rekod!F56)</f>
        <v>DITOLAK</v>
      </c>
    </row>
    <row r="64" spans="1:6" s="69" customFormat="1" ht="67.5" hidden="1" customHeight="1" x14ac:dyDescent="0.3">
      <c r="A64" s="68">
        <f>IF(rekod!B57="","",A63+1)</f>
        <v>51</v>
      </c>
      <c r="B64" s="106" t="str">
        <f>IF(A64="","",UPPER(rekod!B57))</f>
        <v>SERIEMAS DEVELOPMENT SDN. BHD.</v>
      </c>
      <c r="C64" s="98" t="str">
        <f>IF(B64="","",rekod!D57)</f>
        <v>MPKj</v>
      </c>
      <c r="D64" s="98">
        <f>IF(B64="","",rekod!E57)</f>
        <v>2011</v>
      </c>
      <c r="E64" s="95" t="str">
        <f>IF(B64="","",rekod!H57)</f>
        <v>Permohonan Kebenaran Merancang Pelan Susunatur Bagi Pembangunan Kediaman Di Atas Lot PT 69786, Mukim Kajang, Ladang Bangi, Daerah Hulu Langat, Selangor Darul Ehsan.</v>
      </c>
      <c r="F64" s="98" t="str">
        <f>IF(rekod!F57="","",rekod!F57)</f>
        <v>DITOLAK</v>
      </c>
    </row>
    <row r="65" spans="1:6" s="69" customFormat="1" ht="96.75" hidden="1" customHeight="1" x14ac:dyDescent="0.3">
      <c r="A65" s="68">
        <f>IF(rekod!B58="","",A64+1)</f>
        <v>52</v>
      </c>
      <c r="B65" s="106" t="str">
        <f>IF(A65="","",UPPER(rekod!B58))</f>
        <v>BERJAYACITY SDN. BHD.</v>
      </c>
      <c r="C65" s="98" t="str">
        <f>IF(B65="","",rekod!D58)</f>
        <v>MDHS</v>
      </c>
      <c r="D65" s="98">
        <f>IF(B65="","",rekod!E58)</f>
        <v>2011</v>
      </c>
      <c r="E65" s="95" t="str">
        <f>IF(B65="","",rekod!H58)</f>
        <v>Permohonan Kebenaran Merancang Pelan Susunatur Bagi Cadangan Pecah Sempadan Dan Menukar Syarat Tanah Secara Serentak Di Bawah Seksyen 124A Kanun Tanah Negara KTN 1965 Di Atas Sebahagian Lot 25 Dan Sebahagian Lot 26, Mukim Sungai Tinggi, Daerah Hulu Selangor Darul Ehsan</v>
      </c>
      <c r="F65" s="98" t="str">
        <f>IF(rekod!F58="","",rekod!F58)</f>
        <v>DITOLAK</v>
      </c>
    </row>
    <row r="66" spans="1:6" s="69" customFormat="1" ht="67.5" hidden="1" customHeight="1" x14ac:dyDescent="0.3">
      <c r="A66" s="68">
        <f>IF(rekod!B59="","",A65+1)</f>
        <v>53</v>
      </c>
      <c r="B66" s="106" t="str">
        <f>IF(A66="","",UPPER(rekod!B59))</f>
        <v>PROJEK LEBUHRAYA UTARA SELATAN(PLUS)</v>
      </c>
      <c r="C66" s="98" t="str">
        <f>IF(B66="","",rekod!D59)</f>
        <v>MPKj</v>
      </c>
      <c r="D66" s="98">
        <f>IF(B66="","",rekod!E59)</f>
        <v>2011</v>
      </c>
      <c r="E66" s="95" t="str">
        <f>IF(B66="","",rekod!H59)</f>
        <v xml:space="preserve">Permohonan Kebenaran Merancang Pembangunan Plaza Tol Sungai Buaya Di Kilometer 434.7, Lebuhraya Utara – Selatan (PLUS), Mukim Serendah, Daerah Hulu Selangor.  </v>
      </c>
      <c r="F66" s="98" t="str">
        <f>IF(rekod!F59="","",rekod!F59)</f>
        <v>BERSETUJU</v>
      </c>
    </row>
    <row r="67" spans="1:6" s="69" customFormat="1" ht="183.75" hidden="1" customHeight="1" x14ac:dyDescent="0.3">
      <c r="A67" s="68">
        <f>IF(rekod!B60="","",A66+1)</f>
        <v>54</v>
      </c>
      <c r="B67" s="106" t="str">
        <f>IF(A67="","",UPPER(rekod!B60))</f>
        <v>TEMASIK PREMIUM SDN. BHD.</v>
      </c>
      <c r="C67" s="98" t="str">
        <f>IF(B67="","",rekod!D60)</f>
        <v>MPAJ</v>
      </c>
      <c r="D67" s="98">
        <f>IF(B67="","",rekod!E60)</f>
        <v>2011</v>
      </c>
      <c r="E67" s="95" t="str">
        <f>IF(B67="","",rekod!H60)</f>
        <v>Permohonan Kebenaran Merancang Bagi Cadangan Pembangunan Kondominium Yang Mengandungi  :
a. Blok A Setinggi 26 Tingkat ( Berjumlah 182 Unit ) Serta Kemudahan (Dewan Serbaguna, Gymnasium, Bilik Baca, Dobi, Pasar Mini, Tempat Rehat/Cafe, Tadika) Dan 5 Tingkat Bawah Aras Jalan Untuk Tempat Letak Kereta.
b. Blok B Setinggi 19 Tingkat (Berjumlah 126 Unit) Serta Kemudahan (Dewan Serbaguna, Gymnasium, Bilik Baca, Dobi, Pasar Mini, Tempat Rehat/Cafe, Tadika) Dan 5 Tingkat Bawah Aras Jalan Untuk Tempat Letak Kereta.
Di atas Lot PT1073 Dan Lot 1074, Bandar Ulu Kelang, Daerah Gombak, Selangor Darul Ehsan.</v>
      </c>
      <c r="F67" s="98" t="str">
        <f>IF(rekod!F60="","",rekod!F60)</f>
        <v>DITOLAK</v>
      </c>
    </row>
    <row r="68" spans="1:6" s="69" customFormat="1" ht="86.25" hidden="1" customHeight="1" x14ac:dyDescent="0.3">
      <c r="A68" s="68">
        <f>IF(rekod!B61="","",A67+1)</f>
        <v>55</v>
      </c>
      <c r="B68" s="106" t="str">
        <f>IF(A68="","",UPPER(rekod!B61))</f>
        <v>DREAM LAND DEVELOPMENT SDN. BHD.</v>
      </c>
      <c r="C68" s="98" t="str">
        <f>IF(B68="","",rekod!D61)</f>
        <v>MPKj</v>
      </c>
      <c r="D68" s="98">
        <f>IF(B68="","",rekod!E61)</f>
        <v>2011</v>
      </c>
      <c r="E68" s="95" t="str">
        <f>IF(B68="","",rekod!H61)</f>
        <v xml:space="preserve">Permohonan Kebenaran Merancang Bagi Tujuan Serah Balik Dan  Pemberimilikan Semula Tanah Di Bawah Seksyen 204A Kanun Tanah Negara  (KTN) Daripada Pertanian Kepada Bangunan (Kediaman) Di Atas Lot 1449,  Mukim Cheras, Daerah Hulu Langat, Selangor Darul Ehsan. </v>
      </c>
      <c r="F68" s="98" t="str">
        <f>IF(rekod!F61="","",rekod!F61)</f>
        <v>BERSETUJU</v>
      </c>
    </row>
    <row r="69" spans="1:6" s="69" customFormat="1" ht="86.25" hidden="1" customHeight="1" x14ac:dyDescent="0.3">
      <c r="A69" s="68">
        <f>IF(rekod!B62="","",A68+1)</f>
        <v>56</v>
      </c>
      <c r="B69" s="106" t="str">
        <f>IF(A69="","",UPPER(rekod!B62))</f>
        <v>JUTA DEVELOPMENT SDN. BHD.</v>
      </c>
      <c r="C69" s="98" t="str">
        <f>IF(B69="","",rekod!D62)</f>
        <v>MPKj</v>
      </c>
      <c r="D69" s="98">
        <f>IF(B69="","",rekod!E62)</f>
        <v>2011</v>
      </c>
      <c r="E69" s="95" t="str">
        <f>IF(B69="","",rekod!H62)</f>
        <v xml:space="preserve">Permohonan Kebenaran Merancang Bagi Tujuan Serah Balik Dan Pemberimilikan Semula Tanah Di Bawah Seksyen 204A Kanun Tanah Negara (KTN) Daripada Pertanian Kepada Bangunan (Kediaman) Di Atas Lot 1450, Dan 1564 Mukim Cheras, Daerah Hulu Langat, Selangor Darul Ehsan. </v>
      </c>
      <c r="F69" s="98" t="str">
        <f>IF(rekod!F62="","",rekod!F62)</f>
        <v>BERSETUJU</v>
      </c>
    </row>
    <row r="70" spans="1:6" s="69" customFormat="1" ht="96" hidden="1" customHeight="1" x14ac:dyDescent="0.3">
      <c r="A70" s="68">
        <f>IF(rekod!B63="","",A69+1)</f>
        <v>57</v>
      </c>
      <c r="B70" s="106" t="str">
        <f>IF(A70="","",UPPER(rekod!B63))</f>
        <v>KETAPANG REALTY SDN. BHD.</v>
      </c>
      <c r="C70" s="98" t="str">
        <f>IF(B70="","",rekod!D63)</f>
        <v>MPAJ</v>
      </c>
      <c r="D70" s="98">
        <f>IF(B70="","",rekod!E63)</f>
        <v>2011</v>
      </c>
      <c r="E70" s="95" t="str">
        <f>IF(B70="","",rekod!H63)</f>
        <v>Permohonan Pindaan Kebenaran Merancang Pelan Susunatur Yang Telah Diluluskan (Bernombor Rujukan Bil. 11/5/350 Bertarikh 16hb. Februari, 2007) Bagi Cadangan Pembangunan Perumahan Di Bawah Seksyen 6(1), Akta 318 (Gated Community) Di Atas Lot 15283, Seksyen 2, Bandar Hulu Kelang, Daerah Gombak, Selangor Darul Ehsan.</v>
      </c>
      <c r="F70" s="98" t="str">
        <f>IF(rekod!F63="","",rekod!F63)</f>
        <v>BERSETUJU</v>
      </c>
    </row>
    <row r="71" spans="1:6" s="69" customFormat="1" ht="85.5" hidden="1" customHeight="1" x14ac:dyDescent="0.3">
      <c r="A71" s="68">
        <f>IF(rekod!B64="","",A70+1)</f>
        <v>58</v>
      </c>
      <c r="B71" s="106" t="str">
        <f>IF(A71="","",UPPER(rekod!B64))</f>
        <v>SUPERIOR DIGNITY SDN. BHD.</v>
      </c>
      <c r="C71" s="98" t="str">
        <f>IF(B71="","",rekod!D64)</f>
        <v>MPAJ</v>
      </c>
      <c r="D71" s="98">
        <f>IF(B71="","",rekod!E64)</f>
        <v>2011</v>
      </c>
      <c r="E71" s="95" t="str">
        <f>IF(B71="","",rekod!H64)</f>
        <v xml:space="preserve">Permohonan Kebenaran Merancang Bagi Pembangunan Skim “ Gated Community “ Di Bawah Seksyen 6(1A) Akta 318 ( Akta Hakmilik Strata 1985) Di Atas Lot 1224, 1234 Dan 1235, Kemensah, Mukim Hulu Kelang, Daerah Gombak, Selangor Darul Ehsan. </v>
      </c>
      <c r="F71" s="98" t="str">
        <f>IF(rekod!F64="","",rekod!F64)</f>
        <v>BERSETUJU</v>
      </c>
    </row>
    <row r="72" spans="1:6" s="69" customFormat="1" ht="76.5" hidden="1" customHeight="1" x14ac:dyDescent="0.3">
      <c r="A72" s="68">
        <f>IF(rekod!B65="","",A71+1)</f>
        <v>59</v>
      </c>
      <c r="B72" s="106" t="str">
        <f>IF(A72="","",UPPER(rekod!B65))</f>
        <v>KUNDANG PROPERTIES SDN. BHD.</v>
      </c>
      <c r="C72" s="98" t="str">
        <f>IF(B72="","",rekod!D65)</f>
        <v>MPS</v>
      </c>
      <c r="D72" s="98">
        <f>IF(B72="","",rekod!E65)</f>
        <v>2011</v>
      </c>
      <c r="E72" s="95" t="str">
        <f>IF(B72="","",rekod!H65)</f>
        <v xml:space="preserve">Permohonan Kebenaran Merancang Mengikut Seksyen 21, Akta 172 Bagi Tujuan Serah Balik Dan Kurnia Semula Di Bawah Seksyen 204D (KTN) Di Atas Lot 3451, Lot 3420, Lot 1442, Lot 1383, Lot 1444, Sebahagian Lot 1245 Dan Lot 1381, Mukim Rawang, Daerah Gombak, Selangor Darul Ehsan. </v>
      </c>
      <c r="F72" s="98" t="str">
        <f>IF(rekod!F65="","",rekod!F65)</f>
        <v>BERSETUJU</v>
      </c>
    </row>
    <row r="73" spans="1:6" s="69" customFormat="1" ht="113.25" hidden="1" customHeight="1" x14ac:dyDescent="0.3">
      <c r="A73" s="68">
        <f>IF(rekod!B66="","",A72+1)</f>
        <v>60</v>
      </c>
      <c r="B73" s="106" t="str">
        <f>IF(A73="","",UPPER(rekod!B66))</f>
        <v>SIN HEAP LEE DEVELOPMENT SDN. BHD.</v>
      </c>
      <c r="C73" s="98" t="str">
        <f>IF(B73="","",rekod!D66)</f>
        <v>MPKj</v>
      </c>
      <c r="D73" s="98">
        <f>IF(B73="","",rekod!E66)</f>
        <v>2011</v>
      </c>
      <c r="E73" s="95" t="str">
        <f>IF(B73="","",rekod!H66)</f>
        <v>Permohonan Kebenaran Merancang Untuk Tujuan Menukar Syarat Kegunaan Tanah Dan Pecah Sempadan Tanah Secara Serentak Di Bawah Seksyen 124A Kanun Tanah Negara (KTN) Daripada Perindustrian Kepada bangunan (Perumahan Dan Perniagaan ) Di Atas Lot 7989, Mukim Semenyih, Daerah Hulu Langat, Selangor Darul Ehsan.</v>
      </c>
      <c r="F73" s="98" t="str">
        <f>IF(rekod!F66="","",rekod!F66)</f>
        <v>BERSETUJU</v>
      </c>
    </row>
    <row r="74" spans="1:6" s="69" customFormat="1" ht="110.25" hidden="1" customHeight="1" x14ac:dyDescent="0.3">
      <c r="A74" s="68">
        <f>IF(rekod!B67="","",A73+1)</f>
        <v>61</v>
      </c>
      <c r="B74" s="106" t="str">
        <f>IF(A74="","",UPPER(rekod!B67))</f>
        <v>ANGKASA GAGAH SDN. BHD.</v>
      </c>
      <c r="C74" s="98" t="str">
        <f>IF(B74="","",rekod!D67)</f>
        <v>MPAJ</v>
      </c>
      <c r="D74" s="98">
        <f>IF(B74="","",rekod!E67)</f>
        <v>2011</v>
      </c>
      <c r="E74" s="95">
        <f>IF(B74="","",rekod!H67)</f>
        <v>0</v>
      </c>
      <c r="F74" s="98" t="str">
        <f>IF(rekod!F67="","",rekod!F67)</f>
        <v>BERSETUJU</v>
      </c>
    </row>
    <row r="75" spans="1:6" s="69" customFormat="1" ht="84.75" hidden="1" customHeight="1" x14ac:dyDescent="0.3">
      <c r="A75" s="68">
        <f>IF(rekod!B68="","",A74+1)</f>
        <v>62</v>
      </c>
      <c r="B75" s="106" t="str">
        <f>IF(A75="","",UPPER(rekod!B68))</f>
        <v>BERJAYA CITY SDN. BHD.</v>
      </c>
      <c r="C75" s="98" t="str">
        <f>IF(B75="","",rekod!D68)</f>
        <v>MDHS</v>
      </c>
      <c r="D75" s="98">
        <f>IF(B75="","",rekod!E68)</f>
        <v>2012</v>
      </c>
      <c r="E75" s="95" t="str">
        <f>IF(B75="","",rekod!H68)</f>
        <v>Cadangan Pendirian Kompleks Pemasangan Kereta Dan Kolej Automotif (Plot IS 3 Dan IS 4) Di Atas Sebahagian Lot 26 (Geran 39947), Mukim Sungai Tinggi, Daerah Hulu Selangor, Selangor Darul Ehsan.</v>
      </c>
      <c r="F75" s="98" t="str">
        <f>IF(rekod!F68="","",rekod!F68)</f>
        <v>DITOLAK</v>
      </c>
    </row>
    <row r="76" spans="1:6" s="69" customFormat="1" ht="117.75" hidden="1" customHeight="1" x14ac:dyDescent="0.3">
      <c r="A76" s="68">
        <f>IF(rekod!B69="","",A75+1)</f>
        <v>63</v>
      </c>
      <c r="B76" s="106" t="str">
        <f>IF(A76="","",UPPER(rekod!B69))</f>
        <v>KAGUMAS CULINARY ACADEMY (M) SDN. BHD.</v>
      </c>
      <c r="C76" s="98" t="str">
        <f>IF(B76="","",rekod!D69)</f>
        <v>MPKj</v>
      </c>
      <c r="D76" s="98">
        <f>IF(B76="","",rekod!E69)</f>
        <v>2012</v>
      </c>
      <c r="E76" s="95" t="str">
        <f>IF(B76="","",rekod!H69)</f>
        <v>Permohonan Kebenaran Merancang Bagi Cadangan Menukar Syarat Tanah Daripada Pertanian Kepada Bangunan Kagumas Culinary Academy Dan Pecah Sempadan Tanah Di Bawah Seksyen (124A) KTN Di Atas Lot 1451 &amp; 1452, Mukim Beranang, Daerah Hulu Langat, Selangor Darul Ehsan.</v>
      </c>
      <c r="F76" s="98" t="str">
        <f>IF(rekod!F69="","",rekod!F69)</f>
        <v>DITOLAK</v>
      </c>
    </row>
    <row r="77" spans="1:6" s="69" customFormat="1" ht="92.25" hidden="1" customHeight="1" x14ac:dyDescent="0.3">
      <c r="A77" s="68">
        <f>IF(rekod!B70="","",A76+1)</f>
        <v>64</v>
      </c>
      <c r="B77" s="106" t="str">
        <f>IF(A77="","",UPPER(rekod!B70))</f>
        <v>LEMBAH LANGAT DEVELOPMENT SDN. BHD.</v>
      </c>
      <c r="C77" s="98" t="str">
        <f>IF(B77="","",rekod!D70)</f>
        <v>MPAJ</v>
      </c>
      <c r="D77" s="98">
        <f>IF(B77="","",rekod!E70)</f>
        <v>2012</v>
      </c>
      <c r="E77" s="95">
        <f>IF(B77="","",rekod!H70)</f>
        <v>0</v>
      </c>
      <c r="F77" s="98" t="str">
        <f>IF(rekod!F70="","",rekod!F70)</f>
        <v>BERSETUJU</v>
      </c>
    </row>
    <row r="78" spans="1:6" s="69" customFormat="1" ht="105" hidden="1" customHeight="1" x14ac:dyDescent="0.3">
      <c r="A78" s="68">
        <f>IF(rekod!B71="","",A77+1)</f>
        <v>65</v>
      </c>
      <c r="B78" s="106" t="str">
        <f>IF(A78="","",UPPER(rekod!B71))</f>
        <v>SETIA ECOHILL SDN. BHD.</v>
      </c>
      <c r="C78" s="98" t="str">
        <f>IF(B78="","",rekod!D71)</f>
        <v>MPKj</v>
      </c>
      <c r="D78" s="98">
        <f>IF(B78="","",rekod!E71)</f>
        <v>2012</v>
      </c>
      <c r="E78" s="95" t="str">
        <f>IF(B78="","",rekod!H71)</f>
        <v xml:space="preserve">Permohonan Kebenaran Merancang untuk Tujuan Serahbalik Dan Berimilik Semula Tanah Di bawah Seksyen 204B Kanun Tanah Negara (KTN) Daripada Perindustrian Dan Bangunan Kepada Bangunan Bagi Cadangan Pembangunan Perumahan Bercampur Dan Perniagaan Di Atas lot 650 dan PT 33987, Mukim Semenyih, Daerah Hulu Langat, Selangor Darul Ehsan. </v>
      </c>
      <c r="F78" s="98" t="str">
        <f>IF(rekod!F71="","",rekod!F71)</f>
        <v>BERSETUJU</v>
      </c>
    </row>
    <row r="79" spans="1:6" s="69" customFormat="1" ht="69.75" hidden="1" customHeight="1" x14ac:dyDescent="0.3">
      <c r="A79" s="68">
        <f>IF(rekod!B72="","",A78+1)</f>
        <v>66</v>
      </c>
      <c r="B79" s="106" t="str">
        <f>IF(A79="","",UPPER(rekod!B72))</f>
        <v>BERJAYA CITY SDN. BHD.</v>
      </c>
      <c r="C79" s="98" t="str">
        <f>IF(B79="","",rekod!D72)</f>
        <v>MDHS</v>
      </c>
      <c r="D79" s="98">
        <f>IF(B79="","",rekod!E72)</f>
        <v>2012</v>
      </c>
      <c r="E79" s="95">
        <f>IF(B79="","",rekod!H72)</f>
        <v>0</v>
      </c>
      <c r="F79" s="98" t="str">
        <f>IF(rekod!F72="","",rekod!F72)</f>
        <v>BERSETUJU</v>
      </c>
    </row>
    <row r="80" spans="1:6" s="69" customFormat="1" ht="126.75" hidden="1" customHeight="1" x14ac:dyDescent="0.3">
      <c r="A80" s="68">
        <f>IF(rekod!B73="","",A79+1)</f>
        <v>67</v>
      </c>
      <c r="B80" s="106" t="str">
        <f>IF(A80="","",UPPER(rekod!B73))</f>
        <v>ELITE HARMONY DEVELOPMENT SDN. BHD. (PERIDOT DEV)</v>
      </c>
      <c r="C80" s="98" t="str">
        <f>IF(B80="","",rekod!D73)</f>
        <v>MPAJ</v>
      </c>
      <c r="D80" s="98">
        <f>IF(B80="","",rekod!E73)</f>
        <v>2012</v>
      </c>
      <c r="E80" s="95" t="str">
        <f>IF(B80="","",rekod!H73)</f>
        <v>Permohonan Kebenaran Merancang Pelan Susunatur Skim Perumahan Komuniti Berpagar Di Bawah Seksyen 6 (1A ) Akta Hakmilik Strata 1985 (Akta 318) Bagi Cadangan Pembangunan Perumahan Yang Mengandungi 29 unit rumah berangkai ( Link Houses ) dan 1 unit rumah sesebuah serta tukar Syarat Tanah Daripada Pertanian Kepada Kediaman Secara Serentak Di bawah seksyen 204A ( Kanun Tanah Negara ) Di Atas Lot 1375, Mukim Ulu Kelang, Daerah Gombak, Selangor Darul Ehsan.</v>
      </c>
      <c r="F80" s="98" t="str">
        <f>IF(rekod!F73="","",rekod!F73)</f>
        <v>BERSETUJU</v>
      </c>
    </row>
    <row r="81" spans="1:6" s="69" customFormat="1" ht="138.75" hidden="1" customHeight="1" x14ac:dyDescent="0.3">
      <c r="A81" s="68">
        <f>IF(rekod!B74="","",A80+1)</f>
        <v>68</v>
      </c>
      <c r="B81" s="106" t="str">
        <f>IF(A81="","",UPPER(rekod!B74))</f>
        <v>NOBLE LAND DEVELOPMENT SDN. BHD.</v>
      </c>
      <c r="C81" s="98" t="str">
        <f>IF(B81="","",rekod!D74)</f>
        <v>MBPJ</v>
      </c>
      <c r="D81" s="98">
        <f>IF(B81="","",rekod!E74)</f>
        <v>2012</v>
      </c>
      <c r="E81" s="95" t="str">
        <f>IF(B81="","",rekod!H74)</f>
        <v>Permohonan Kebenaran Merancang Bagi Tujuan Penyerahan Dan Pemberimilikan Semula Tanah Di Bawah Seksyen 204D, Kanun Tanah Negara Serentak Dengan Cadangan Pembangunan Skim Perumahan 19 Unit Rumah Sesebuah 2 ½ Tingkat Beserta Satu Unit Dewan Komuniti Di Bawah Satu Badan Pengurusan, ( SeksyeN 6, Akta Hakmilik Strata 1985, Act 318) Di Atas PT 12822 ( Lot 1005), PT 323 (Lot 1047), PT 324 ( Lot 233) Dan PT 325 ( Lot232 ) Jalan 5/69, Seksyen 5, Bandar Petaling Jaya, Daerah Petaling, Selangor Darul Ehsan.</v>
      </c>
      <c r="F81" s="98" t="str">
        <f>IF(rekod!F74="","",rekod!F74)</f>
        <v>BERSETUJU</v>
      </c>
    </row>
    <row r="82" spans="1:6" s="69" customFormat="1" ht="111.75" hidden="1" customHeight="1" x14ac:dyDescent="0.3">
      <c r="A82" s="68">
        <f>IF(rekod!B75="","",A81+1)</f>
        <v>69</v>
      </c>
      <c r="B82" s="106" t="str">
        <f>IF(A82="","",UPPER(rekod!B75))</f>
        <v>SIME DARBY PROPERTY BERHAD</v>
      </c>
      <c r="C82" s="98" t="str">
        <f>IF(B82="","",rekod!D75)</f>
        <v>MBSA</v>
      </c>
      <c r="D82" s="98">
        <f>IF(B82="","",rekod!E75)</f>
        <v>2012</v>
      </c>
      <c r="E82" s="95" t="str">
        <f>IF(B82="","",rekod!H75)</f>
        <v xml:space="preserve">Permohonan Kebenaran Merancang Pindaan Pelan Susunatur Bagi Cadangan Pembangunan Perumahan Yang Terdiri Daripada 39 Unit Rumah Sesebuah Dan 36 Unit Rumah Berkembar Di Atas Lot PT 27830 HS(D) 271540 ( Fasa H1) Seluas 24.07 Ekar Dan Memindahkan 1 Unit Pencawang Elektrik Dari No. 25, Jalan Persiaran Metafasa ( Fasa H3 ) Ke Fasa H1, Denai Alam, Seksyen U16, Shah Alam, Mukim Bukit Raja, Daerah Petaling, Selangor Darul Ehsan </v>
      </c>
      <c r="F82" s="98" t="str">
        <f>IF(rekod!F75="","",rekod!F75)</f>
        <v>BERSETUJU</v>
      </c>
    </row>
    <row r="83" spans="1:6" s="69" customFormat="1" ht="69.75" hidden="1" customHeight="1" x14ac:dyDescent="0.3">
      <c r="A83" s="68">
        <f>IF(rekod!B76="","",A82+1)</f>
        <v>70</v>
      </c>
      <c r="B83" s="106" t="str">
        <f>IF(A83="","",UPPER(rekod!B76))</f>
        <v>SUPERIOR DIGNITY SDN. BHD.</v>
      </c>
      <c r="C83" s="98" t="str">
        <f>IF(B83="","",rekod!D76)</f>
        <v>MPAJ</v>
      </c>
      <c r="D83" s="98">
        <f>IF(B83="","",rekod!E76)</f>
        <v>2012</v>
      </c>
      <c r="E83" s="95">
        <f>IF(B83="","",rekod!H76)</f>
        <v>0</v>
      </c>
      <c r="F83" s="98" t="str">
        <f>IF(rekod!F76="","",rekod!F76)</f>
        <v>BERSETUJU</v>
      </c>
    </row>
    <row r="84" spans="1:6" s="69" customFormat="1" ht="130.5" hidden="1" customHeight="1" x14ac:dyDescent="0.3">
      <c r="A84" s="68">
        <f>IF(rekod!B77="","",A83+1)</f>
        <v>71</v>
      </c>
      <c r="B84" s="106" t="str">
        <f>IF(A84="","",UPPER(rekod!B77))</f>
        <v>SPECTACULAR HEIGHTS SDN. BHD.</v>
      </c>
      <c r="C84" s="98" t="str">
        <f>IF(B84="","",rekod!D77)</f>
        <v>MPAJ</v>
      </c>
      <c r="D84" s="98">
        <f>IF(B84="","",rekod!E77)</f>
        <v>2012</v>
      </c>
      <c r="E84" s="95" t="str">
        <f>IF(B84="","",rekod!H77)</f>
        <v xml:space="preserve">Permohonan Kebenaran Merancang Untuk Tujuan Penyerahan Balik Dan Pemberimilikan Semula Di Bawah Seksyen 204A, Kanun Tanah Negara (KTN) Bagi Pembangunan Skim ‘Gated Community’ Di Bawah Seksyen 6(1A) Akta 318 (Akta Hakmilik Strata 1985), 70 Unit Kondominium 17 Tingkat (Termasuk 3 Tingkat Podium Tempat Letak Kereta Dan Kemudahan-Kemudahan Berkaitan) Di Atas Lot 5, Seksyen 2, Jalan 2, Taman Seri Ukay, Mukim Ulu Kelang, Daerah Gombak Selangor Darul Ehsan. </v>
      </c>
      <c r="F84" s="98" t="str">
        <f>IF(rekod!F77="","",rekod!F77)</f>
        <v>BERSETUJU</v>
      </c>
    </row>
    <row r="85" spans="1:6" s="69" customFormat="1" ht="67.5" hidden="1" customHeight="1" x14ac:dyDescent="0.3">
      <c r="A85" s="68">
        <f>IF(rekod!B78="","",A84+1)</f>
        <v>72</v>
      </c>
      <c r="B85" s="106" t="str">
        <f>IF(A85="","",UPPER(rekod!B78))</f>
        <v>PINGGIR MENTARI SDN. BHD.</v>
      </c>
      <c r="C85" s="98" t="str">
        <f>IF(B85="","",rekod!D78)</f>
        <v>MPS</v>
      </c>
      <c r="D85" s="98">
        <f>IF(B85="","",rekod!E78)</f>
        <v>2012</v>
      </c>
      <c r="E85" s="95" t="str">
        <f>IF(B85="","",rekod!H78)</f>
        <v>Cadangan Permohonan Pelan Susunatur Bagi Cadangan Pembangunan Perumahan, Rumah Kelab Dan Komersil Di atas Sebahagian Lot 18056 Dan Lot 1048, Mukim Rawang, Daerah Gombak, Selangor Darul Ehsan.</v>
      </c>
      <c r="F85" s="98" t="str">
        <f>IF(rekod!F78="","",rekod!F78)</f>
        <v>BERSETUJU</v>
      </c>
    </row>
    <row r="86" spans="1:6" s="69" customFormat="1" ht="66" hidden="1" customHeight="1" x14ac:dyDescent="0.3">
      <c r="A86" s="68">
        <f>IF(rekod!B79="","",A85+1)</f>
        <v>73</v>
      </c>
      <c r="B86" s="106" t="str">
        <f>IF(A86="","",UPPER(rekod!B79))</f>
        <v>MARVELANE HOME SDN. BHD.</v>
      </c>
      <c r="C86" s="98" t="str">
        <f>IF(B86="","",rekod!D79)</f>
        <v>MPSJ</v>
      </c>
      <c r="D86" s="98">
        <f>IF(B86="","",rekod!E79)</f>
        <v>2012</v>
      </c>
      <c r="E86" s="95" t="str">
        <f>IF(B86="","",rekod!H79)</f>
        <v xml:space="preserve">Cadangan Pembangunan Perumahan Di Atas Lot 1086, 1088 Dan 1103 Di Putra Heights, Mukim damansara, Daerah Petaling, Selangor Darul Ehsan.  </v>
      </c>
      <c r="F86" s="98" t="str">
        <f>IF(rekod!F79="","",rekod!F79)</f>
        <v>BERSETUJU</v>
      </c>
    </row>
    <row r="87" spans="1:6" s="69" customFormat="1" ht="123" hidden="1" customHeight="1" x14ac:dyDescent="0.3">
      <c r="A87" s="68">
        <f>IF(rekod!B80="","",A86+1)</f>
        <v>74</v>
      </c>
      <c r="B87" s="106" t="str">
        <f>IF(A87="","",UPPER(rekod!B80))</f>
        <v>PEMBANGUNAN RASA SELESA SDN. BHD.</v>
      </c>
      <c r="C87" s="98" t="str">
        <f>IF(B87="","",rekod!D80)</f>
        <v>MPKj</v>
      </c>
      <c r="D87" s="98">
        <f>IF(B87="","",rekod!E80)</f>
        <v>2012</v>
      </c>
      <c r="E87" s="95" t="str">
        <f>IF(B87="","",rekod!H80)</f>
        <v>Perrmohonan Kebenaran Merancang Mengikut Seksyen 21 Akta 172 Bagi Tujuan Tukar Syarat Dan Pecah Sempadan Secara Serentak Di Bawah Seksyen 124-A Kanun Tanah Negara Bagi Cadangan Pembangunan      136 Unit Garden Villa Yang Mempunyai 30 Unit Jenis A (4 Tingkat) 82 Unit Jenis B (4 Tingkat) dan 24 Unit Jenis C (5 Tingkat) Di Atas Lot 1527            (GM 1112) Mukim Cheras, Daerah Hulu Langat, Selangor Darul Ehsan.</v>
      </c>
      <c r="F87" s="98" t="str">
        <f>IF(rekod!F80="","",rekod!F80)</f>
        <v>BERSETUJU</v>
      </c>
    </row>
    <row r="88" spans="1:6" s="69" customFormat="1" ht="83.25" hidden="1" customHeight="1" x14ac:dyDescent="0.3">
      <c r="A88" s="68">
        <f>IF(rekod!B81="","",A87+1)</f>
        <v>75</v>
      </c>
      <c r="B88" s="106" t="str">
        <f>IF(A88="","",UPPER(rekod!B81))</f>
        <v>UEM LAND BERHAD</v>
      </c>
      <c r="C88" s="98" t="str">
        <f>IF(B88="","",rekod!D81)</f>
        <v>MPKj</v>
      </c>
      <c r="D88" s="98">
        <f>IF(B88="","",rekod!E81)</f>
        <v>2012</v>
      </c>
      <c r="E88" s="95" t="str">
        <f>IF(B88="","",rekod!H81)</f>
        <v>Permohonan Kebenaran Merancang Secara Serah Balik Dan Kurnia Semula Di Bawah Seksyen 204A KTN Di Atas Lot 18370 ( PT 21628 ) Seluas 448.61 Ekar, Mukim Semenyih, Daerah Hulu Langat, Selangor Darul Ehsan.</v>
      </c>
      <c r="F88" s="98" t="str">
        <f>IF(rekod!F81="","",rekod!F81)</f>
        <v>BERSETUJU</v>
      </c>
    </row>
    <row r="89" spans="1:6" s="69" customFormat="1" ht="95.25" hidden="1" customHeight="1" x14ac:dyDescent="0.3">
      <c r="A89" s="68">
        <f>IF(rekod!B82="","",A88+1)</f>
        <v>76</v>
      </c>
      <c r="B89" s="106" t="str">
        <f>IF(A89="","",UPPER(rekod!B82))</f>
        <v>TETUAN : PANGKAT UNGGUL SDN. BHD.</v>
      </c>
      <c r="C89" s="98" t="str">
        <f>IF(B89="","",rekod!D82)</f>
        <v>MPKj</v>
      </c>
      <c r="D89" s="98">
        <f>IF(B89="","",rekod!E82)</f>
        <v>2013</v>
      </c>
      <c r="E89" s="95" t="str">
        <f>IF(B89="","",rekod!H82)</f>
        <v>Permohonan Kebenaran Merancang Bagi Tukar Syarat Kategori Kegunaan Tanah Daripada Pertanian Kepada Bangunan dan Ttukar Syarat Nyata Daripada Tanaman Getah Kepada Bangunan Kediaman Di bawah Seksyen 124 (1) (a) &amp; (c) (KTN), Di atas Lot 1098, Mukim Cheras, Daerah Hulu Langat, Selangor Darul Ehsan.</v>
      </c>
      <c r="F89" s="98" t="str">
        <f>IF(rekod!F82="","",rekod!F82)</f>
        <v>BERSETUJU</v>
      </c>
    </row>
    <row r="90" spans="1:6" s="69" customFormat="1" ht="91.5" hidden="1" customHeight="1" x14ac:dyDescent="0.3">
      <c r="A90" s="68">
        <f>IF(rekod!B83="","",A89+1)</f>
        <v>77</v>
      </c>
      <c r="B90" s="106" t="str">
        <f>IF(A90="","",UPPER(rekod!B83))</f>
        <v>TETUAN : KAJANG RESOURCES CORP. SDN. BHD.</v>
      </c>
      <c r="C90" s="98" t="str">
        <f>IF(B90="","",rekod!D83)</f>
        <v>MPKj</v>
      </c>
      <c r="D90" s="98">
        <f>IF(B90="","",rekod!E83)</f>
        <v>2013</v>
      </c>
      <c r="E90" s="95" t="str">
        <f>IF(B90="","",rekod!H83)</f>
        <v xml:space="preserve">Permohonan Kebenaran Merancang Pelan Sususnatur Secara Serah Balik Dan Berimilik Semula Mengikut Seksyen 197 &amp; 76 Kanun Tanah Negara Di Atas lot 2120, 2121, 2122, 2217, 2230, 2231, 2822,  2823, PT 10952, PT 10953 Dan Sebahagian Tanah Kerajaan, Mukim Semenyih, Daerah Hulu langat, Selangor Darul Ehsan.   </v>
      </c>
      <c r="F90" s="98" t="str">
        <f>IF(rekod!F83="","",rekod!F83)</f>
        <v>BERSETUJU</v>
      </c>
    </row>
    <row r="91" spans="1:6" s="69" customFormat="1" ht="105.75" hidden="1" customHeight="1" x14ac:dyDescent="0.3">
      <c r="A91" s="68">
        <f>IF(rekod!B84="","",A90+1)</f>
        <v>78</v>
      </c>
      <c r="B91" s="106" t="str">
        <f>IF(A91="","",UPPER(rekod!B84))</f>
        <v>PUAN RAHMAH BINTI DATO' HJ. ABDUL RAHMAN</v>
      </c>
      <c r="C91" s="98" t="str">
        <f>IF(B91="","",rekod!D84)</f>
        <v>MPAJ</v>
      </c>
      <c r="D91" s="98">
        <f>IF(B91="","",rekod!E84)</f>
        <v>2013</v>
      </c>
      <c r="E91" s="95" t="str">
        <f>IF(B91="","",rekod!H84)</f>
        <v xml:space="preserve">Permohonan Mendapatkan Kelulusan Daripada Jawatankuasa Teknikal Pembangunan Kawasan Sensitif Alam Sekitar (JKTPKSAS) Negeri Selangor Ke Atas Permohonan Kebenaran Merancang Bagi Mendirikan Sebuah Rumah Kediaman 3 Tingkat Di Atas Lot 21582 (PT 3148 Seksyen 2), Jalan 14/3, Taman Tun Abdul Razak, Bandar Ulu Klang, Daerah Gombak, Selangor Darul Ehsan. </v>
      </c>
      <c r="F91" s="98" t="str">
        <f>IF(rekod!F84="","",rekod!F84)</f>
        <v>DITOLAK</v>
      </c>
    </row>
    <row r="92" spans="1:6" s="69" customFormat="1" ht="120" hidden="1" customHeight="1" x14ac:dyDescent="0.3">
      <c r="A92" s="68">
        <f>IF(rekod!B85="","",A91+1)</f>
        <v>79</v>
      </c>
      <c r="B92" s="106" t="str">
        <f>IF(A92="","",UPPER(rekod!B85))</f>
        <v>TETUAN : GAPADU HARTA SDN. BHD.</v>
      </c>
      <c r="C92" s="98" t="str">
        <f>IF(B92="","",rekod!D85)</f>
        <v>MPAJ</v>
      </c>
      <c r="D92" s="98">
        <f>IF(B92="","",rekod!E85)</f>
        <v>2013</v>
      </c>
      <c r="E92" s="95" t="str">
        <f>IF(B92="","",rekod!H85)</f>
        <v>Permohonan Kebenaran Merancang Secara Serentak Bagi Cadangan Pelan Tatatur Perumahan Untuk Tujuan Penyerahan Dan Pemberimilikan Semula Tanah Di Bawah Seksyen 197/76 Kanun Tanah Negara Di Atas Lot Pt 3902 Hingga Lot Pt 4062 (Semuanya 161 Lot Seluas 32.54 Ekar) Dan Sebahagian Tanah Kerajaan (23.47 Ekar) Di Seksyen 2, Bandar Ulu Kelang, Daerah Gombak, Selangor Darul Ehsan.</v>
      </c>
      <c r="F92" s="98" t="str">
        <f>IF(rekod!F85="","",rekod!F85)</f>
        <v>BERSETUJU</v>
      </c>
    </row>
    <row r="93" spans="1:6" s="69" customFormat="1" ht="113.25" hidden="1" customHeight="1" x14ac:dyDescent="0.3">
      <c r="A93" s="68">
        <f>IF(rekod!B86="","",A92+1)</f>
        <v>80</v>
      </c>
      <c r="B93" s="106" t="str">
        <f>IF(A93="","",UPPER(rekod!B86))</f>
        <v>TETUAN : RIVERSIDE HILLS SDN. BHD.</v>
      </c>
      <c r="C93" s="98" t="str">
        <f>IF(B93="","",rekod!D86)</f>
        <v>MPKj</v>
      </c>
      <c r="D93" s="98">
        <f>IF(B93="","",rekod!E86)</f>
        <v>2013</v>
      </c>
      <c r="E93" s="95" t="str">
        <f>IF(B93="","",rekod!H86)</f>
        <v>Permohonan Kebenaran Merancang Untuk Tujuan Serahbalik Dan Berimilik Semula Tanah Di Bawah Seksyen 204b, Kanun Tanah Negara (Ktn) Daripada Tiada Kepada Bangunan Bagi Cadangan Pembangunan Bercampur Dan Perniagaan, Di Atas Lot 35, Lot 1252 Dan Sebahagian Lot 1365, Mukim Beranang, Daerah Hulu Langat, Selangor Darul Ehsan.</v>
      </c>
      <c r="F93" s="98" t="str">
        <f>IF(rekod!F86="","",rekod!F86)</f>
        <v>BERSETUJU</v>
      </c>
    </row>
    <row r="94" spans="1:6" s="69" customFormat="1" ht="177.75" hidden="1" customHeight="1" x14ac:dyDescent="0.3">
      <c r="A94" s="68">
        <f>IF(rekod!B87="","",A93+1)</f>
        <v>81</v>
      </c>
      <c r="B94" s="106" t="str">
        <f>IF(A94="","",UPPER(rekod!B87))</f>
        <v>TETUAN : PERMODALAN NEGERI SELANGOR BERHAD</v>
      </c>
      <c r="C94" s="98" t="str">
        <f>IF(B94="","",rekod!D87)</f>
        <v>MPKj</v>
      </c>
      <c r="D94" s="98">
        <f>IF(B94="","",rekod!E87)</f>
        <v>2013</v>
      </c>
      <c r="E94" s="95" t="str">
        <f>IF(B94="","",rekod!H87)</f>
        <v>Permohonan Kebenaran Merancang Bagi Cadangan Pindaan Ke Atas Pelan Susunatur Yang Telah Diluluskan Mpkj/Pb/Km/178.2001 Tarikh 31.3.2003 Untuk Tujuan Serahbalik Tanah Di Bawah Seksyen 197 Dan Berimilik Semula Tanah Di Bawah Seksyen 76 Ktn Bagi Cadangan Pembangunan Perumahan Bercampur Di Atas Pt 16442-16461, Pt 16462-16481, Pt 16482-16501, Pt 16502-16521, Pt 16522-16541, Pt 16542-16562, Pt 16563-16582, Pt 16583-16602, Pt 16603-16622, Pt 16623-16642, Pt 16643-16662, Pt 16663-16682, Pt 16683-16702, Pt 16703-16722, Pt 16723-16742, Pt 16743-16762, Pt 16763-16782, Pt 16783-16802, Pt 16803-16820 Dan Sebahagian Lot 1906, Mukim Semenyih, Daerah Hulu Langat, Selangor Darul Ehsan.</v>
      </c>
      <c r="F94" s="98" t="str">
        <f>IF(rekod!F87="","",rekod!F87)</f>
        <v>DITANGGUHKAN</v>
      </c>
    </row>
    <row r="95" spans="1:6" s="69" customFormat="1" ht="116.25" hidden="1" customHeight="1" x14ac:dyDescent="0.3">
      <c r="A95" s="68">
        <f>IF(rekod!B88="","",A94+1)</f>
        <v>82</v>
      </c>
      <c r="B95" s="106" t="str">
        <f>IF(A95="","",UPPER(rekod!B88))</f>
        <v>TETUAN : KAJANG TROPICANA HEIGHTS</v>
      </c>
      <c r="C95" s="98" t="str">
        <f>IF(B95="","",rekod!D88)</f>
        <v>MPKj</v>
      </c>
      <c r="D95" s="98">
        <f>IF(B95="","",rekod!E88)</f>
        <v>2013</v>
      </c>
      <c r="E95" s="95" t="str">
        <f>IF(B95="","",rekod!H88)</f>
        <v>Permohonan Kebenaran Merancang Bagi Tujuan Serah Balik dan Pemberimilikan Semula Tanah Di Bawah Seksyen 204B Kanun Tanah Negara (KTN) daripada Padang Golf &amp; Perniagaan Kepada Pembangunan Bercampur (Bangunan Perniagaan dan Kediaman) di atas Lot PT 14536, PT 14537, PT 14533 Bandar Batu 18 Semenyih dan Lot 32 &amp; Lot 1258, Mukim Semenyih, Daerah Hulu Langat, Selangor.</v>
      </c>
      <c r="F95" s="98" t="str">
        <f>IF(rekod!F88="","",rekod!F88)</f>
        <v>BERSETUJU</v>
      </c>
    </row>
    <row r="96" spans="1:6" s="69" customFormat="1" ht="95.25" hidden="1" customHeight="1" x14ac:dyDescent="0.3">
      <c r="A96" s="68">
        <f>IF(rekod!B89="","",A95+1)</f>
        <v>83</v>
      </c>
      <c r="B96" s="106" t="str">
        <f>IF(A96="","",UPPER(rekod!B89))</f>
        <v xml:space="preserve">PEMILIK TANAH : PERBADANAN KEMAJUAN PERTANIAN SELANGOR  
PEMAJU TANAH : TETUAN MALAYSIA BOTANICAL GARDENS RESORT SDN. BHD.  </v>
      </c>
      <c r="C96" s="98" t="str">
        <f>IF(B96="","",rekod!D89)</f>
        <v>MDHS</v>
      </c>
      <c r="D96" s="98">
        <f>IF(B96="","",rekod!E89)</f>
        <v>2013</v>
      </c>
      <c r="E96" s="95" t="str">
        <f>IF(B96="","",rekod!H89)</f>
        <v>Cadangan Pembangunan Sebuah Resort Peranginan Di Atas Tapak Seluas 12.48 Ekar Serta Taman Botani Di Atas Tapak Seluas 183.92 Ekar Di Atas Lot 8993 (PT 2910) Seluas 201.91 Ekar, Mukim Batang Kali, Daerah Hulu Selangor, Selangor Darul Ehsan.</v>
      </c>
      <c r="F96" s="98" t="str">
        <f>IF(rekod!F89="","",rekod!F89)</f>
        <v>DITOLAK</v>
      </c>
    </row>
    <row r="97" spans="1:6" s="69" customFormat="1" ht="87" hidden="1" customHeight="1" x14ac:dyDescent="0.3">
      <c r="A97" s="68">
        <f>IF(rekod!B90="","",A96+1)</f>
        <v>84</v>
      </c>
      <c r="B97" s="106" t="str">
        <f>IF(A97="","",UPPER(rekod!B90))</f>
        <v>TETUAN : RELIANCE PROJECT DEVELOPMENT SDN. BHD.</v>
      </c>
      <c r="C97" s="98" t="str">
        <f>IF(B97="","",rekod!D90)</f>
        <v>MPKj</v>
      </c>
      <c r="D97" s="98">
        <f>IF(B97="","",rekod!E90)</f>
        <v>2013</v>
      </c>
      <c r="E97" s="95" t="str">
        <f>IF(B97="","",rekod!H90)</f>
        <v>Permohonan Kebenaran Merancang Bagi Tujuan Tukar Syarat &amp; Pecah Sempadan Serentak Daripada Pertanian Kepada Perumahan Di Bawah Seksyen 124a Kanun Tanah Negara (Ktn) Bagi Cadangan Pembangunan Pangsapuri Di Atas Lot 1435, Mukim Cheras, Daerah Hulu Langat, Selangor Darul Ehsan.</v>
      </c>
      <c r="F97" s="98" t="str">
        <f>IF(rekod!F90="","",rekod!F90)</f>
        <v>DITANGGUHKAN</v>
      </c>
    </row>
    <row r="98" spans="1:6" s="69" customFormat="1" ht="128.25" hidden="1" customHeight="1" x14ac:dyDescent="0.3">
      <c r="A98" s="68">
        <f>IF(rekod!B91="","",A97+1)</f>
        <v>85</v>
      </c>
      <c r="B98" s="106" t="str">
        <f>IF(A98="","",UPPER(rekod!B91))</f>
        <v>TETUAN : TRISTAR ACRES SDN. BHD.</v>
      </c>
      <c r="C98" s="98" t="str">
        <f>IF(B98="","",rekod!D91)</f>
        <v>MPSpg</v>
      </c>
      <c r="D98" s="98">
        <f>IF(B98="","",rekod!E91)</f>
        <v>2013</v>
      </c>
      <c r="E98" s="95" t="str">
        <f>IF(B98="","",rekod!H91)</f>
        <v>Permohonan Kebenaran Merancang Cadangan Pembangunan Berstrata Di Bawah Akta Hakmilik Strata 1985 Serentak Dengan Permohonan Serah Balik Dan Kurnia Semula Tanah Di Bawah Seksyen 197 Dan 76, Ktn 1965 Di Atas Lot 1780, Lot 2009, Lot 2010, Lot 1541, Lot 1125 (Lot Baru Lot 6455, Lot 6458, Lot 6460 Dan Lot 6462), Lot 1511, Lot 1108, Lot 1109, Lot 1107 (Lot Baru Lot 6452 Dan Lot 6453) Dan Lot 2017, Kampung Sungai Buah, Mukim Dengkil, Daerah Sepang, Selangor Darul Ehsan.</v>
      </c>
      <c r="F98" s="98" t="str">
        <f>IF(rekod!F91="","",rekod!F91)</f>
        <v>BERSETUJU</v>
      </c>
    </row>
    <row r="99" spans="1:6" s="69" customFormat="1" ht="101.25" hidden="1" customHeight="1" x14ac:dyDescent="0.3">
      <c r="A99" s="68">
        <f>IF(rekod!B92="","",A98+1)</f>
        <v>86</v>
      </c>
      <c r="B99" s="106" t="str">
        <f>IF(A99="","",UPPER(rekod!B92))</f>
        <v>TETUAN : MDS VENTURES SDN. BHD.(LOT 577 &amp; 578)</v>
      </c>
      <c r="C99" s="98" t="str">
        <f>IF(B99="","",rekod!D92)</f>
        <v>MBPJ</v>
      </c>
      <c r="D99" s="98">
        <f>IF(B99="","",rekod!E92)</f>
        <v>2013</v>
      </c>
      <c r="E99" s="95" t="str">
        <f>IF(B99="","",rekod!H92)</f>
        <v>Permohonan Kebenaran Merancang Bagi Tujuan Serah Balik Kurnia Semula Di Bawah Sesyen 204b Kanun Tanah Negara Untuk Pembangunan 4 Unit Rumah Sesebuah (2 Tingkat Dan 1 Tingkat Separa Bawah Tanah) Di Atas Lot 577 Dan Lot 578 Jalan 5/66, Mukim Bandar Petaling Jaya Daerah Petaling, Selangor  Darul Ehsan.</v>
      </c>
      <c r="F99" s="98" t="str">
        <f>IF(rekod!F92="","",rekod!F92)</f>
        <v>BERSETUJU</v>
      </c>
    </row>
    <row r="100" spans="1:6" s="69" customFormat="1" ht="90" hidden="1" customHeight="1" x14ac:dyDescent="0.3">
      <c r="A100" s="68">
        <f>IF(rekod!B93="","",A99+1)</f>
        <v>87</v>
      </c>
      <c r="B100" s="106" t="str">
        <f>IF(A100="","",UPPER(rekod!B93))</f>
        <v>TETUAN : DR. N. KRISHNA MOORTY A/L S.A NAVARATNAM</v>
      </c>
      <c r="C100" s="98" t="str">
        <f>IF(B100="","",rekod!D93)</f>
        <v>MBPJ</v>
      </c>
      <c r="D100" s="98">
        <f>IF(B100="","",rekod!E93)</f>
        <v>2013</v>
      </c>
      <c r="E100" s="95" t="str">
        <f>IF(B100="","",rekod!H93)</f>
        <v>Permohonan Kebenaran Merancang Bagi Cadangan Membina Sebuah Rumah Sesebuah 3 Tingkat Dengan 2 Aras Bawah Tanah Di Atas Lot PT 48 (N0 11) Jalan 16/9, Seksyen 16, Petaling Jaya, Mukim Bandar Petaling Jaya, Daerah Petaling, Selangor Darul Ehsan.</v>
      </c>
      <c r="F100" s="98" t="str">
        <f>IF(rekod!F93="","",rekod!F93)</f>
        <v>BERSETUJU</v>
      </c>
    </row>
    <row r="101" spans="1:6" s="69" customFormat="1" ht="70.5" hidden="1" customHeight="1" x14ac:dyDescent="0.3">
      <c r="A101" s="68">
        <f>IF(rekod!B94="","",A100+1)</f>
        <v>88</v>
      </c>
      <c r="B101" s="106" t="str">
        <f>IF(A101="","",UPPER(rekod!B94))</f>
        <v>TETUAN : TEBING MURNI SDN. BHD.</v>
      </c>
      <c r="C101" s="98" t="str">
        <f>IF(B101="","",rekod!D94)</f>
        <v>MPKj</v>
      </c>
      <c r="D101" s="98">
        <f>IF(B101="","",rekod!E94)</f>
        <v>2013</v>
      </c>
      <c r="E101" s="95" t="str">
        <f>IF(B101="","",rekod!H94)</f>
        <v xml:space="preserve">Permohonan Kebenaran Merancang Bagi Pembangunan (Apartment Dan Town Villa) Di Atas Lot PT 76295, Mukim Kajang, Daerah Hulu Langat, Selangor Darul Ehsan. </v>
      </c>
      <c r="F101" s="98" t="str">
        <f>IF(rekod!F94="","",rekod!F94)</f>
        <v>BERSETUJU</v>
      </c>
    </row>
    <row r="102" spans="1:6" s="69" customFormat="1" ht="67.5" hidden="1" customHeight="1" x14ac:dyDescent="0.3">
      <c r="A102" s="68">
        <f>IF(rekod!B95="","",A101+1)</f>
        <v>89</v>
      </c>
      <c r="B102" s="106" t="str">
        <f>IF(A102="","",UPPER(rekod!B95))</f>
        <v>TETUAN : SEGAR RAYA DEVELOPMENT SDN. BHD.</v>
      </c>
      <c r="C102" s="98" t="str">
        <f>IF(B102="","",rekod!D95)</f>
        <v>MPAJ</v>
      </c>
      <c r="D102" s="98">
        <f>IF(B102="","",rekod!E95)</f>
        <v>2013</v>
      </c>
      <c r="E102" s="95" t="str">
        <f>IF(B102="","",rekod!H95)</f>
        <v xml:space="preserve">Permohonan Kebenaran Merancang Bagi Cadangan Pembangunan Perumahan Di Atas Tanah Seluas 22.35 Ekar (Bersebelahan Taman Bukit Teratai), Mukim Ampang, Daerah Hulu Langat, Selangor Darul Ehsan. </v>
      </c>
      <c r="F102" s="98" t="str">
        <f>IF(rekod!F95="","",rekod!F95)</f>
        <v>DITANGGUHKAN</v>
      </c>
    </row>
    <row r="103" spans="1:6" s="69" customFormat="1" ht="78.75" hidden="1" customHeight="1" x14ac:dyDescent="0.3">
      <c r="A103" s="68">
        <f>IF(rekod!B96="","",A102+1)</f>
        <v>90</v>
      </c>
      <c r="B103" s="106" t="str">
        <f>IF(A103="","",UPPER(rekod!B96))</f>
        <v>TETUAN : CHANTELLE HEIGHTS  SDN. BHD.</v>
      </c>
      <c r="C103" s="98" t="str">
        <f>IF(B103="","",rekod!D96)</f>
        <v>MPS</v>
      </c>
      <c r="D103" s="98">
        <f>IF(B103="","",rekod!E96)</f>
        <v>2013</v>
      </c>
      <c r="E103" s="95" t="str">
        <f>IF(B103="","",rekod!H96)</f>
        <v>Permohonan Kebenaran Merancang Bagi Cadangan Pembangunan Perumahan Di Atas Plot D &amp; E, Mukim Rawang, Daerah Gombak, Selangor Darul Ehsan.</v>
      </c>
      <c r="F103" s="98" t="str">
        <f>IF(rekod!F96="","",rekod!F96)</f>
        <v>TARIK DIRI</v>
      </c>
    </row>
    <row r="104" spans="1:6" s="69" customFormat="1" ht="106.5" hidden="1" customHeight="1" x14ac:dyDescent="0.3">
      <c r="A104" s="68">
        <f>IF(rekod!B97="","",A103+1)</f>
        <v>91</v>
      </c>
      <c r="B104" s="106" t="str">
        <f>IF(A104="","",UPPER(rekod!B97))</f>
        <v>TETUAN : PN. RAHMAH BINTI ABDUL RAHIM</v>
      </c>
      <c r="C104" s="98" t="str">
        <f>IF(B104="","",rekod!D97)</f>
        <v>MPAJ</v>
      </c>
      <c r="D104" s="98">
        <f>IF(B104="","",rekod!E97)</f>
        <v>2013</v>
      </c>
      <c r="E104" s="95" t="str">
        <f>IF(B104="","",rekod!H97)</f>
        <v xml:space="preserve">Permohonan Mendapatkan Kelulusan Daripada Jawatankuasa Teknikal Pembangunan Kawasan Sensitif Alam Sekitar (JKTPKSAS) Negeri Selangor Ke Atas Permohonan Kebenaran Merancang Bagi Mendirikan Sebuah Rumah Kediaman 3 Tingkat Di Atas Lot 21582 (PT 3148 Seksyen 2), Jalan 14/3, Taman Tun Abdul Razak, Bandar Ulu Klang, Daerah Gombak, Selangor Darul Ehsan. </v>
      </c>
      <c r="F104" s="98" t="str">
        <f>IF(rekod!F97="","",rekod!F97)</f>
        <v>BERSETUJU</v>
      </c>
    </row>
    <row r="105" spans="1:6" s="69" customFormat="1" ht="80.25" hidden="1" customHeight="1" x14ac:dyDescent="0.3">
      <c r="A105" s="68">
        <f>IF(rekod!B98="","",A104+1)</f>
        <v>92</v>
      </c>
      <c r="B105" s="106" t="str">
        <f>IF(A105="","",UPPER(rekod!B98))</f>
        <v>TETUAN : PERBADANAN KEMAJUAN PERTANIAN SELANGOR</v>
      </c>
      <c r="C105" s="98" t="str">
        <f>IF(B105="","",rekod!D98)</f>
        <v>MDHS</v>
      </c>
      <c r="D105" s="98">
        <f>IF(B105="","",rekod!E98)</f>
        <v>2013</v>
      </c>
      <c r="E105" s="95" t="str">
        <f>IF(B105="","",rekod!H98)</f>
        <v>Cadangan Pembangunan Sebuah Resort Peranginan Di Atas Tapak Seluas 12.48 Ekar Serta Taman Botani Di Atas Tapak Seluas 183.92 Ekar Di Atas Lot 8993 (PT 2910) Seluas 201.91 Ekar, Mukim Batang Kali, Daerah Hulu Selangor, Selangor Darul Ehsan.</v>
      </c>
      <c r="F105" s="98" t="str">
        <f>IF(rekod!F98="","",rekod!F98)</f>
        <v>BERSETUJU</v>
      </c>
    </row>
    <row r="106" spans="1:6" s="69" customFormat="1" ht="114.75" hidden="1" customHeight="1" x14ac:dyDescent="0.3">
      <c r="A106" s="68">
        <f>IF(rekod!B99="","",A105+1)</f>
        <v>93</v>
      </c>
      <c r="B106" s="106" t="str">
        <f>IF(A106="","",UPPER(rekod!B99))</f>
        <v>TETUAN : SIME DARBY AMPAR TENANG SDN. BHD.</v>
      </c>
      <c r="C106" s="98" t="str">
        <f>IF(B106="","",rekod!D99)</f>
        <v>MPSpg</v>
      </c>
      <c r="D106" s="98">
        <f>IF(B106="","",rekod!E99)</f>
        <v>2013</v>
      </c>
      <c r="E106" s="95" t="str">
        <f>IF(B106="","",rekod!H99)</f>
        <v xml:space="preserve">Permohonan Serentak Kebenaran Merancang Cadangan Pembangunan Bercampur Mengikut Seksyen 21, Akta 172 Melalui Serah Balik Dan Beri Milik  Semula Tanah Di Bawah Seksyen 204D, Kanun Tanah Negara, Di Atas Lot-Lot 3859, 6919, 4960, 3173, 4639, 4705, 4641, 3726, 3895, 4640, 31484, 7718, 20996, 6172, 31485, 4217, 27977, 27999 Dan Sebahagian Tanah Kerajaan, Mukim Dengkil, Daerah Sepang, Selangor Darul Ehsan. </v>
      </c>
      <c r="F106" s="98" t="str">
        <f>IF(rekod!F99="","",rekod!F99)</f>
        <v>BERSETUJU</v>
      </c>
    </row>
    <row r="107" spans="1:6" s="69" customFormat="1" ht="98.25" hidden="1" customHeight="1" x14ac:dyDescent="0.3">
      <c r="A107" s="68">
        <f>IF(rekod!B100="","",A106+1)</f>
        <v>94</v>
      </c>
      <c r="B107" s="106" t="str">
        <f>IF(A107="","",UPPER(rekod!B100))</f>
        <v>TETUAN KUALA LUMPUR METRO (M) SDN. BHD.</v>
      </c>
      <c r="C107" s="98" t="str">
        <f>IF(B107="","",rekod!D100)</f>
        <v>MPKj</v>
      </c>
      <c r="D107" s="98">
        <f>IF(B107="","",rekod!E100)</f>
        <v>2014</v>
      </c>
      <c r="E107" s="95" t="str">
        <f>IF(B107="","",rekod!H100)</f>
        <v xml:space="preserve">Permohonan Pindaan Kebenaran Merancang Bagi Cadangan Penyerahan Balik Dan Pemberimilikan Semula Di Bawah Seksyen 204a, Kanun Tanah Negara 1965 Dan Pembangunan 160 Unit Rumah  Sesebuah Strata Dan Sebuah Rumah Kelab Di Bawah Seksyen 6(1a) Akta 318 (Akta Hakmilik Strata 1985) Di Atas Lot 5717 &amp; 1953, Mukim Kajang, Daerah Hulu Langat, Selangor Darul Ehsan. </v>
      </c>
      <c r="F107" s="98" t="str">
        <f>IF(rekod!F100="","",rekod!F100)</f>
        <v>BERSETUJU</v>
      </c>
    </row>
    <row r="108" spans="1:6" s="69" customFormat="1" ht="67.5" hidden="1" customHeight="1" x14ac:dyDescent="0.3">
      <c r="A108" s="68">
        <f>IF(rekod!B101="","",A107+1)</f>
        <v>95</v>
      </c>
      <c r="B108" s="106" t="str">
        <f>IF(A108="","",UPPER(rekod!B101))</f>
        <v>TETUAN ONG AUN KUNG</v>
      </c>
      <c r="C108" s="98" t="str">
        <f>IF(B108="","",rekod!D101)</f>
        <v>MBPJ</v>
      </c>
      <c r="D108" s="98">
        <f>IF(B108="","",rekod!E101)</f>
        <v>2014</v>
      </c>
      <c r="E108" s="95" t="str">
        <f>IF(B108="","",rekod!H101)</f>
        <v xml:space="preserve">Permohonan Kebenaran Merancang Bagi Cadangan Membina Sebuah Rumah ( 2 Tingkat Dan 1 Tingkat Separa Bawah Tanah ) Di Atas Lot 560, Jalan 5/66, Mukim Bandar Petaling Jaya, Daerah Petaling, Selangor Darul Ehsan.       </v>
      </c>
      <c r="F108" s="98" t="str">
        <f>IF(rekod!F101="","",rekod!F101)</f>
        <v>DITOLAK</v>
      </c>
    </row>
    <row r="109" spans="1:6" s="69" customFormat="1" ht="114.75" hidden="1" customHeight="1" x14ac:dyDescent="0.3">
      <c r="A109" s="68">
        <f>IF(rekod!B102="","",A108+1)</f>
        <v>96</v>
      </c>
      <c r="B109" s="106" t="str">
        <f>IF(A109="","",UPPER(rekod!B102))</f>
        <v>TETUAN FORWARD ESTEEM SDN. BHD.</v>
      </c>
      <c r="C109" s="98" t="str">
        <f>IF(B109="","",rekod!D102)</f>
        <v>MPAJ</v>
      </c>
      <c r="D109" s="98">
        <f>IF(B109="","",rekod!E102)</f>
        <v>2014</v>
      </c>
      <c r="E109" s="95" t="str">
        <f>IF(B109="","",rekod!H102)</f>
        <v xml:space="preserve">Permohonan Kebenaran Merancang Untuk Membina 3 Blok 'Servis Apartment 32-33 Tingkat Terdiri Daripada 24-25 Tingkat 'Servis Apartment', 7 Tingkat Podium Tempat Letak Kereta, 1 Tingkat Kemudahan Dan 1 Tingkat Basement Tempat Letak Kereta Melalui Serah Balik Dan Berimilikan Semula Tanah Di Bawah Seksyen 204 A Kanun Tanah Negara Di Atas Lot 847, Mukim Hulu Klang, Daerah Gombak, Selangor Darul Ehsan. </v>
      </c>
      <c r="F109" s="98" t="str">
        <f>IF(rekod!F102="","",rekod!F102)</f>
        <v>BERSETUJU</v>
      </c>
    </row>
    <row r="110" spans="1:6" s="69" customFormat="1" ht="130.5" hidden="1" customHeight="1" x14ac:dyDescent="0.3">
      <c r="A110" s="68">
        <f>IF(rekod!B103="","",A109+1)</f>
        <v>97</v>
      </c>
      <c r="B110" s="106" t="str">
        <f>IF(A110="","",UPPER(rekod!B103))</f>
        <v>TETUAN DOMINION PARK SDN. BHD.</v>
      </c>
      <c r="C110" s="98" t="str">
        <f>IF(B110="","",rekod!D103)</f>
        <v>MPAJ</v>
      </c>
      <c r="D110" s="98">
        <f>IF(B110="","",rekod!E103)</f>
        <v>2014</v>
      </c>
      <c r="E110" s="95" t="str">
        <f>IF(B110="","",rekod!H103)</f>
        <v xml:space="preserve">Permohonan Kebenaran Merancang Bagi Tujuan Meminda Syarat Nyata Di Bawah Seksyen 124(1)(C), Kanun Tanah Negara Serentak Dengan Pembangunan Perumahan 32 Unit Rumah Berkembar, 16 Unit Rumah Sesebuah Biasa Dan 51 Unit Rumah Sesebuah 'Zero Lot Boundary’ Beserta Satu Rumah Kelab Di Bawah Skim 'Gated Community’ Di Bawah Seksyen 6 (1a) Akta 318 (Akta Hakmilik Strata 1985) Di Atas Lot 21690 (Pn 16052), Bandar Ulu Kelang, Daerah Gombak, Selangor Darul Ehsan </v>
      </c>
      <c r="F110" s="98" t="str">
        <f>IF(rekod!F103="","",rekod!F103)</f>
        <v>BERSETUJU</v>
      </c>
    </row>
    <row r="111" spans="1:6" s="69" customFormat="1" ht="96.75" hidden="1" customHeight="1" x14ac:dyDescent="0.3">
      <c r="A111" s="68">
        <f>IF(rekod!B104="","",A110+1)</f>
        <v>98</v>
      </c>
      <c r="B111" s="106" t="str">
        <f>IF(A111="","",UPPER(rekod!B104))</f>
        <v>TETUAN METRO - I CORPORATION SDN. BHD.</v>
      </c>
      <c r="C111" s="98" t="str">
        <f>IF(B111="","",rekod!D104)</f>
        <v>MPS</v>
      </c>
      <c r="D111" s="98">
        <f>IF(B111="","",rekod!E104)</f>
        <v>2014</v>
      </c>
      <c r="E111" s="95" t="str">
        <f>IF(B111="","",rekod!H104)</f>
        <v>Permohonan Kebenaran Merancang Pelan Susunatur Secara Serentak Dengan Penyerahan Balik Dan Pemberimilikan Semula (Seksyen 204d Ktn) Bagi Pembangunan Kediaman (Aman Heights Fasa 2) Di Atas Pt 1752 Dan Pt 1753 (Keluasan 3.52 Ekar), Bandar Sungai Buloh, Daerah Gombak, Selangor Darul Ehsan</v>
      </c>
      <c r="F111" s="98" t="str">
        <f>IF(rekod!F104="","",rekod!F104)</f>
        <v>BERSETUJU</v>
      </c>
    </row>
    <row r="112" spans="1:6" s="69" customFormat="1" ht="234" hidden="1" customHeight="1" x14ac:dyDescent="0.3">
      <c r="A112" s="68">
        <f>IF(rekod!B105="","",A111+1)</f>
        <v>99</v>
      </c>
      <c r="B112" s="106" t="str">
        <f>IF(A112="","",UPPER(rekod!B105))</f>
        <v>TETUAN MAMMOTH EMPIRE LAND SDN. BHD.</v>
      </c>
      <c r="C112" s="98" t="str">
        <f>IF(B112="","",rekod!D105)</f>
        <v>MBPJ</v>
      </c>
      <c r="D112" s="98">
        <f>IF(B112="","",rekod!E105)</f>
        <v>2014</v>
      </c>
      <c r="E112" s="95" t="str">
        <f>IF(B112="","",rekod!H105)</f>
        <v>Permohonan Kebenaran Merancang Bagi Pindaan Ke Atas Pelan Lulus Bil.21 DLM.MBPJ/040100/T/P23/PJU8/5822/2010 Untuk Cadangan Pembangunan Perumahan Yang Mengandungi:
(1)  633 Unit Rumah Teres 3 Tingkat, 17 Unit Rumah Teres 2 Tingkat Dan 1 Tingkat Podium Tempat Letak Kereta;
(2)  19 Unit Rumah Bandar Bandar 3 Tingkat Dan 1 Tingkat Podium Tempat Letak Kereta
(3)  81 Unit Kondominium (2 blok 11-16 tingkat) dan 2 Tingkat Podium Tempat Letak Kereta;
(Permilikan Berstrata Mengikut Seksyen 6(1A), Akta Hakmilik Strata 1985) di atas lot PT 48042 (HSD 267032), (Lot Lama : Sebahagian Lot 44012 HSD 222396, jalan PJU 8/1, Damansara Perdana, Mukim Sungai Buloh, Daerah Petaling, Selangor Darul Ehsan</v>
      </c>
      <c r="F112" s="98" t="str">
        <f>IF(rekod!F105="","",rekod!F105)</f>
        <v>BERSETUJU</v>
      </c>
    </row>
    <row r="113" spans="1:6" s="69" customFormat="1" ht="85.5" hidden="1" customHeight="1" x14ac:dyDescent="0.3">
      <c r="A113" s="68">
        <f>IF(rekod!B106="","",A112+1)</f>
        <v>100</v>
      </c>
      <c r="B113" s="106" t="str">
        <f>IF(A113="","",UPPER(rekod!B106))</f>
        <v>TETUAN KEMENTERIAN PELAJARAN MALAYSIA</v>
      </c>
      <c r="C113" s="98" t="str">
        <f>IF(B113="","",rekod!D106)</f>
        <v>MPAJ</v>
      </c>
      <c r="D113" s="98">
        <f>IF(B113="","",rekod!E106)</f>
        <v>2014</v>
      </c>
      <c r="E113" s="95" t="str">
        <f>IF(B113="","",rekod!H106)</f>
        <v>Permohonan Kebenaran Merancang Bagi Cadangan Membina Dan Menyiapkan Projek IBS Bagi Sekolah Kebangsaan Ukay Sering, Gombak (B), Di Atas Lot 22248 Yang Mengandungi 30 Bilik Darjah Dan Kemudahan Berkaitan Di Daerah Gombak, Selangor Darul Ehsan.</v>
      </c>
      <c r="F113" s="98" t="str">
        <f>IF(rekod!F106="","",rekod!F106)</f>
        <v>BERSETUJU</v>
      </c>
    </row>
    <row r="114" spans="1:6" s="69" customFormat="1" ht="85.5" hidden="1" customHeight="1" x14ac:dyDescent="0.3">
      <c r="A114" s="68">
        <f>IF(rekod!B107="","",A113+1)</f>
        <v>101</v>
      </c>
      <c r="B114" s="106" t="str">
        <f>IF(A114="","",UPPER(rekod!B107))</f>
        <v>TETUAN CEMPAKA GROUP SDN. BHD.</v>
      </c>
      <c r="C114" s="98" t="str">
        <f>IF(B114="","",rekod!D107)</f>
        <v>MPKj</v>
      </c>
      <c r="D114" s="98">
        <f>IF(B114="","",rekod!E107)</f>
        <v>2014</v>
      </c>
      <c r="E114" s="95" t="str">
        <f>IF(B114="","",rekod!H107)</f>
        <v>Permohonan Pengecualian Dari Merujuk Kepada Jawatankuasa Teknikal Pembangunan Kawasan Sensitif Alam Sekitar (KSAS) Bagi Cadangan Pembangunan Di Atas Lot 1664, Mukim Cheras, Daerah Hulu Langat, Selangor Darul Ehsan.</v>
      </c>
      <c r="F114" s="98" t="str">
        <f>IF(rekod!F107="","",rekod!F107)</f>
        <v>DITOLAK</v>
      </c>
    </row>
    <row r="115" spans="1:6" s="69" customFormat="1" ht="54" hidden="1" customHeight="1" x14ac:dyDescent="0.3">
      <c r="A115" s="68">
        <f>IF(rekod!B108="","",A114+1)</f>
        <v>102</v>
      </c>
      <c r="B115" s="106" t="str">
        <f>IF(A115="","",UPPER(rekod!B108))</f>
        <v>TETUAN MEDIUS DEVELOPMENTS SDN. BHD.</v>
      </c>
      <c r="C115" s="98" t="str">
        <f>IF(B115="","",rekod!D108)</f>
        <v>MPSJ</v>
      </c>
      <c r="D115" s="98">
        <f>IF(B115="","",rekod!E108)</f>
        <v>2014</v>
      </c>
      <c r="E115" s="95" t="str">
        <f>IF(B115="","",rekod!H108)</f>
        <v xml:space="preserve">Cadangan Pelan Induk Bagi Pembangunan Perumahan Dan Perniagaan Di Atas Lot 12165 (PT 9233 ), Mukim Rawang, Daerah Gombak, Selangor Darul Ehsan </v>
      </c>
      <c r="F115" s="98" t="str">
        <f>IF(rekod!F108="","",rekod!F108)</f>
        <v>BERSETUJU</v>
      </c>
    </row>
    <row r="116" spans="1:6" s="69" customFormat="1" ht="94.5" hidden="1" customHeight="1" x14ac:dyDescent="0.3">
      <c r="A116" s="68">
        <f>IF(rekod!B109="","",A115+1)</f>
        <v>103</v>
      </c>
      <c r="B116" s="106" t="str">
        <f>IF(A116="","",UPPER(rekod!B109))</f>
        <v>TETUAN PERTANIAN TAMAN EQUINE SDN. BHD.</v>
      </c>
      <c r="C116" s="98" t="str">
        <f>IF(B116="","",rekod!D109)</f>
        <v>MPSJ</v>
      </c>
      <c r="D116" s="98">
        <f>IF(B116="","",rekod!E109)</f>
        <v>2014</v>
      </c>
      <c r="E116" s="95" t="str">
        <f>IF(B116="","",rekod!H109)</f>
        <v>Permohonan Kebenaran Merancang Pendirian Bangunan Bagi Cadangan Pembangunan Pangsapuri Kos Bebas Berjumlah 700 Unit Diatas Lot PT 56723 (H.S(D) 241758, Yang Dahulunya Dikenali Sebagai Sebahagian PT 27426, Jalan Equine, Taman Equine, Bandar Putra Permai, Mukim Petaling, Daerah Petaling, Selangor Darul Ehsan.</v>
      </c>
      <c r="F116" s="98" t="str">
        <f>IF(rekod!F109="","",rekod!F109)</f>
        <v>BERSETUJU</v>
      </c>
    </row>
    <row r="117" spans="1:6" s="69" customFormat="1" ht="112.5" hidden="1" customHeight="1" x14ac:dyDescent="0.3">
      <c r="A117" s="68">
        <f>IF(rekod!B110="","",A116+1)</f>
        <v>104</v>
      </c>
      <c r="B117" s="106" t="str">
        <f>IF(A117="","",UPPER(rekod!B110))</f>
        <v>TETUAN SUNWAY TEMUNING SDN. BHD.</v>
      </c>
      <c r="C117" s="98" t="str">
        <f>IF(B117="","",rekod!D110)</f>
        <v>MPKj</v>
      </c>
      <c r="D117" s="98">
        <f>IF(B117="","",rekod!E110)</f>
        <v>2014</v>
      </c>
      <c r="E117" s="95" t="str">
        <f>IF(B117="","",rekod!H110)</f>
        <v>Permohonan Kebenaran Merancang Pelan Susunatur Untuk Cadangan Perumahan Dan Perniagaan Secara Serah Balik Dan Pemberimilikan Semula Di Bawah Seksyen 204B, Kanun Tanah Negara 1965 Di Atas Lot 64354 (Lot Asal 1352 ), Lot 64355 (Lot Asal 1355), Lot 1402, Lot 1404, Lot 64356 (Lot Asal 1405) Lot 1406, Lot 1410 Dan Lot 44910 (Lot Asal PT 52261) Mukim Cheras, Daerah Hulu Langat, Selangor Darul Ehsan.</v>
      </c>
      <c r="F117" s="98" t="str">
        <f>IF(rekod!F110="","",rekod!F110)</f>
        <v>DITANGGUHKAN</v>
      </c>
    </row>
    <row r="118" spans="1:6" s="69" customFormat="1" ht="90.75" hidden="1" customHeight="1" x14ac:dyDescent="0.3">
      <c r="A118" s="68">
        <f>IF(rekod!B111="","",A117+1)</f>
        <v>105</v>
      </c>
      <c r="B118" s="106" t="str">
        <f>IF(A118="","",UPPER(rekod!B111))</f>
        <v>TETUAN GETT PROPERTY SDN. BHD.</v>
      </c>
      <c r="C118" s="98" t="str">
        <f>IF(B118="","",rekod!D111)</f>
        <v>MPKj</v>
      </c>
      <c r="D118" s="98">
        <f>IF(B118="","",rekod!E111)</f>
        <v>2014</v>
      </c>
      <c r="E118" s="95" t="str">
        <f>IF(B118="","",rekod!H111)</f>
        <v>Permohonan Kebenaran Merancang Bagi Cadangan Pembangunan 42 Unit Rumah Berkembar Berpagar Dan Berpengawal, Seksyen 6(1a) Akta Hakmilik Strata 1985(Akta 318) Di Atas Lot 13927 (Grn 60754), Mukim Semenyih, Daerah Hulu Langat, Selangor Darul Ehsan.</v>
      </c>
      <c r="F118" s="98" t="str">
        <f>IF(rekod!F111="","",rekod!F111)</f>
        <v>BERSETUJU</v>
      </c>
    </row>
    <row r="119" spans="1:6" s="69" customFormat="1" ht="66.75" hidden="1" customHeight="1" x14ac:dyDescent="0.3">
      <c r="A119" s="68">
        <f>IF(rekod!B112="","",A118+1)</f>
        <v>106</v>
      </c>
      <c r="B119" s="106" t="str">
        <f>IF(A119="","",UPPER(rekod!B112))</f>
        <v>TETUAN BHL LAND SDN. BHD.</v>
      </c>
      <c r="C119" s="98" t="str">
        <f>IF(B119="","",rekod!D112)</f>
        <v>MBSA</v>
      </c>
      <c r="D119" s="98">
        <f>IF(B119="","",rekod!E112)</f>
        <v>2014</v>
      </c>
      <c r="E119" s="95" t="str">
        <f>IF(B119="","",rekod!H112)</f>
        <v>Permohonan Kebenaran Merancang Pelan susunatur Bagi Cadangan Pembangunan Perumahan Berstrata Di Atas PT 36927 (HS (D) 296126), Seksyen U10, Mukim Bukit Raja, Daerah Petaling, Selangor Darul Ehsan.</v>
      </c>
      <c r="F119" s="98" t="str">
        <f>IF(rekod!F112="","",rekod!F112)</f>
        <v>BERSETUJU</v>
      </c>
    </row>
    <row r="120" spans="1:6" s="69" customFormat="1" ht="69.75" hidden="1" customHeight="1" x14ac:dyDescent="0.3">
      <c r="A120" s="68">
        <f>IF(rekod!B113="","",A119+1)</f>
        <v>107</v>
      </c>
      <c r="B120" s="106" t="str">
        <f>IF(A120="","",UPPER(rekod!B113))</f>
        <v>TETUAN CURAH BAHAGIA SDN. BHD.</v>
      </c>
      <c r="C120" s="98" t="str">
        <f>IF(B120="","",rekod!D113)</f>
        <v>MPAJ</v>
      </c>
      <c r="D120" s="98">
        <f>IF(B120="","",rekod!E113)</f>
        <v>2014</v>
      </c>
      <c r="E120" s="95" t="str">
        <f>IF(B120="","",rekod!H113)</f>
        <v>Permohonan Kebenaran Merancang Bagi Cadangan Pembangunan Bercampur Di Atas Sebahagian Lot 15296 (PT 14250) Dan Lot 15295 (PT 14251), Mukim Ulu Kelang, Daerah Gombak, Selangor Darul Ehsan</v>
      </c>
      <c r="F120" s="98" t="str">
        <f>IF(rekod!F113="","",rekod!F113)</f>
        <v>BERSETUJU</v>
      </c>
    </row>
    <row r="121" spans="1:6" s="69" customFormat="1" ht="80.25" hidden="1" customHeight="1" x14ac:dyDescent="0.3">
      <c r="A121" s="68">
        <f>IF(rekod!B114="","",A120+1)</f>
        <v>108</v>
      </c>
      <c r="B121" s="106" t="str">
        <f>IF(A121="","",UPPER(rekod!B114))</f>
        <v>TETUAN EN. JAFLUS BIN ABDUL JALIL, EN. NASRUDIN BIN ALI DAN  EN. BAHARUM BIN MOHD. DIN</v>
      </c>
      <c r="C121" s="98" t="str">
        <f>IF(B121="","",rekod!D114)</f>
        <v>MPS</v>
      </c>
      <c r="D121" s="98">
        <f>IF(B121="","",rekod!E114)</f>
        <v>2014</v>
      </c>
      <c r="E121" s="95" t="str">
        <f>IF(B121="","",rekod!H114)</f>
        <v>Permohonan Kebenaran Merancang Bagi Tujuan Serah Balik Dan Berimilik Semula Di Bawah Seksyen 204B Kanun Tanah Negara Bagi Cadangan  Pembangunan Pangsapuri Kos Tinggi Di Atas Lot 2754 Dan Lot 2755, Mukim Setapak, Daerah Gombak, Selangor Darul Ehsan.</v>
      </c>
      <c r="F121" s="98" t="str">
        <f>IF(rekod!F114="","",rekod!F114)</f>
        <v>BERSETUJU</v>
      </c>
    </row>
    <row r="122" spans="1:6" s="69" customFormat="1" ht="99.75" hidden="1" customHeight="1" x14ac:dyDescent="0.3">
      <c r="A122" s="68">
        <f>IF(rekod!B115="","",A121+1)</f>
        <v>109</v>
      </c>
      <c r="B122" s="106" t="str">
        <f>IF(A122="","",UPPER(rekod!B115))</f>
        <v>TETUAN WIRADANI DEVELOPMENT SDN. BHD.</v>
      </c>
      <c r="C122" s="98" t="str">
        <f>IF(B122="","",rekod!D115)</f>
        <v>MPAJ</v>
      </c>
      <c r="D122" s="98">
        <f>IF(B122="","",rekod!E115)</f>
        <v>2014</v>
      </c>
      <c r="E122" s="95" t="str">
        <f>IF(B122="","",rekod!H115)</f>
        <v xml:space="preserve"> Permohonan Kebenaran Merancang Untuk Pembangunan Bercampur Yang Terdiri Daripada :
i. 1 Blok Kedai Pejabat 3 Dan 4 Tingkat Berstrata ( 46 Unit ).
ii. 1 Blok Pangsapuri Perkhidmatan 40 Tingkat ( 256 Unit ) Dan Kemudahan Awam
Di Atas Lot 9525,  Mukim Ampang, Daerah Hulu Langat, Selangor Darul Ehsan.</v>
      </c>
      <c r="F122" s="98" t="str">
        <f>IF(rekod!F115="","",rekod!F115)</f>
        <v>BERSETUJU</v>
      </c>
    </row>
    <row r="123" spans="1:6" s="69" customFormat="1" ht="102.75" hidden="1" customHeight="1" x14ac:dyDescent="0.3">
      <c r="A123" s="68">
        <f>IF(rekod!B116="","",A122+1)</f>
        <v>110</v>
      </c>
      <c r="B123" s="106" t="str">
        <f>IF(A123="","",UPPER(rekod!B116))</f>
        <v>TETUAN LIGAMAS SDN BHD</v>
      </c>
      <c r="C123" s="98" t="str">
        <f>IF(B123="","",rekod!D116)</f>
        <v>MDHS</v>
      </c>
      <c r="D123" s="98">
        <f>IF(B123="","",rekod!E116)</f>
        <v>2015</v>
      </c>
      <c r="E123" s="95" t="str">
        <f>IF(B123="","",rekod!H116)</f>
        <v>Permohonan Kebenaran Merancang Bagi Cadangan Pindaan Perumahan Di Atas Pelan Susunatur Perumahan Yang Telah Diluluskan Pelan Bil. PKNS/LIGAMAS/PR/B.Kali/4F, Di Dalam Surat JPBDSEL./07/01/01/00006-T(6) Bertarikh 10 Jun 2005, Di Atas Lot 11753, Di Sebahagian Seksyen 4, Mukim Batang Kali, Daerah Hulu Selangor, Selangor Darul Ehsan.</v>
      </c>
      <c r="F123" s="98" t="str">
        <f>IF(rekod!F116="","",rekod!F116)</f>
        <v>BERSETUJU</v>
      </c>
    </row>
    <row r="124" spans="1:6" s="69" customFormat="1" ht="96.75" hidden="1" customHeight="1" x14ac:dyDescent="0.3">
      <c r="A124" s="68">
        <f>IF(rekod!B117="","",A123+1)</f>
        <v>111</v>
      </c>
      <c r="B124" s="106" t="str">
        <f>IF(A124="","",UPPER(rekod!B117))</f>
        <v>TETUAN BRAS SANCTUARY SDN. BHD</v>
      </c>
      <c r="C124" s="98" t="str">
        <f>IF(B124="","",rekod!D117)</f>
        <v>MPS</v>
      </c>
      <c r="D124" s="98">
        <f>IF(B124="","",rekod!E117)</f>
        <v>2015</v>
      </c>
      <c r="E124" s="95" t="str">
        <f>IF(B124="","",rekod!H117)</f>
        <v>Permohonan Kebenaran Merancang Kepada Pelan Yang Telah Diluluskan  Oleh Majlis Perbandaran Selayang Bagi Cadangan Pembangunan 60 Unit Lot Sesebuah Skim “ Gated Community” Di bawah Seksyen 6(1A) Akta 318 (Hakmilik Strata 1985) Di atas Lot 5070 (Fasa 5A) Templer Park Resort, Mukim Rawang, Daerah Gombak.</v>
      </c>
      <c r="F124" s="98" t="str">
        <f>IF(rekod!F117="","",rekod!F117)</f>
        <v>BERSETUJU</v>
      </c>
    </row>
    <row r="125" spans="1:6" s="69" customFormat="1" ht="102" hidden="1" customHeight="1" x14ac:dyDescent="0.3">
      <c r="A125" s="68">
        <f>IF(rekod!B118="","",A124+1)</f>
        <v>112</v>
      </c>
      <c r="B125" s="106" t="str">
        <f>IF(A125="","",UPPER(rekod!B118))</f>
        <v>TETUAN MEDIARAMA SDN. BHD.</v>
      </c>
      <c r="C125" s="98" t="str">
        <f>IF(B125="","",rekod!D118)</f>
        <v>MDHS</v>
      </c>
      <c r="D125" s="98">
        <f>IF(B125="","",rekod!E118)</f>
        <v>2015</v>
      </c>
      <c r="E125" s="95" t="str">
        <f>IF(B125="","",rekod!H118)</f>
        <v>Permohonan Pindaan Kebenaran Merancang Ke Atas Pelan Susunatur Yang Telah Diluluskan (MOHS/TP/52/2013 Bertarikh 12 Ogos 2013) Bagi Cadangan Perubahan Material Kegunaan Tanah Persendirian Untuk Mendirikan Bangunan Kem Program Latihan Khidmat Negara (PLKN) Diatas Lot 2484, 2603, 2604, 2610, Dan 2619Mukim Batang Kali, Daerah Hulu Selangor, Selangor Darul Ehsan.</v>
      </c>
      <c r="F125" s="98" t="str">
        <f>IF(rekod!F118="","",rekod!F118)</f>
        <v>DITANGGUHKAN</v>
      </c>
    </row>
    <row r="126" spans="1:6" s="69" customFormat="1" ht="99.75" hidden="1" customHeight="1" x14ac:dyDescent="0.3">
      <c r="A126" s="68">
        <f>IF(rekod!B119="","",A125+1)</f>
        <v>113</v>
      </c>
      <c r="B126" s="106" t="str">
        <f>IF(A126="","",UPPER(rekod!B119))</f>
        <v>PERSATUAN TELUGU MALAYSIA</v>
      </c>
      <c r="C126" s="98" t="str">
        <f>IF(B126="","",rekod!D119)</f>
        <v>MDHS</v>
      </c>
      <c r="D126" s="98">
        <f>IF(B126="","",rekod!E119)</f>
        <v>2015</v>
      </c>
      <c r="E126" s="95" t="str">
        <f>IF(B126="","",rekod!H119)</f>
        <v>Permohonan Kebenaran Merancang Bagi Tujuan Serah Balik Kurnia Semula Bawah Seksyen 204B Kanun Tanah Negara Untuk Kegunaan Institusi Bagi Cadangan Meroboh Dan Membina Sebuah Kediaman Asrama 5 Tingkat Di Atas Lot 3472 (GM4575) Dan Lot 3474 (GM4577), Jalan Monorail, Mukim Serendah, Daerah Hulu Selangor, Selangor Darul Ehsan.</v>
      </c>
      <c r="F126" s="98" t="str">
        <f>IF(rekod!F119="","",rekod!F119)</f>
        <v>BERSETUJU</v>
      </c>
    </row>
    <row r="127" spans="1:6" s="69" customFormat="1" ht="108" hidden="1" customHeight="1" x14ac:dyDescent="0.3">
      <c r="A127" s="68">
        <f>IF(rekod!B120="","",A126+1)</f>
        <v>114</v>
      </c>
      <c r="B127" s="106" t="str">
        <f>IF(A127="","",UPPER(rekod!B120))</f>
        <v>AMAN KEMESAH SDN. BHD.</v>
      </c>
      <c r="C127" s="98" t="str">
        <f>IF(B127="","",rekod!D120)</f>
        <v>MPAJ</v>
      </c>
      <c r="D127" s="98">
        <f>IF(B127="","",rekod!E120)</f>
        <v>2015</v>
      </c>
      <c r="E127" s="95" t="str">
        <f>IF(B127="","",rekod!H120)</f>
        <v>Permohonan Pindaan Kebenaran Merancang Ke Atas Pelan Susunatur Yang Telah Diluluskan [Pelan Bil. 11/2/2/3.2012 Bertarikh 24/04/12] Untuk Pembangunan Perumahan Skim ‘Gated Community’ Di Bawah Seksyen 6 (1A) Akta 318 (Akta Hakmilik Strata 1985) Di Atas Lot PT 18223 (Lot 584, 585 Dan 599) Seluas 14.72 Ekar Mukim Ulu Klang Daerah Gombak, Selangor Darul Ehsan.</v>
      </c>
      <c r="F127" s="98" t="str">
        <f>IF(rekod!F120="","",rekod!F120)</f>
        <v>DITANGGUHKAN</v>
      </c>
    </row>
    <row r="128" spans="1:6" s="69" customFormat="1" ht="112.5" hidden="1" customHeight="1" x14ac:dyDescent="0.3">
      <c r="A128" s="68">
        <f>IF(rekod!B121="","",A127+1)</f>
        <v>115</v>
      </c>
      <c r="B128" s="106" t="str">
        <f>IF(A128="","",UPPER(rekod!B121))</f>
        <v>HAVANA AVENUE SDN. BHD.</v>
      </c>
      <c r="C128" s="98" t="str">
        <f>IF(B128="","",rekod!D121)</f>
        <v>MPKj</v>
      </c>
      <c r="D128" s="98">
        <f>IF(B128="","",rekod!E121)</f>
        <v>2015</v>
      </c>
      <c r="E128" s="95" t="str">
        <f>IF(B128="","",rekod!H121)</f>
        <v>Permohonan Kebenaran Merancang Secara Serentak Mengikut Seksyen 21, Akta Perancangan Bandar Dan Desa (1976) Bagi Cadangan Serah Balik Dan Pemberimilikan Semula Tanah Mengikut Seksyen 204D, Kanun Tanah Negara 1965 Untuk Pembangunan Perumahan Berstrata Mengikut Seksyen 6(1A) Akta Hakmilik Strata 1985, Di atas Lot 1211 Dan Lot 41645, Jalan Palma Utama, Mukim Cheras, Daerah Hulu Langat, Selangor Darul Ehsan.</v>
      </c>
      <c r="F128" s="98" t="str">
        <f>IF(rekod!F121="","",rekod!F121)</f>
        <v>BERSETUJU</v>
      </c>
    </row>
    <row r="129" spans="1:6" s="69" customFormat="1" ht="129.75" hidden="1" customHeight="1" x14ac:dyDescent="0.3">
      <c r="A129" s="68">
        <f>IF(rekod!B122="","",A128+1)</f>
        <v>116</v>
      </c>
      <c r="B129" s="106" t="str">
        <f>IF(A129="","",UPPER(rekod!B122))</f>
        <v>DARUL OMNI SDN. BHD.</v>
      </c>
      <c r="C129" s="98" t="str">
        <f>IF(B129="","",rekod!D122)</f>
        <v>MPSJ</v>
      </c>
      <c r="D129" s="98">
        <f>IF(B129="","",rekod!E122)</f>
        <v>2015</v>
      </c>
      <c r="E129" s="95" t="str">
        <f>IF(B129="","",rekod!H122)</f>
        <v xml:space="preserve">Permohonan Pindaan Pelan Kerja Tanah Yang Telah Diluluskan (Mpsj.287/8/03/Ew/Z3/3(10a) Bertarikh 23 September 2003) Dari Pembangunan Pangsapuri Kos Sederhana , Pangsapuri Kos Sederhana Rendah, Pangsapuri Kos Rendah Kepada Cadangan Pembangunan Skim “Gated Community “Di Bawah Seksyen 6 (1a) Akta 318 (Akta Hakmilik Strata 1985) Dan 1 Unit Pencawang Elektrik Diatas Lot 86248 Dan 86249 Fasa 4, Taman Mutiara Indah, Mukim Petaling, Daerah Petaling, Selangor Darul Ehsan </v>
      </c>
      <c r="F129" s="98" t="str">
        <f>IF(rekod!F122="","",rekod!F122)</f>
        <v>BERSETUJU</v>
      </c>
    </row>
    <row r="130" spans="1:6" s="69" customFormat="1" ht="70.5" hidden="1" customHeight="1" x14ac:dyDescent="0.3">
      <c r="A130" s="68">
        <f>IF(rekod!B123="","",A129+1)</f>
        <v>117</v>
      </c>
      <c r="B130" s="106" t="str">
        <f>IF(A130="","",UPPER(rekod!B123))</f>
        <v>CASH BAND (M) BERHAD</v>
      </c>
      <c r="C130" s="98" t="str">
        <f>IF(B130="","",rekod!D123)</f>
        <v>MPS</v>
      </c>
      <c r="D130" s="98">
        <f>IF(B130="","",rekod!E123)</f>
        <v>2015</v>
      </c>
      <c r="E130" s="95" t="str">
        <f>IF(B130="","",rekod!H123)</f>
        <v xml:space="preserve">Permohonan Bagi Tujuan Perakuan Pelan Induk Bagi Cadangan Perumahan Bercampur Berstrata Diatas Lot 614 Dan Lot 11, Pekan Templer, Daerah Gombak, Selangor Darul Ehsan. </v>
      </c>
      <c r="F130" s="98" t="str">
        <f>IF(rekod!F123="","",rekod!F123)</f>
        <v>BERSETUJU</v>
      </c>
    </row>
    <row r="131" spans="1:6" s="69" customFormat="1" ht="307.5" hidden="1" customHeight="1" x14ac:dyDescent="0.3">
      <c r="A131" s="68">
        <f>IF(rekod!B124="","",A130+1)</f>
        <v>118</v>
      </c>
      <c r="B131" s="106" t="str">
        <f>IF(A131="","",UPPER(rekod!B124))</f>
        <v>GRANSTEP DEVEPLOMENT SDN. BHD.</v>
      </c>
      <c r="C131" s="98" t="str">
        <f>IF(B131="","",rekod!D124)</f>
        <v>MPAJ</v>
      </c>
      <c r="D131" s="98">
        <f>IF(B131="","",rekod!E124)</f>
        <v>2015</v>
      </c>
      <c r="E131" s="95" t="str">
        <f>IF(B131="","",rekod!H124)</f>
        <v>Permohonan Kebenaran Merancang Pembangunan 2 Skim Perumahan Berpagar Di Bawah Seksyen 6(1A) Akta 318 (Akta Hakmilik Strata 1985) KTN Bagi Membina :
1.) Skim 1 (Fasa 1,2 &amp; 3) Yang Mengandungi
A. 2 Unit Rumah Berkembar (45’ x 65’)
B. 26 Unit Rumah Berkembar (50’ X 60’)
C. 13 Unit Rumah Teres Superlink (22’ X 70’)
D. 39 Unit Rumah Teres Superlink (24’ X 70’)
E. 2 Blok Pangsapuri 19 Tingkat (304 Unit) Berserta 2 Unit Kedai
F. 1 Blok Pangsapuri 24 Tingkat (240 Unit) Berserta 2 Kedai
G. 1 Unit Rumah Kelab &amp; 3 Unit Pondok Pengawal
2.) Skim 2 (Fasa 4) Yang Mengandungi
A. 1 Blok Pangsapuri (Rumah Selangorku) 18 Tingkat (144 Unit)
B. 1 Unit Pondok Pengawal
Dan Pembangunan Akan Datang (Fasa 5) Serta Kemudahan Berkaitan Di Atas Lot 1287 (PT 30517 HS(D) 34803), Mukim Ampang, Daerah Hulu Langat, Selangor Darul Ehsan.</v>
      </c>
      <c r="F131" s="98" t="str">
        <f>IF(rekod!F124="","",rekod!F124)</f>
        <v>BERSETUJU</v>
      </c>
    </row>
    <row r="132" spans="1:6" s="69" customFormat="1" ht="240.75" hidden="1" customHeight="1" x14ac:dyDescent="0.3">
      <c r="A132" s="68">
        <f>IF(rekod!B125="","",A131+1)</f>
        <v>119</v>
      </c>
      <c r="B132" s="106" t="str">
        <f>IF(A132="","",UPPER(rekod!B125))</f>
        <v>TETUAN SCOTIA COMMERCE SDN BHD</v>
      </c>
      <c r="C132" s="98" t="str">
        <f>IF(B132="","",rekod!D125)</f>
        <v>MPAJ</v>
      </c>
      <c r="D132" s="98">
        <f>IF(B132="","",rekod!E125)</f>
        <v>2015</v>
      </c>
      <c r="E132" s="95" t="str">
        <f>IF(B132="","",rekod!H125)</f>
        <v>Permohonan Kebenaran Merancang Bagi Cadangan Pembangunan Perdagangan :
Fasa 1   a. Suite Pejabat 10 Tingkat
b. Menara Pejabat 25 Tingkat
c. Pusat Beli-Belah 3 Tingkat
d. Podium Tempat Letak Kereta 6 Tingkat
e. Besmen Tempat Letak Kereta 6 Tingkat
Fasa 2   f. Suite Pejabat 8 Tingkat
g. Menara Pejabat 29 Tingkat Termasuk 4 Tingkat Podium Tempat Letak Kereta
h. Pusat Beli-Belah 3 Tingkat
i. Podium Tempat Letak Kereta 3 Tingkat
Serta Kemudahan-Kemudahan Berkaitan Di Atas Lot 850 Batu 6¼ Ulu Kelang Road, Mukim Ulu Klang, Daerah Gombak, Selangor Darul Ehsan</v>
      </c>
      <c r="F132" s="98" t="str">
        <f>IF(rekod!F125="","",rekod!F125)</f>
        <v>BERSETUJU</v>
      </c>
    </row>
    <row r="133" spans="1:6" s="69" customFormat="1" ht="103.5" hidden="1" customHeight="1" x14ac:dyDescent="0.3">
      <c r="A133" s="68">
        <f>IF(rekod!B126="","",A132+1)</f>
        <v>120</v>
      </c>
      <c r="B133" s="106" t="str">
        <f>IF(A133="","",UPPER(rekod!B126))</f>
        <v>TETUAN PUSAKA PADU</v>
      </c>
      <c r="C133" s="98" t="str">
        <f>IF(B133="","",rekod!D126)</f>
        <v>MPKj</v>
      </c>
      <c r="D133" s="98">
        <f>IF(B133="","",rekod!E126)</f>
        <v>2015</v>
      </c>
      <c r="E133" s="95" t="str">
        <f>IF(B133="","",rekod!H126)</f>
        <v>Permohonan Kebenaran Merancang Bagi Pembangunan 1 Unit Rumah Sesebuah, 32 Unit Rumah Berkembar &amp; 163 Unit Rumah Teres Serta Cadangan Komuniti Berpagar Dan Berpengawal Di Bawah Seksyen 6(1A) Akta 318 (Akta Hakmilik Strata 1985), Kanun Tanah Negara (KTN), Di Atas Lot 188, Mukim Hulu Langat, Daerah Hulu Langat, Selangor Darul Ehsan.</v>
      </c>
      <c r="F133" s="98" t="str">
        <f>IF(rekod!F126="","",rekod!F126)</f>
        <v>BERSETUJU</v>
      </c>
    </row>
    <row r="134" spans="1:6" s="69" customFormat="1" ht="171.75" hidden="1" customHeight="1" x14ac:dyDescent="0.3">
      <c r="A134" s="68">
        <f>IF(rekod!B127="","",A133+1)</f>
        <v>121</v>
      </c>
      <c r="B134" s="106" t="str">
        <f>IF(A134="","",UPPER(rekod!B127))</f>
        <v>TETUAN HWA HWEE DEVELOPMENT SDN. BHD.</v>
      </c>
      <c r="C134" s="98" t="str">
        <f>IF(B134="","",rekod!D127)</f>
        <v>MPS</v>
      </c>
      <c r="D134" s="98">
        <f>IF(B134="","",rekod!E127)</f>
        <v>2015</v>
      </c>
      <c r="E134" s="95" t="str">
        <f>IF(B134="","",rekod!H127)</f>
        <v>Permohonan Kebenaran Merancang Mengikut Seksyen 21 Akta 172 Bagi Cadangan Pembangunan Yang Mengandungi :
a) 1 Unit Industri Sesebuah (Gudang) – 4 Tkt – Jenis A
b) 4 Unit Industri Berkembar (Gudang) – 4 Tkt – Jenis B
c) 5 Unit Industri Berkembar (Gudang) – 4 Tkt – Jenis C
d) 1 Unit Industri Berkembar (Gudang) – 4 Tkt – Jenis D
e) 1 Unit Pencawang Elektrik Dua Ruang,
Melalui Pecah Sempadan Tanah Di Bawah Seksyen 137 KTN Di Atas PT 9604 (Lot 9604), Mukim Batu, Daerah Gombak, Selangor Darul Ehsan.</v>
      </c>
      <c r="F134" s="98" t="str">
        <f>IF(rekod!F127="","",rekod!F127)</f>
        <v>BERSETUJU</v>
      </c>
    </row>
    <row r="135" spans="1:6" s="69" customFormat="1" ht="133.5" hidden="1" customHeight="1" x14ac:dyDescent="0.3">
      <c r="A135" s="68">
        <f>IF(rekod!B128="","",A134+1)</f>
        <v>122</v>
      </c>
      <c r="B135" s="106" t="str">
        <f>IF(A135="","",UPPER(rekod!B128))</f>
        <v>TETUAN BOUSTEAD PLANTATION BERHAD</v>
      </c>
      <c r="C135" s="98" t="str">
        <f>IF(B135="","",rekod!D128)</f>
        <v>MPKj</v>
      </c>
      <c r="D135" s="98">
        <f>IF(B135="","",rekod!E128)</f>
        <v>2015</v>
      </c>
      <c r="E135" s="95" t="str">
        <f>IF(B135="","",rekod!H128)</f>
        <v xml:space="preserve">Permohonan Kebenaran Merancang Mengikut Seksyen 21, Akta Perancangan Bandar Dan Desa (Akta 172), Bagi Cadangan Projek Pembangunan Kompleks Logistik Tentera Darat Di Atas Sebahagian Lot 37, Sebahagian Lot 932, Sebahagian Lot 1809, Sebahagian Lot 705,Sebahagian Lot 706, Sebahagian Lot 707, Sebahagian Lot 708, Dan Sebahagian Lot 709, Dan Penyerahan Balik Dan Pemberimilikan Semula Di Bawah Seksyen 204D, Kanun Tanah Negara, Mukim Beranang, Daerah Hulu Langat, Selangor Darul Ehsan. </v>
      </c>
      <c r="F135" s="98" t="str">
        <f>IF(rekod!F128="","",rekod!F128)</f>
        <v>BERSETUJU</v>
      </c>
    </row>
    <row r="136" spans="1:6" s="69" customFormat="1" ht="360.75" hidden="1" customHeight="1" x14ac:dyDescent="0.3">
      <c r="A136" s="68">
        <f>IF(rekod!B129="","",A135+1)</f>
        <v>123</v>
      </c>
      <c r="B136" s="106" t="str">
        <f>IF(A136="","",UPPER(rekod!B129))</f>
        <v>TETUAN FOSTER ESTATE SDN. BHD.</v>
      </c>
      <c r="C136" s="98" t="str">
        <f>IF(B136="","",rekod!D129)</f>
        <v>MBPJ</v>
      </c>
      <c r="D136" s="98">
        <f>IF(B136="","",rekod!E129)</f>
        <v>2015</v>
      </c>
      <c r="E136" s="95" t="str">
        <f>IF(B136="","",rekod!H129)</f>
        <v xml:space="preserve">Permohonan Kebenaran Merancang Secara Serentak Mengikut Seksyen 21 (Akta Perancangan Bandar Dan Desa 1976) Bagi Tujuan Penyerahan Balik Dan Pemberimilikan Semula Tanah Mengikut Seksyen 204D (Kanun Tanah Negara 1965) Untuk Pembangunan Mengandungi :-
1) 2 Blok 56-71 Tingkat Pejabat, Hotel Dan Kedai ;
2) 32 Blok 9-66 Tingkat Menara Pejabat/Retail ;
3) 1 Blok Stadium Tertutup
4) 2 Blok Auditorium ;
5) 1 Blok Ski Dome ;
6) 1 Blok 2 Tingkat Taman Tema Tertutup ;
7) 1 Blok 3 Tingkat Kompleks Membeli Belah ;
8) Taman Tema Air ;
9) 144 Unit Kedai Pejabat 2-4 Tingkat ;
10) 1 Blok Dewan Konvensyen ;
Di Atas 3 Tingkat Lower Ground Yang Mengandungi Ruang Perniagaan, Kompleks Bankuet, Konvensyen, Dewan Konsert, Ruang Pameran Dan Tempat Letak Kereta Serta 2 Aras Basement Tempat Letak Kereta Diatas Lot-Lot PT48532 (HS(D)280465), Lot 72102 (PN) 96670 (Lot Lama PT 45310 (HS(D)216331) Dan Lot PT44018 (HS(D)222402), Jalan PJU 8/8, Damansara Perdana, Mukim Sungai Buloh, Daerah Petaling, Selangor Darul Ehsan. </v>
      </c>
      <c r="F136" s="98" t="str">
        <f>IF(rekod!F129="","",rekod!F129)</f>
        <v>BERSETUJU</v>
      </c>
    </row>
    <row r="137" spans="1:6" s="69" customFormat="1" ht="100.5" hidden="1" customHeight="1" x14ac:dyDescent="0.3">
      <c r="A137" s="68">
        <f>IF(rekod!B130="","",A136+1)</f>
        <v>124</v>
      </c>
      <c r="B137" s="106" t="str">
        <f>IF(A137="","",UPPER(rekod!B130))</f>
        <v>TETUAN PERODUA SALES SDN. BHD.</v>
      </c>
      <c r="C137" s="98" t="str">
        <f>IF(B137="","",rekod!D130)</f>
        <v>MDHS</v>
      </c>
      <c r="D137" s="98">
        <f>IF(B137="","",rekod!E130)</f>
        <v>2015</v>
      </c>
      <c r="E137" s="95" t="str">
        <f>IF(B137="","",rekod!H130)</f>
        <v xml:space="preserve">Permohonan Kebenaran Merancang Bagi Cadangan Tambahan Tempat Simpanan Kereta Perodua Secara Terbuka Dan Lain-Lain Kemudahan Berkaitan Serta Permohonan Serah Balik Kurnia Semula Tanah Di Bawah Seksyen 204B, KTN Di Atas PT 16027 (Lot 6346), Mukim Bandar Serendah, Daerah Hulu Selangor, Selangor Darul Ehsan. </v>
      </c>
      <c r="F137" s="98" t="str">
        <f>IF(rekod!F130="","",rekod!F130)</f>
        <v>BERSETUJU</v>
      </c>
    </row>
    <row r="138" spans="1:6" s="69" customFormat="1" ht="146.25" hidden="1" customHeight="1" x14ac:dyDescent="0.3">
      <c r="A138" s="68">
        <f>IF(rekod!B131="","",A137+1)</f>
        <v>125</v>
      </c>
      <c r="B138" s="106" t="str">
        <f>IF(A138="","",UPPER(rekod!B131))</f>
        <v>TETUAN KLANGGROUP PROPERTIES MANAGEMENT SDN. BHD.</v>
      </c>
      <c r="C138" s="98" t="str">
        <f>IF(B138="","",rekod!D131)</f>
        <v>MPAJ</v>
      </c>
      <c r="D138" s="98">
        <f>IF(B138="","",rekod!E131)</f>
        <v>2015</v>
      </c>
      <c r="E138" s="95" t="str">
        <f>IF(B138="","",rekod!H131)</f>
        <v xml:space="preserve">Permohonan Kebenaran Merancang Pelan Susunatur Bagi Membina :-
1) 438 Unit Kondominium Di Parcel 1,
2) 387 Unit Kondominium Di Parcel 2,
3) 390 Unit Kondominium Di Parcel 3,
4) 244 Unit Rumah Selangorku Jenis A Dan 366 Unit Rumah Selangorku Jenis B, C Dan D Di Parcel 4,
Di Atas Lot 4595, 4596, Dan 4597 Bandar Ampang, Daerah Hulu Langat, Selangor Darul Ehsan.  </v>
      </c>
      <c r="F138" s="98" t="str">
        <f>IF(rekod!F131="","",rekod!F131)</f>
        <v>BERSETUJU</v>
      </c>
    </row>
    <row r="139" spans="1:6" s="69" customFormat="1" ht="185.25" hidden="1" customHeight="1" x14ac:dyDescent="0.3">
      <c r="A139" s="68">
        <f>IF(rekod!B132="","",A138+1)</f>
        <v>126</v>
      </c>
      <c r="B139" s="106" t="str">
        <f>IF(A139="","",UPPER(rekod!B132))</f>
        <v>TETUAN PINTAR ARIF SDN. BHD.</v>
      </c>
      <c r="C139" s="98" t="str">
        <f>IF(B139="","",rekod!D132)</f>
        <v>MPAJ</v>
      </c>
      <c r="D139" s="98">
        <f>IF(B139="","",rekod!E132)</f>
        <v>2015</v>
      </c>
      <c r="E139" s="95" t="str">
        <f>IF(B139="","",rekod!H132)</f>
        <v xml:space="preserve">Permohonan Kebenaran Merancang Bagi Cadangan Pembangunan Perumahan Yang Mengandungi:-
A. Blok A – 1 Blok Pangsapuri 16 Tingkat (126 Unit)
B. Blok B – 1 Blok Pangsapuri 14 Tingkat (98 Unit)
C. Blok C – 1 Blok Pangsapuri (Rumah Mampu Milik – Jenis C 12 Tingkat (60 Unit) Di Atas Podium Tempat Letak Kereta 4-5 Tingkat Beserta 18 Unit Pangsapuri (Jenis Duplex)
Di Atas Lot 18621 – Lot 18648 Dan Sebahagian Tanah Kerajaan Seluas 4.82 Ekar, Jalan Ukay Perdana 3/2, Taman Ukay Perdana, Ulu Kelang, Bandar Ulu Kelang, Daerah Gombak, Selangor Darul Ehsan. </v>
      </c>
      <c r="F139" s="98" t="str">
        <f>IF(rekod!F132="","",rekod!F132)</f>
        <v>BERSETUJU</v>
      </c>
    </row>
    <row r="140" spans="1:6" s="69" customFormat="1" ht="99" hidden="1" customHeight="1" x14ac:dyDescent="0.3">
      <c r="A140" s="68">
        <f>IF(rekod!B133="","",A139+1)</f>
        <v>127</v>
      </c>
      <c r="B140" s="106" t="str">
        <f>IF(A140="","",UPPER(rekod!B133))</f>
        <v>PENGURUSAN ASET AIR BHD.</v>
      </c>
      <c r="C140" s="98" t="str">
        <f>IF(B140="","",rekod!D133)</f>
        <v>MPAJ</v>
      </c>
      <c r="D140" s="98">
        <f>IF(B140="","",rekod!E133)</f>
        <v>2015</v>
      </c>
      <c r="E140" s="95" t="str">
        <f>IF(B140="","",rekod!H133)</f>
        <v>Cadangan Pembangunan Loji RawatanAir Langat 2 Dan Sistem Pengagihan Air Di Negeri Selangor Darul Ehsan / Wilayah Persekutuan
-Permohonan Kebenaran Merancang Bagi Pembangunan Kolam Air Ampang Di Atas Sebahagian Lot 947, Lot 47724 Dan Sebahagian Simpanan Jalan / Tanah Kerajaan Di Mukim Ampang, Daerah Hulu Langat, Selangor Darul Ehsan.</v>
      </c>
      <c r="F140" s="98" t="str">
        <f>IF(rekod!F133="","",rekod!F133)</f>
        <v>BERSETUJU</v>
      </c>
    </row>
    <row r="141" spans="1:6" s="69" customFormat="1" ht="98.25" hidden="1" customHeight="1" x14ac:dyDescent="0.3">
      <c r="A141" s="68">
        <f>IF(rekod!B134="","",A140+1)</f>
        <v>128</v>
      </c>
      <c r="B141" s="106" t="str">
        <f>IF(A141="","",UPPER(rekod!B134))</f>
        <v>TETUAN PEMBINAAN JAYA MEGAH</v>
      </c>
      <c r="C141" s="98" t="str">
        <f>IF(B141="","",rekod!D134)</f>
        <v>MBSA</v>
      </c>
      <c r="D141" s="98">
        <f>IF(B141="","",rekod!E134)</f>
        <v>2015</v>
      </c>
      <c r="E141" s="95" t="str">
        <f>IF(B141="","",rekod!H134)</f>
        <v>Permohonan Kebenaran Merancang Bagi Cadangan Pindaan Pelan Terhadap Pelan Susunatur Perumahan Dan Perniagaan Yang Telah Diluluskan (Bil. (10) Dlm. MPS 3/3-120/546 Pind-5 Jld. 1 Bertarikh 16 Julai 2013) Di Atas Lot 982, Sebahagian Lot 1286 Dan Sebahagian Lot 934, Mukim Rawang, Daerah Gombak, Selangor Darul Ehsan.</v>
      </c>
      <c r="F141" s="98" t="str">
        <f>IF(rekod!F134="","",rekod!F134)</f>
        <v>BERSETUJU</v>
      </c>
    </row>
    <row r="142" spans="1:6" s="69" customFormat="1" ht="97.5" hidden="1" customHeight="1" x14ac:dyDescent="0.3">
      <c r="A142" s="68">
        <f>IF(rekod!B135="","",A141+1)</f>
        <v>129</v>
      </c>
      <c r="B142" s="106" t="str">
        <f>IF(A142="","",UPPER(rekod!B135))</f>
        <v>TETUAN PURA DEVELOPMENT SDN. BHD.</v>
      </c>
      <c r="C142" s="98" t="str">
        <f>IF(B142="","",rekod!D135)</f>
        <v>MPS</v>
      </c>
      <c r="D142" s="98">
        <f>IF(B142="","",rekod!E135)</f>
        <v>2015</v>
      </c>
      <c r="E142" s="95" t="str">
        <f>IF(B142="","",rekod!H135)</f>
        <v>Permohonan Kebenaran Merancang Bagi Cadangan Pindaan Pelan Terhadap Pelan Susunatur Perumahan Dan Perniagaan Yang Telah Diluluskan (Bil. (10) Dlm. MPS 3/3-120/546 Pind-5 Jld. 1 Bertarikh 16 Julai 2013) Di Atas Lot 982, Sebahagian Lot 1286 Dan Sebahagian Lot 934, Mukim Rawang, Daerah Gombak, Selangor Darul Ehsan.</v>
      </c>
      <c r="F142" s="98" t="str">
        <f>IF(rekod!F135="","",rekod!F135)</f>
        <v>DITOLAK</v>
      </c>
    </row>
    <row r="143" spans="1:6" s="69" customFormat="1" ht="208.5" hidden="1" customHeight="1" x14ac:dyDescent="0.3">
      <c r="A143" s="68">
        <f>IF(rekod!B136="","",A142+1)</f>
        <v>130</v>
      </c>
      <c r="B143" s="106" t="str">
        <f>IF(A143="","",UPPER(rekod!B136))</f>
        <v>TETUAN : TPPT SDN. BHD. (TEMASEK EKSKLUSIF SDN. BHD.)</v>
      </c>
      <c r="C143" s="98" t="str">
        <f>IF(B143="","",rekod!D136)</f>
        <v>MPS</v>
      </c>
      <c r="D143" s="98">
        <f>IF(B143="","",rekod!E136)</f>
        <v>2015</v>
      </c>
      <c r="E143" s="95" t="str">
        <f>IF(B143="","",rekod!H136)</f>
        <v>Cadangan Permohonan Kelulusan Pindaan Pelan Induk Bukit Serai Di Atas Lot-Lot 3804, Lot 35190 (3805), Lot 3806, Lot 3807, Lot 35193 (3808), Lot 35192 (3812), Lot 35191 (3813), Lot 35182 (3814), Lot 35183 (3815), Lot 3817, Lot 35188 (3818), Lot 35185 (3819), Lot 35184 (3820), Lot 3821, Lot 35189 (3822), Lot 3823, Lot 3825 Hingga Lot 3829, Lot 35180 (3831), Lot 35181(3832), Lot 35179 (3833), Lot 3836 Hingga Lot 3838, Lot 4158 Hingga Lot 4180, Lot 4182 Hingga Lot 4192, Lot 4195, Lot 4196, Lot 4284 Hingga Lot 4288, Lot 4494 Hingga Lot 4513, Lot 4515 Hingga Lot 4556, Lot 4379, Lot 4822 Hingga Lot 4825, Lot 26367 Hingga Lot 26370, Lot 84171 Hingga Lot 84174, Lot 84184 Hingga Lot 84186, Lot 84298, Lot 84299, Lot 84306, Lot 84311, Lot 84500 Dan Di Atas Sebahagian Tanah Kerajaan, Mukim Rawang, Daerah Gombak, Selangor Darul Ehsan.</v>
      </c>
      <c r="F143" s="98" t="str">
        <f>IF(rekod!F136="","",rekod!F136)</f>
        <v>BERSETUJU</v>
      </c>
    </row>
    <row r="144" spans="1:6" s="69" customFormat="1" ht="186" hidden="1" customHeight="1" x14ac:dyDescent="0.3">
      <c r="A144" s="68">
        <f>IF(rekod!B137="","",A143+1)</f>
        <v>131</v>
      </c>
      <c r="B144" s="106" t="str">
        <f>IF(A144="","",UPPER(rekod!B137))</f>
        <v xml:space="preserve">TETUAN : REMEDIA SDN. BHD. </v>
      </c>
      <c r="C144" s="98" t="str">
        <f>IF(B144="","",rekod!D137)</f>
        <v>MBPJ</v>
      </c>
      <c r="D144" s="98">
        <f>IF(B144="","",rekod!E137)</f>
        <v>2015</v>
      </c>
      <c r="E144" s="95" t="str">
        <f>IF(B144="","",rekod!H137)</f>
        <v xml:space="preserve">Permohonan Kebenaran Merancang Bagi Membina 6 Unit Rumah Kediaman Sesebuah :-
i. 4 Unit Rumah Kediaman 3 Tingkat Dengan 2 Tingkat Aras Tanah Dan 1 Tingkat Aras Bawah Tanah
ii. 1 Unit Rumah Kediaman 5 Tingkat Dengan 2 Tingkat Aras Atas Tanah Dan 3 Tingkat Aras Bawah Tanah.
iii. 1 Unit Rumah Kediaman 3 Tingkat Dengan 3 Tingkat Aras Atas Tanah
Dan Permohonan Serah Balik Dan Kurnia Semula Di Bawah Seksyen 204d Kanun Tanah Negara, Di Atas Lot 165 Dan Lot 166, Jalan 5/66, Seksyen 19, Bandar Petaling Jaya, Mukim Petaling, Daerah Petaling, Selangor Darul Ehsan. </v>
      </c>
      <c r="F144" s="98" t="str">
        <f>IF(rekod!F137="","",rekod!F137)</f>
        <v>BERSETUJU</v>
      </c>
    </row>
    <row r="145" spans="1:6" s="69" customFormat="1" ht="120.75" hidden="1" customHeight="1" x14ac:dyDescent="0.3">
      <c r="A145" s="68">
        <f>IF(rekod!B138="","",A144+1)</f>
        <v>132</v>
      </c>
      <c r="B145" s="106" t="str">
        <f>IF(A145="","",UPPER(rekod!B138))</f>
        <v>TETUAN : BOUSTEAD BALAU SDN. BHD.</v>
      </c>
      <c r="C145" s="98" t="str">
        <f>IF(B145="","",rekod!D138)</f>
        <v>MPKj</v>
      </c>
      <c r="D145" s="98">
        <f>IF(B145="","",rekod!E138)</f>
        <v>2015</v>
      </c>
      <c r="E145" s="95" t="str">
        <f>IF(B145="","",rekod!H138)</f>
        <v xml:space="preserve">Permohonan Kebenaran Merancang Pelan Susunatur Dan Permohonan Penyerahan Balik Di Bawah Seksyen 197 Kanun Tanah Negara Ke Atas Lot 129, 574, Sebahagian Dari Lot 656, Lot 977 Dan Lot 1671, Mukim Semenyih, Lot 37, 1808 Dan Sebahagian Dari Lot 1809, Mukim Beranang, Taman Mutiara Hills, Daerah Hulu Langat, Selangor Darul Ehsan, Dan Pemberimilikan Semula Tanah Di Bawah Seksyen 76 Kanun Tanah Negara. </v>
      </c>
      <c r="F145" s="98" t="str">
        <f>IF(rekod!F138="","",rekod!F138)</f>
        <v>BERSETUJU</v>
      </c>
    </row>
    <row r="146" spans="1:6" s="69" customFormat="1" ht="69" hidden="1" customHeight="1" x14ac:dyDescent="0.3">
      <c r="A146" s="68">
        <f>IF(rekod!B139="","",A145+1)</f>
        <v>133</v>
      </c>
      <c r="B146" s="106" t="str">
        <f>IF(A146="","",UPPER(rekod!B139))</f>
        <v>TETUAN GENTING DEVELOPMENTS SDN. BHD.</v>
      </c>
      <c r="C146" s="98" t="str">
        <f>IF(B146="","",rekod!D139)</f>
        <v>MDHS</v>
      </c>
      <c r="D146" s="98">
        <f>IF(B146="","",rekod!E139)</f>
        <v>2016</v>
      </c>
      <c r="E146" s="95" t="str">
        <f>IF(B146="","",rekod!H139)</f>
        <v xml:space="preserve">Permohonan Kebenaran Merancang Pendirian Bangunan Bagi Cadangan Membina 2 Unit Rumah Sesebuah Di Atas Pt 3690, Genting Highlands, Mukim Batang Kali, Daerah Hulu Selangor, Selangor Darul Ehsan. </v>
      </c>
      <c r="F146" s="98" t="str">
        <f>IF(rekod!F139="","",rekod!F139)</f>
        <v>DITANGGUHKAN</v>
      </c>
    </row>
    <row r="147" spans="1:6" s="69" customFormat="1" ht="135.75" hidden="1" customHeight="1" x14ac:dyDescent="0.3">
      <c r="A147" s="68">
        <f>IF(rekod!B140="","",A146+1)</f>
        <v>134</v>
      </c>
      <c r="B147" s="106" t="str">
        <f>IF(A147="","",UPPER(rekod!B140))</f>
        <v>TETUAN LEMBAGA PENGELOLA SEKOLAH, SEK. JENIS 
KEB. (TAMIL) CASTLEFIELD PUCHONG.</v>
      </c>
      <c r="C147" s="98" t="str">
        <f>IF(B147="","",rekod!D140)</f>
        <v>MPSJ</v>
      </c>
      <c r="D147" s="98">
        <f>IF(B147="","",rekod!E140)</f>
        <v>2016</v>
      </c>
      <c r="E147" s="95" t="str">
        <f>IF(B147="","",rekod!H140)</f>
        <v xml:space="preserve">Permohonan Kebenaran Merancang Pendirian Bangunan Bagi Cadangan Pembangunan Sebuah Sekolah Jenis Kebangsaan (Tamil) Castlefield Yang Mengandungi Fasa 1: Blok Bangunan 4 Tingkat Pentadbiran &amp; Akademik, 1 Unit Pondok Pengawal, 1 Unit Rumah Sampah, 1 Unit Rumah Pam,  1 Unit Pencawang TNB, Fasa 2: Dewan Serbaguna Dan Padang Di Atas Lot 133, Jalan Wawasan 4/12, Pusat Bandar Puchong, Mukim Petaling, Daerah Petaling, Selangor Darul Ehsan. </v>
      </c>
      <c r="F147" s="98" t="str">
        <f>IF(rekod!F140="","",rekod!F140)</f>
        <v>BERSETUJU</v>
      </c>
    </row>
    <row r="148" spans="1:6" s="69" customFormat="1" ht="97.5" hidden="1" customHeight="1" x14ac:dyDescent="0.3">
      <c r="A148" s="68">
        <f>IF(rekod!B141="","",A147+1)</f>
        <v>135</v>
      </c>
      <c r="B148" s="106" t="str">
        <f>IF(A148="","",UPPER(rekod!B141))</f>
        <v>TETUAN KEMENTERIAN PERTAHANAN MALAYSIA</v>
      </c>
      <c r="C148" s="98" t="str">
        <f>IF(B148="","",rekod!D141)</f>
        <v>MDHS</v>
      </c>
      <c r="D148" s="98">
        <f>IF(B148="","",rekod!E141)</f>
        <v>2016</v>
      </c>
      <c r="E148" s="95" t="str">
        <f>IF(B148="","",rekod!H141)</f>
        <v xml:space="preserve">Permohonan Kebenaran Merancang Mengikut Seksyen 21, Akta Perancangan Bandar Dan Desa (Akta 172), Bagi Cadangan Projek Pembangunan 91 Rejimen Askar Jurutera Diraja Dan 92 SKN Rejimen Askar Jurutera Diraja Di Atas PT 24, Mukim Buloh Telor Dan PT 794, Bandar Kuala Kubu Bharu, Daerah Ulu Selangor, Selangor Darul Ehsan. </v>
      </c>
      <c r="F148" s="98" t="str">
        <f>IF(rekod!F141="","",rekod!F141)</f>
        <v>BERSETUJU</v>
      </c>
    </row>
    <row r="149" spans="1:6" s="69" customFormat="1" ht="80.25" hidden="1" customHeight="1" x14ac:dyDescent="0.3">
      <c r="A149" s="68">
        <f>IF(rekod!B142="","",A148+1)</f>
        <v>136</v>
      </c>
      <c r="B149" s="106" t="str">
        <f>IF(A149="","",UPPER(rekod!B142))</f>
        <v>TETUAN SALAK LAND SDN. BHD.</v>
      </c>
      <c r="C149" s="98" t="str">
        <f>IF(B149="","",rekod!D142)</f>
        <v>MDKL</v>
      </c>
      <c r="D149" s="98">
        <f>IF(B149="","",rekod!E142)</f>
        <v>2016</v>
      </c>
      <c r="E149" s="95" t="str">
        <f>IF(B149="","",rekod!H142)</f>
        <v>Permohonan Kebenaran Merancang Mengikut Seksyen 21, Akta 172, Bagi Tujuan Serah Milik Dan Berimilik Semula Tanah Di Bawah Seksyen 204D, Kanun Tanah Negara, Di Atas PT 8959 HS(D) 5289, Mukim Tanjung Dua Belas, Daerah Kuala Langat, Selangor Darul Ehsan.</v>
      </c>
      <c r="F149" s="98" t="str">
        <f>IF(rekod!F142="","",rekod!F142)</f>
        <v>BERSETUJU</v>
      </c>
    </row>
    <row r="150" spans="1:6" s="69" customFormat="1" ht="71.25" hidden="1" customHeight="1" x14ac:dyDescent="0.3">
      <c r="A150" s="68">
        <f>IF(rekod!B143="","",A149+1)</f>
        <v>137</v>
      </c>
      <c r="B150" s="106" t="str">
        <f>IF(A150="","",UPPER(rekod!B143))</f>
        <v>TETUAN SERIEMAS DEVELOPMENT SDN. BHD.</v>
      </c>
      <c r="C150" s="98" t="str">
        <f>IF(B150="","",rekod!D143)</f>
        <v>MPKj</v>
      </c>
      <c r="D150" s="98">
        <f>IF(B150="","",rekod!E143)</f>
        <v>2016</v>
      </c>
      <c r="E150" s="95" t="str">
        <f>IF(B150="","",rekod!H143)</f>
        <v xml:space="preserve">Permohonan Kebenaran Merancang Bagi Pelan Susunatur Untuk Cadangan Pembangunan Bercampur Di Atas Lot 1913, Ladang Bangi, Mukim Semenyih, Daerah Hulu Langat, Selangor Darul Ehsan. </v>
      </c>
      <c r="F150" s="98" t="str">
        <f>IF(rekod!F143="","",rekod!F143)</f>
        <v>DITANGGUHKAN</v>
      </c>
    </row>
    <row r="151" spans="1:6" s="69" customFormat="1" ht="106.5" hidden="1" customHeight="1" x14ac:dyDescent="0.3">
      <c r="A151" s="68">
        <f>IF(rekod!B144="","",A150+1)</f>
        <v>138</v>
      </c>
      <c r="B151" s="106" t="str">
        <f>IF(A151="","",UPPER(rekod!B144))</f>
        <v>TETUAN STAR VIEW SUMMIT SDN. BHD.</v>
      </c>
      <c r="C151" s="98" t="str">
        <f>IF(B151="","",rekod!D144)</f>
        <v>MPAJ</v>
      </c>
      <c r="D151" s="98">
        <f>IF(B151="","",rekod!E144)</f>
        <v>2016</v>
      </c>
      <c r="E151" s="95" t="str">
        <f>IF(B151="","",rekod!H144)</f>
        <v>Permohonan Kebenaran Merancang bagi Cadangan Membina I) 4 Blok Pangsapuri 28 Tingkat (608 unit) Dan 1 Blok Pangsapuri Rumah Selangorku Jenis C 31 Tingkat (261 Unit) Termasuk Podium Kemudahan &amp; Tempat Letak Kereta Bertingkat Di Atas Sebahagian PT 9772 &amp; Sebahagian PT9775, Taman Mulia Jaya, Seksyen 15, Mukim Ampang, Daerah Hulu Langat, Selangor Darul Ehsan</v>
      </c>
      <c r="F151" s="98" t="str">
        <f>IF(rekod!F144="","",rekod!F144)</f>
        <v>TARIK DIRI</v>
      </c>
    </row>
    <row r="152" spans="1:6" s="69" customFormat="1" ht="255" hidden="1" customHeight="1" x14ac:dyDescent="0.3">
      <c r="A152" s="68">
        <f>IF(rekod!B145="","",A151+1)</f>
        <v>139</v>
      </c>
      <c r="B152" s="106" t="str">
        <f>IF(A152="","",UPPER(rekod!B145))</f>
        <v>TETUAN PERTUBUHAN AKHLAK MAITREYA MALAYSIA</v>
      </c>
      <c r="C152" s="98" t="str">
        <f>IF(B152="","",rekod!D145)</f>
        <v>MDHS</v>
      </c>
      <c r="D152" s="98">
        <f>IF(B152="","",rekod!E145)</f>
        <v>2016</v>
      </c>
      <c r="E152" s="95" t="str">
        <f>IF(B152="","",rekod!H145)</f>
        <v>Permohonan Kebenaran Merancang Di Bawah Seksyen 21 (1) Akta 172 Bagi Tujuan Tukar Syarat Tanah Dan Pecah Sempadan Di Bawah Seksyen 124A KTN Untuk Cadangan Membina Sebuah Pusat Pengajian Akhlak Dan Seni Kasih Alam Semesta (Institusi) Yang Mengandungi :-
A) Aras Bawah Tanah (2 Tingkat) – Ruang Makan
B) Aras Bawah – Dewan Perhimpunan
C) ArasI  – Dewan Kuliah
D) Aras II – Bilik Mesyuarat Dan Perpustakaan
E) Aras III – Asrama
F) Aras IV – Asrama
G) Aras V – Asrama
H) Aras VI – Asrama
Di Atas Sebahagian Lot 654, Mukim Kerling, Daerah Hulu Selangor, Selangor Darul Ehsan.</v>
      </c>
      <c r="F152" s="98" t="str">
        <f>IF(rekod!F145="","",rekod!F145)</f>
        <v>DITANGGUHKAN</v>
      </c>
    </row>
    <row r="153" spans="1:6" s="69" customFormat="1" ht="409.5" hidden="1" customHeight="1" x14ac:dyDescent="0.3">
      <c r="A153" s="68">
        <f>IF(rekod!B146="","",A152+1)</f>
        <v>140</v>
      </c>
      <c r="B153" s="106" t="str">
        <f>IF(A153="","",UPPER(rekod!B146))</f>
        <v>TETUAN KEMARIS RESIDENCES SDN. BHD.</v>
      </c>
      <c r="C153" s="98" t="str">
        <f>IF(B153="","",rekod!D146)</f>
        <v>MPSJ</v>
      </c>
      <c r="D153" s="98">
        <f>IF(B153="","",rekod!E146)</f>
        <v>2016</v>
      </c>
      <c r="E153" s="95" t="str">
        <f>IF(B153="","",rekod!H146)</f>
        <v>Permohonan Pindaan Kebenaran Merancang Bagi Pelan Yang Telah Diluluskan Oleh Jawatankuasa Teknikal Kawasan Sensitif Alam Sekitar (JTPKSAS) Bagi Cadangan Pembangunan Perumahan Bercampur Di Bawah Akta Hakmilik Strata, 1985 (Akta 318) Sejumlah 700 Unit Yang Mengandungi :
FASA 1 (101 UNIT)
a) Rumah Teres 3 Tingkat Sejumlah 101 Unit Terdiri Dari Jenis A (23’x70’) 61 Unit, Jenis A1 (31’x70’) 6 Unit, Jenis A2 (23’x75’) 12 Unit, Jenis A3 (34’x75’) 4 Unit, Jenis A4 (35’x81’) 1 Unit, Jenis A5 (24’x81’) 2 Unit, Jenis B (23’x75’) 11 Unit, Jenis B1 (34’x75’) 2 Unit, Jenis B2 (24’x81’) 1 Unit, Dan Jenis B3 (35’x81’) 1 Unit
b) 1 Unit Surau Di Aras Tanah
c) 1 Unit Bilik Utiliti Di Aras Tanah
d) 1 Unit Pondok Pengawal Di Laluan Masuk Utama
FASA 2 (599 Unit)
a) Menara A, 26 Tingkat 374 Unit (Pangsapuri Kos Bebas Jenis A, 136 Unit; Jenis B, 47 Unit; Jenis C, 186 Unit; Jenis A1, 2 Unit; Jenis B1, 1 Unit; Dan Jenis C1, 2 Unit) Di Tingkat 3 – Tingkat 26 (24 Tingkat)
b) Menara B, 24 Tingkat 171 Unit (Pangsapuri Kos Bebas Jenis D, 86 Unit; Jenis E, 83 Unit; Jenis D1, 2 Unit) Di Tingkat 3 – Tingkat 24 (22 Tingkat)
c) Pangsapuri Kos Bebas Jenis F, 15 Unit Di Tingkat 3 (Podium) Tempat Letak Kenderaan Di Tingkat Bawah Rendah 3 – Tingkat 2 (6 Tingkat)d) 1 Unit Pusat Komuniti Dan Kolam Renang Di Tingkat 3 (Podium)
e) Rumah Teres 3 Tingkat Sejumlah 15 Unit Terdiri Dari Jenis B (23’ x 75’) 13 Unit Dan Jenis B1 (34’ x 75’), 2 Unit
f) Rumah Teres 2 Tingkat Sejumlah 24 Unit Terdiri Dari Jenis C (22’x58’) 22 Unit Dan Jenis C (33’x58’), 2 Unit
Diatas Lot 93720 Yang Dahulunya Dikenali Sebagai Lot PT 56723 (H.S.(D) 241758), Jalan Equine, Taman Equine, Bandar Putra Permai, Mukim Petaling, Daerah Petaling, Selangor Darul Ehsan</v>
      </c>
      <c r="F153" s="98" t="str">
        <f>IF(rekod!F146="","",rekod!F146)</f>
        <v>BERSETUJU</v>
      </c>
    </row>
    <row r="154" spans="1:6" s="69" customFormat="1" ht="96.75" hidden="1" customHeight="1" x14ac:dyDescent="0.3">
      <c r="A154" s="68">
        <f>IF(rekod!B147="","",A153+1)</f>
        <v>141</v>
      </c>
      <c r="B154" s="106" t="str">
        <f>IF(A154="","",UPPER(rekod!B147))</f>
        <v>TETUAN PURA DEVELOPMENT SDN. BHD.</v>
      </c>
      <c r="C154" s="98" t="str">
        <f>IF(B154="","",rekod!D147)</f>
        <v>MPS</v>
      </c>
      <c r="D154" s="98">
        <f>IF(B154="","",rekod!E147)</f>
        <v>2016</v>
      </c>
      <c r="E154" s="95" t="str">
        <f>IF(B154="","",rekod!H147)</f>
        <v>Permohonan Kebenaran Merancang Bagi Cadangan Pindaan Pelan Terhadap Pelan Susunatur Perumahan Dan Perniagaan Yang Telah Diluluskan (Bil. (10) Dlm. MPS 3/3-120/546 Pind-5 Jld. 1 Bertarikh 16 Julai 2013) Di Atas Lot 982, Sebahagian Lot 1286 Dan Sebahagian Lot 934, Mukim Rawang, Daerah Gombak, Selangor Darul Ehsan</v>
      </c>
      <c r="F154" s="98" t="str">
        <f>IF(rekod!F147="","",rekod!F147)</f>
        <v>BERSETUJU</v>
      </c>
    </row>
    <row r="155" spans="1:6" s="69" customFormat="1" ht="121.5" hidden="1" customHeight="1" x14ac:dyDescent="0.3">
      <c r="A155" s="68">
        <f>IF(rekod!B148="","",A154+1)</f>
        <v>142</v>
      </c>
      <c r="B155" s="106" t="str">
        <f>IF(A155="","",UPPER(rekod!B148))</f>
        <v>TETUAN SIME DARBY LANDSCAPPING SDN. BHD.</v>
      </c>
      <c r="C155" s="98" t="str">
        <f>IF(B155="","",rekod!D148)</f>
        <v>MPS</v>
      </c>
      <c r="D155" s="98">
        <f>IF(B155="","",rekod!E148)</f>
        <v>2017</v>
      </c>
      <c r="E155" s="95" t="str">
        <f>IF(B155="","",rekod!H148)</f>
        <v xml:space="preserve">Permohonan Kebenaran Merancang Di Bawah Seksyen 21, Akta Perancangan Bandar Dan Desa 1976 (Akta 172) Bagi Cadangan Pelan Induk Pembangunan Bercampur Di Atas Lot 482, 484, 640, 688, 1423, 1424, 1000, 1020, &amp; 2021, 1023, 1024, 1427, 1430, 1433 &amp; 1876, 1434,1436, 1437, 1439, 1440, 4157, 35227, 15361, 15360, 15359, Dan 15358, Mukim Rawang, Lot 488, 489, 497,Dan 498, pekan Kuang, Daerah Gombak, Selangor Darul Ehsan. </v>
      </c>
      <c r="F155" s="98" t="str">
        <f>IF(rekod!F148="","",rekod!F148)</f>
        <v>BERSETUJU</v>
      </c>
    </row>
    <row r="156" spans="1:6" s="69" customFormat="1" ht="222" hidden="1" customHeight="1" x14ac:dyDescent="0.3">
      <c r="A156" s="68">
        <f>IF(rekod!B149="","",A155+1)</f>
        <v>143</v>
      </c>
      <c r="B156" s="106" t="str">
        <f>IF(A156="","",UPPER(rekod!B149))</f>
        <v>TETUAN ZAMRI BIN MAPUL &amp; JELITA MEGAMAS SDN. BHD.</v>
      </c>
      <c r="C156" s="98" t="str">
        <f>IF(B156="","",rekod!D149)</f>
        <v>MPS</v>
      </c>
      <c r="D156" s="98">
        <f>IF(B156="","",rekod!E149)</f>
        <v>2017</v>
      </c>
      <c r="E156" s="95" t="str">
        <f>IF(B156="","",rekod!H149)</f>
        <v>Permohonan Kebenaran Merancang Bagi Kelulusan Pelan Susunatur Ke Atas Cadangan Pembangunan :
i) 120 Unit – Pangsapuri PPA1m &amp; Rumah Selangorku (18 Tingkat) – Blok A
Yang Mengandungi :
i. 24 Unit Rumah Selangorku
ii. 96 Unit Pangsapuri PPA1M – Di Blok A Serta 7 Tingkat Ruang Tempat Letak Kereta Bertingkat (Aras Tanah Hingga Aras 6) Dan Kemudahan Surau Dewan Komuniti, Tadika, Kafeteria Dan Lain-Lain (Aras 7) Serta Pondok Pengawal
Secara ‘Guarded &amp; Gated’ Serentak Dengan Serahbalik Dan Berimilikan Semula Tanah Di Bawah Seksyen 204D, Kanun Tanah Negara, Di Atas Lot 37440 (Tanah simpanan Melayu), Kanching, Mukim Rawang, Daerah Gombak, Majlis Perbandaran Selayang, Selangor Darul Ehsan</v>
      </c>
      <c r="F156" s="98" t="str">
        <f>IF(rekod!F149="","",rekod!F149)</f>
        <v>BERSETUJU</v>
      </c>
    </row>
    <row r="157" spans="1:6" s="69" customFormat="1" ht="273.75" hidden="1" customHeight="1" x14ac:dyDescent="0.3">
      <c r="A157" s="68">
        <f>IF(rekod!B150="","",A156+1)</f>
        <v>144</v>
      </c>
      <c r="B157" s="106" t="str">
        <f>IF(A157="","",UPPER(rekod!B150))</f>
        <v>TETUAN JELITA MEGAMAS SDN. BHD.</v>
      </c>
      <c r="C157" s="98" t="str">
        <f>IF(B157="","",rekod!D150)</f>
        <v>MPS</v>
      </c>
      <c r="D157" s="98">
        <f>IF(B157="","",rekod!E150)</f>
        <v>2017</v>
      </c>
      <c r="E157" s="95" t="str">
        <f>IF(B157="","",rekod!H150)</f>
        <v>Permohonan Kebenaran Merancang Bagi Kelulusan Pelan Susunatur Ke Atas Cadangan Pembangunan :
i. Lot 1327 &amp; Lot 1328 – 540 Unit Pangsapuri PPA1M &amp; Rumah Selangorku (45 Tingkat) – Blok B
ii. Sebahagian Lot 1331 – 1 Unit MSTP
Yang Mengandungi :
i. 108 Unit – Rumah Selangorku
ii. 432 Unit Pangsapuri PPA1M Di Blok B Serta 14 Tingkat Ruang Tempat Letak Kereta Bertingkat (Aras Tanah Hingga Aras 13) Dan Kemudahan Surau, Dewan Komuniti, Tadika, Kafeteria Dan Lain-Lain (Aras 14) Serta Pondok Pengawal
iii. 1 Unit MSTP
Secara ‘Guarded &amp; Gated’ Serentak Dengan Serahbalik Dan Berimilikan Semula Tanah Di Bawah Seksyen 204D, Kanun Tanah Negara, Di Atas Lot
1327, Lot 1328 Dan Sebahagian Lot 1331, Kanching, Mukim Rawang, Daerah Gombak, Majlis Perbandaran Selayang, Selangor Darul Ehsan</v>
      </c>
      <c r="F157" s="98" t="str">
        <f>IF(rekod!F150="","",rekod!F150)</f>
        <v>BERSETUJU</v>
      </c>
    </row>
    <row r="158" spans="1:6" s="69" customFormat="1" ht="81" hidden="1" customHeight="1" x14ac:dyDescent="0.3">
      <c r="A158" s="68">
        <f>IF(rekod!B151="","",A157+1)</f>
        <v>145</v>
      </c>
      <c r="B158" s="106" t="str">
        <f>IF(A158="","",UPPER(rekod!B151))</f>
        <v>TETUAN PENGURUSAN ASET AIR BERHAD (KOLAM AIR BKT JALIL)</v>
      </c>
      <c r="C158" s="98" t="str">
        <f>IF(B158="","",rekod!D151)</f>
        <v>MPSJ</v>
      </c>
      <c r="D158" s="98">
        <f>IF(B158="","",rekod!E151)</f>
        <v>2017</v>
      </c>
      <c r="E158" s="95" t="str">
        <f>IF(B158="","",rekod!H151)</f>
        <v>Permohonan Kebenaran Merancang Bagi Cadangan Pembangunan Kolam Air Bukit Jalil Di Atas Lot 2161, 2162, 2163, 2164, 2165, 2166, 2167, 2168, 2169, 2170, 2171, 2172, 2311, Dan Sebahagian Lot 2309 Di Taman Serdang Height Seksyen 7, 43300 Seri Kembangan, Mukim Petaling, Daerah Petaling, Selangor Darul Ehsan</v>
      </c>
      <c r="F158" s="98" t="str">
        <f>IF(rekod!F151="","",rekod!F151)</f>
        <v>BERSETUJU</v>
      </c>
    </row>
    <row r="159" spans="1:6" s="69" customFormat="1" ht="203.25" hidden="1" customHeight="1" x14ac:dyDescent="0.3">
      <c r="A159" s="68">
        <f>IF(rekod!B152="","",A158+1)</f>
        <v>146</v>
      </c>
      <c r="B159" s="106" t="str">
        <f>IF(A159="","",UPPER(rekod!B152))</f>
        <v>TETUAN CYPARK RESOURCES BERHAD.</v>
      </c>
      <c r="C159" s="98" t="str">
        <f>IF(B159="","",rekod!D152)</f>
        <v>MPKj</v>
      </c>
      <c r="D159" s="98">
        <f>IF(B159="","",rekod!E152)</f>
        <v>2017</v>
      </c>
      <c r="E159" s="95" t="str">
        <f>IF(B159="","",rekod!H152)</f>
        <v>Permohonan Kebenaran Merancang Bagi Membina 2 Blok Pangsapuri 518 Unit Yang Terdiri Daripada :
1. Nlok A – 264 Unit Pangsapuri 21 Tingkat Dan Blok B – 254 Unit 20 Tingkat Termasuk 5 Tingkat Podium Tempat Letak Kereta Dan Kemudahannya,
2. 3 Unit Pencawang Elektrik,
3. 2 Unit Kebuk Sampah &amp;
4. 1 Unit Pondok Pengawal
Secara Serah Balik Dan Berimilikan Semula Di Bawah Seksyen 204B Kanun Tanah Negara, Di Atas Lot 2425 Dan 2426, Kawasan Simpanan Melayu Bukit Enggang, Jalan Desa Budiman, Bandar Sungai Long, Mukim Hulu Langat, Daerah Hulu Langat,, Selangor Darul Ehsan.</v>
      </c>
      <c r="F159" s="98" t="str">
        <f>IF(rekod!F152="","",rekod!F152)</f>
        <v>DITOLAK</v>
      </c>
    </row>
    <row r="160" spans="1:6" s="69" customFormat="1" ht="207" hidden="1" customHeight="1" x14ac:dyDescent="0.3">
      <c r="A160" s="68">
        <f>IF(rekod!B153="","",A159+1)</f>
        <v>147</v>
      </c>
      <c r="B160" s="106" t="str">
        <f>IF(A160="","",UPPER(rekod!B153))</f>
        <v>TETUAN MAGNA FORUM SDN. BHD.</v>
      </c>
      <c r="C160" s="98" t="str">
        <f>IF(B160="","",rekod!D153)</f>
        <v>MPS</v>
      </c>
      <c r="D160" s="98">
        <f>IF(B160="","",rekod!E153)</f>
        <v>2017</v>
      </c>
      <c r="E160" s="95" t="str">
        <f>IF(B160="","",rekod!H153)</f>
        <v>Permohonan Kebenaran Merancang Bagi Tujuan Tukar Syarat Dan Pecah Sempadan Di Bawah Seksyen 124 (A) KTN Daripada Pertanian Kepada Bangunan (Perniagaan) Bagi Cadangan Pembangunan 1 Blok SOHO 29 Tingkat Dan 1 Blok Pangsapuri Perkhidmatan 30 Tingkat Di Atas 1 Blok Podium Yang Mengandungi :-
i. 1 Blok SOHO (20 Tingkat Aras Kediaman)
ii. 1 Blok Pangsapuri Perkhidmatan (20 Tingkat Aras Kediaman Dan 1 Tingkat Aras Fasiliti)
iii. 1 Blok Podium Tempat Letak Kereta (1 Tingkat Aras Fasiliti Dan Kemudahan &amp; 8 Tingkat Aras Tempat Letak Kenderaan)
Di Atas Lot 1342, Mukim Rawang, Daerah Gombak, Selangor Darul Ehsan</v>
      </c>
      <c r="F160" s="98" t="str">
        <f>IF(rekod!F153="","",rekod!F153)</f>
        <v>DITOLAK</v>
      </c>
    </row>
    <row r="161" spans="1:6" s="69" customFormat="1" ht="99.75" hidden="1" customHeight="1" x14ac:dyDescent="0.3">
      <c r="A161" s="68">
        <f>IF(rekod!B154="","",A160+1)</f>
        <v>148</v>
      </c>
      <c r="B161" s="106" t="str">
        <f>IF(A161="","",UPPER(rekod!B154))</f>
        <v>TETUAN JENTERA JATI SDN. BHD.</v>
      </c>
      <c r="C161" s="98" t="str">
        <f>IF(B161="","",rekod!D154)</f>
        <v>MDHS</v>
      </c>
      <c r="D161" s="98">
        <f>IF(B161="","",rekod!E154)</f>
        <v>2017</v>
      </c>
      <c r="E161" s="95" t="str">
        <f>IF(B161="","",rekod!H154)</f>
        <v xml:space="preserve">Permohonan Kebenaran Merancang Bagi Serah Balik Dan Berimilikan Semula Tanah Di Bawah Seksyen 204B, Kanun Tanah Negara, Bagi Cadangan Pembangunan Kem Baru Tentera Darat Malaysia Di Atas Lot 1112 Dan Sebahagian Lot 1814, Mukim Serendah, Daerah Hulu Selangor, Selangor Darul Ehsan. </v>
      </c>
      <c r="F161" s="98" t="str">
        <f>IF(rekod!F154="","",rekod!F154)</f>
        <v>BERSETUJU</v>
      </c>
    </row>
    <row r="162" spans="1:6" s="69" customFormat="1" ht="188.25" hidden="1" customHeight="1" x14ac:dyDescent="0.3">
      <c r="A162" s="68">
        <f>IF(rekod!B155="","",A161+1)</f>
        <v>149</v>
      </c>
      <c r="B162" s="106" t="str">
        <f>IF(A162="","",UPPER(rekod!B155))</f>
        <v>TETUAN UNTUNG UTAMA SDN. BHD.</v>
      </c>
      <c r="C162" s="98" t="str">
        <f>IF(B162="","",rekod!D155)</f>
        <v>MPS</v>
      </c>
      <c r="D162" s="98">
        <f>IF(B162="","",rekod!E155)</f>
        <v>2017</v>
      </c>
      <c r="E162" s="95" t="str">
        <f>IF(B162="","",rekod!H155)</f>
        <v xml:space="preserve">Cadangan Pembangunan Perumahan Bercampur Yang Mengandungi:-
i. Parcel A : 2 Block Pangsapuri 22 Dan 24 Tingkat (455 Unit) Di Atas 1 Tingkat Kemudahan Penduduk Dan 6 Tingkat Podium Tempat Letak Kereta,
ii. Parcel B : 2 Block Pangsapuri 27 Dan 28 Tingkat (545 Unit) Di Atas 1 Tingkat Kemudahan Penduduk Dan 8 Tingkat Podium Tempat Letak Kereta.
iii. Parcel C : 3 Block Pangsapuri Rumah Selangorku (Jenis B, C, &amp; D) 25 Dan 30 Tingkat (1000 Unit) Di Atas Tingkat Kemudahan Penduduk Dan 7 Tingkat Podium Tempat Letak Kereta.
Di Atas Lot 69668, PT 5468 Hingga PT 5470 Dan Sebahagian Tanah Kerajaan, Seluas 50.02 Ekar, Bandar Selayang, Daerah Gombak, Selangor Darul Ehsan. </v>
      </c>
      <c r="F162" s="98" t="str">
        <f>IF(rekod!F155="","",rekod!F155)</f>
        <v>BERSETUJU</v>
      </c>
    </row>
    <row r="163" spans="1:6" s="69" customFormat="1" ht="70.5" hidden="1" customHeight="1" x14ac:dyDescent="0.3">
      <c r="A163" s="68">
        <f>IF(rekod!B156="","",A162+1)</f>
        <v>150</v>
      </c>
      <c r="B163" s="106" t="str">
        <f>IF(A163="","",UPPER(rekod!B156))</f>
        <v>TETUAN PN SALINA WAN BINTI ABDULLAH</v>
      </c>
      <c r="C163" s="98" t="str">
        <f>IF(B163="","",rekod!D156)</f>
        <v>MPAJ</v>
      </c>
      <c r="D163" s="98">
        <f>IF(B163="","",rekod!E156)</f>
        <v>2017</v>
      </c>
      <c r="E163" s="95" t="str">
        <f>IF(B163="","",rekod!H156)</f>
        <v xml:space="preserve">Permohonan Kebenaran Merancang Bagi Cadangan Membina Sebuah Rumah Sesebuah 3 Tingkat Di Atas Lot PT 4789, Jalan Teberau 1, Ukay Heights, Mukim Hulu Kelang, Daerah Gombak, Selangor Darul Ehsan. </v>
      </c>
      <c r="F163" s="98" t="str">
        <f>IF(rekod!F156="","",rekod!F156)</f>
        <v>BERSETUJU</v>
      </c>
    </row>
    <row r="164" spans="1:6" s="69" customFormat="1" ht="83.25" hidden="1" customHeight="1" x14ac:dyDescent="0.3">
      <c r="A164" s="68">
        <f>IF(rekod!B157="","",A163+1)</f>
        <v>151</v>
      </c>
      <c r="B164" s="106" t="str">
        <f>IF(A164="","",UPPER(rekod!B157))</f>
        <v>TETUAN GENTING MALAYSIA BERHAD</v>
      </c>
      <c r="C164" s="98" t="str">
        <f>IF(B164="","",rekod!D157)</f>
        <v>MDHS</v>
      </c>
      <c r="D164" s="98">
        <f>IF(B164="","",rekod!E157)</f>
        <v>2017</v>
      </c>
      <c r="E164" s="95" t="str">
        <f>IF(B164="","",rekod!H157)</f>
        <v>Permohonan Kebenaran Merancang Mengikut Sub Seksyen 21(1), Akta 172 Bagi Tujuan Membina Rumah Pam Dan Loji Rawatan Air Di Atas Sebahagian Lot 7577 (GRN 44562), Genting Highlands, Mukim Batang Kali, Daerah Hulu Selangor, Selangor Darul Ehsan</v>
      </c>
      <c r="F164" s="98" t="str">
        <f>IF(rekod!F157="","",rekod!F157)</f>
        <v>BERSETUJU</v>
      </c>
    </row>
    <row r="165" spans="1:6" s="69" customFormat="1" ht="78.75" hidden="1" customHeight="1" x14ac:dyDescent="0.3">
      <c r="A165" s="68">
        <f>IF(rekod!B158="","",A164+1)</f>
        <v>152</v>
      </c>
      <c r="B165" s="106" t="str">
        <f>IF(A165="","",UPPER(rekod!B158))</f>
        <v>TETUAN AMPANG HEIGHTS HOLDINGS SDN. BHD</v>
      </c>
      <c r="C165" s="98" t="str">
        <f>IF(B165="","",rekod!D158)</f>
        <v>MPAJ</v>
      </c>
      <c r="D165" s="98">
        <f>IF(B165="","",rekod!E158)</f>
        <v>2017</v>
      </c>
      <c r="E165" s="95" t="str">
        <f>IF(B165="","",rekod!H158)</f>
        <v>Permohonan Kebenaran Merancang Pelan Susunatur Bagi Cadangan Pembangunan Bercampur Secara Serah Balik Dan Pemberimilikan Semula Di Bawah Seksyen 204B (Kanun Tanah Negara) Di Atas PT 11434 Dan PT 2923, Mukim Ampang, Daerah Hulu Langat, Selangor Darul Ehsan</v>
      </c>
      <c r="F165" s="98" t="str">
        <f>IF(rekod!F158="","",rekod!F158)</f>
        <v>BERSETUJU</v>
      </c>
    </row>
    <row r="166" spans="1:6" s="69" customFormat="1" ht="75" hidden="1" customHeight="1" x14ac:dyDescent="0.3">
      <c r="A166" s="68">
        <f>IF(rekod!B159="","",A165+1)</f>
        <v>153</v>
      </c>
      <c r="B166" s="106" t="str">
        <f>IF(A166="","",UPPER(rekod!B159))</f>
        <v>TETUAN PENGURUSAN ASET AIR BERHAD (KOLAM AIR PETALING)</v>
      </c>
      <c r="C166" s="98" t="str">
        <f>IF(B166="","",rekod!D159)</f>
        <v>MPSJ</v>
      </c>
      <c r="D166" s="98">
        <f>IF(B166="","",rekod!E159)</f>
        <v>2017</v>
      </c>
      <c r="E166" s="95" t="str">
        <f>IF(B166="","",rekod!H159)</f>
        <v>Permohonan Kebenaran Merancang Bagi Pembangunan Kolam Air Petaling Di Atas Sebahagian Hutan Simpan Ayer Hitam Di Mukim Petaling, Daerah Petaling, Selangor Darul Ehsan</v>
      </c>
      <c r="F166" s="98" t="str">
        <f>IF(rekod!F159="","",rekod!F159)</f>
        <v>BERSETUJU</v>
      </c>
    </row>
    <row r="167" spans="1:6" s="69" customFormat="1" ht="206.25" hidden="1" customHeight="1" x14ac:dyDescent="0.3">
      <c r="A167" s="68">
        <f>IF(rekod!B160="","",A166+1)</f>
        <v>154</v>
      </c>
      <c r="B167" s="106" t="str">
        <f>IF(A167="","",UPPER(rekod!B160))</f>
        <v>TETUAN CHEN TENG SOONG (PEMEGANG AMANAH)</v>
      </c>
      <c r="C167" s="98" t="str">
        <f>IF(B167="","",rekod!D160)</f>
        <v>MDHS</v>
      </c>
      <c r="D167" s="98">
        <f>IF(B167="","",rekod!E160)</f>
        <v>2017</v>
      </c>
      <c r="E167" s="95" t="str">
        <f>IF(B167="","",rekod!H160)</f>
        <v>Permohonan Kebenaran Merancang Serah Balik Dan Beri Milik Semula Tanah Di Bawah Seksyen 204b Kanun Tanah Negara (Ktn) Bagi Cadangan Membina Sebuah Bangunan Rumah Anak Yatim Dan Kemudahan-Kemudahan Yang Mengandungi :-
A. Aras Bawah – Kantin
B. Aras 1 - Bilik Anak-Anak Yatim, Perpustakaan Dan Pejabat Pengurusan
C. Aras 2 - Kuarters (Untuk Lelaki)
D. Aras 3 - Kuarters (Untuk Perempuan)
E. Aras 4 - Rekreasi
Beserta Tempat Letak Kereta (Tlk) Di Atas Lot 3480 (Gm4518), Jalan Bunga Pagoda, Mukim Serendah, Daerah Hulu Selangor, Selangor Darul Ehsan.</v>
      </c>
      <c r="F167" s="98" t="str">
        <f>IF(rekod!F160="","",rekod!F160)</f>
        <v>BERSETUJU</v>
      </c>
    </row>
    <row r="168" spans="1:6" s="69" customFormat="1" ht="78.75" hidden="1" customHeight="1" x14ac:dyDescent="0.3">
      <c r="A168" s="68">
        <f>IF(rekod!B161="","",A167+1)</f>
        <v>155</v>
      </c>
      <c r="B168" s="106" t="str">
        <f>IF(A168="","",UPPER(rekod!B161))</f>
        <v>TETUAN NIRVANA MEMORIAL PARK (KLANG) BERHAD</v>
      </c>
      <c r="C168" s="98" t="str">
        <f>IF(B168="","",rekod!D161)</f>
        <v>MDKS</v>
      </c>
      <c r="D168" s="98">
        <f>IF(B168="","",rekod!E161)</f>
        <v>2017</v>
      </c>
      <c r="E168" s="95" t="str">
        <f>IF(B168="","",rekod!H161)</f>
        <v>Permohonan Kebenaran Merancang Bagi Cadangan Pembangunan Tanah Perkuburan Bukan Islam Dan Dewan Beserta Kemudahan-Kemudahan Berkaitan Di Atas Lot 9942 Dan 9987, Mukim Jeram, Daerah Kuala Selangor, Selangor Darul Ehsan</v>
      </c>
      <c r="F168" s="98" t="str">
        <f>IF(rekod!F161="","",rekod!F161)</f>
        <v>BERSETUJU</v>
      </c>
    </row>
    <row r="169" spans="1:6" s="69" customFormat="1" ht="85.5" hidden="1" customHeight="1" x14ac:dyDescent="0.3">
      <c r="A169" s="68">
        <f>IF(rekod!B162="","",A168+1)</f>
        <v>156</v>
      </c>
      <c r="B169" s="106" t="str">
        <f>IF(A169="","",UPPER(rekod!B162))</f>
        <v>TETUAN PEMBANGUNAN RASA SELESA SDN. BHD.</v>
      </c>
      <c r="C169" s="98" t="str">
        <f>IF(B169="","",rekod!D162)</f>
        <v>MPKj</v>
      </c>
      <c r="D169" s="98">
        <f>IF(B169="","",rekod!E162)</f>
        <v>2017</v>
      </c>
      <c r="E169" s="95" t="str">
        <f>IF(B169="","",rekod!H162)</f>
        <v xml:space="preserve">Permohonan Pindaan Kebenaran Merancang Yang Telah Diluluskan Mpkj.Jpp/Bpb/Km10-2013 Bertarikh 23hb Mei 2013 Bagi Cadangan Pembangunan Pangsapuri Di Atas Lot Pt 58946, Mukim Pekan Cheras, Daerah Hulu Langat, Selangor Darul Ehsan. </v>
      </c>
      <c r="F169" s="98" t="str">
        <f>IF(rekod!F162="","",rekod!F162)</f>
        <v>BERSETUJU</v>
      </c>
    </row>
    <row r="170" spans="1:6" s="69" customFormat="1" ht="83.25" hidden="1" customHeight="1" x14ac:dyDescent="0.3">
      <c r="A170" s="68">
        <f>IF(rekod!B163="","",A169+1)</f>
        <v>157</v>
      </c>
      <c r="B170" s="106" t="str">
        <f>IF(A170="","",UPPER(rekod!B163))</f>
        <v>TETUAN TETUAN WORLDWIDE HOLDINGS</v>
      </c>
      <c r="C170" s="98" t="str">
        <f>IF(B170="","",rekod!D163)</f>
        <v>MPS</v>
      </c>
      <c r="D170" s="98">
        <f>IF(B170="","",rekod!E163)</f>
        <v>2017</v>
      </c>
      <c r="E170" s="95" t="str">
        <f>IF(B170="","",rekod!H163)</f>
        <v>Permohonan Kebenaran Merancang Bagi Cadangan Pembangunan Bercampur (Perumahandan Perdagangan) Melalui Serah Balik Dan Berimilikan Semula Di Bawah Seksyen 204b (Ktn1965) Di Atas Lot 201, Bandar Batu Arang, Daerah Gombak, Selangor Darul Ehsan.</v>
      </c>
      <c r="F170" s="98" t="str">
        <f>IF(rekod!F163="","",rekod!F163)</f>
        <v>BERSETUJU</v>
      </c>
    </row>
    <row r="171" spans="1:6" s="69" customFormat="1" ht="104.25" hidden="1" customHeight="1" x14ac:dyDescent="0.3">
      <c r="A171" s="68">
        <f>IF(rekod!B164="","",A170+1)</f>
        <v>158</v>
      </c>
      <c r="B171" s="106" t="str">
        <f>IF(A171="","",UPPER(rekod!B164))</f>
        <v>TETUAN SAGA TUNAS SDN. BHD.</v>
      </c>
      <c r="C171" s="98" t="str">
        <f>IF(B171="","",rekod!D164)</f>
        <v>MPSpg</v>
      </c>
      <c r="D171" s="98">
        <f>IF(B171="","",rekod!E164)</f>
        <v>2017</v>
      </c>
      <c r="E171" s="95" t="str">
        <f>IF(B171="","",rekod!H164)</f>
        <v>Permohonan Kebenaran Merancang Bagi Cadangan Skim Pembangunan Di Bawah Akta Hakmilik Strata Melalui Tukar Syarat Dan Pecah Sempadan Tanah Secara Serentak Di Bawah Seksyen 124a, Kanun Tanah Negara (Ktn) 1965, Diatas Lot 115431, Tanah Simpanan Melayu Dengkil, Daerah Sepang, Selangor Darul Ehsan Secara Usahasama Dengan Permodalan Negeri Selangor Berhad (PNSB).</v>
      </c>
      <c r="F171" s="98" t="str">
        <f>IF(rekod!F164="","",rekod!F164)</f>
        <v>BERSETUJU</v>
      </c>
    </row>
    <row r="172" spans="1:6" s="69" customFormat="1" ht="98.25" hidden="1" customHeight="1" x14ac:dyDescent="0.3">
      <c r="A172" s="68">
        <f>IF(rekod!B165="","",A171+1)</f>
        <v>159</v>
      </c>
      <c r="B172" s="106" t="str">
        <f>IF(A172="","",UPPER(rekod!B165))</f>
        <v>TETUAN IISY LAND SDN. BHD.</v>
      </c>
      <c r="C172" s="98" t="str">
        <f>IF(B172="","",rekod!D165)</f>
        <v>MPSJ</v>
      </c>
      <c r="D172" s="98">
        <f>IF(B172="","",rekod!E165)</f>
        <v>2017</v>
      </c>
      <c r="E172" s="95" t="str">
        <f>IF(B172="","",PROPER(rekod!H165))</f>
        <v xml:space="preserve">Permohonan Kebenaran Merancang Bagi Cadangan Serah Balik Dan Pemberimilikan Semula Melalui Seksyen 204A, Ktn 1965 Bagi Cadangan Pembangunan Bercampur "Lake Sapphire Puchong" Di Atas Lot 825 (Pt2910) Dan Pt2437, Bandar Puchong Jaya, Mukim Petaling, Daerah Petaling, Selangor Darul Ehsan. </v>
      </c>
      <c r="F172" s="98" t="str">
        <f>IF(rekod!F165="","",rekod!F165)</f>
        <v>BERSETUJU</v>
      </c>
    </row>
    <row r="173" spans="1:6" s="69" customFormat="1" ht="102" hidden="1" customHeight="1" x14ac:dyDescent="0.3">
      <c r="A173" s="68">
        <f>IF(rekod!B166="","",A172+1)</f>
        <v>160</v>
      </c>
      <c r="B173" s="106" t="str">
        <f>IF(A173="","",UPPER(rekod!B166))</f>
        <v>TETUAN HAK SENG HAN SDN. BHD.</v>
      </c>
      <c r="C173" s="98" t="str">
        <f>IF(B173="","",rekod!D166)</f>
        <v>MPSJ</v>
      </c>
      <c r="D173" s="98">
        <f>IF(B173="","",rekod!E166)</f>
        <v>2018</v>
      </c>
      <c r="E173" s="95" t="str">
        <f>IF(B173="","",PROPER(rekod!H166))</f>
        <v xml:space="preserve">Permohonan Kelulusan Jawatankuasa Teknikal Pembangunan Kawasan Sensitif Alam Sekitar Negeri Selangor (Jktpksas) Bagi Pelan Susunatur Untuk Cadangan Pangsapuri Perkhidmatan Komersil Di Atas Hakmilik Pn8613 (Lot 65104), Seluas 16.82 Ekar, Pekan Puchong Perdana, Mukim Puchong, Daerah Petaling, Selangor Darul Ehsan. </v>
      </c>
      <c r="F173" s="98" t="str">
        <f>IF(rekod!F166="","",rekod!F166)</f>
        <v>BERSETUJU</v>
      </c>
    </row>
    <row r="174" spans="1:6" s="69" customFormat="1" ht="85.5" hidden="1" customHeight="1" x14ac:dyDescent="0.3">
      <c r="A174" s="68">
        <f>IF(rekod!B167="","",A173+1)</f>
        <v>161</v>
      </c>
      <c r="B174" s="106" t="str">
        <f>IF(A174="","",UPPER(rekod!B167))</f>
        <v>TETUAN PROMAKMUR DEVELOPMENT SDN. BHD.</v>
      </c>
      <c r="C174" s="98" t="str">
        <f>IF(B174="","",rekod!D167)</f>
        <v>MPS</v>
      </c>
      <c r="D174" s="98">
        <f>IF(B174="","",rekod!E167)</f>
        <v>2018</v>
      </c>
      <c r="E174" s="95" t="str">
        <f>IF(B174="","",PROPER(rekod!H167))</f>
        <v>Permohonan Kebenaran Merancang Bagi Cadangan Pindaan Terhadap Pelan Susunatur Perumahan Dan Perniagaan Yang Telah Diluluskan (Bil:10 Dlm. Mps 3/3-120/546 Pin-5 Jld.1) Bertarikh 16 Julai 2013 Di Atas Lot 982,934,1286,3513,1246 Dan 1851, Mukim Rawang Daerah Gombak, Selangor Darul Ehsan.</v>
      </c>
      <c r="F174" s="98" t="str">
        <f>IF(rekod!F167="","",rekod!F167)</f>
        <v>BERSETUJU</v>
      </c>
    </row>
    <row r="175" spans="1:6" s="69" customFormat="1" ht="117" hidden="1" customHeight="1" x14ac:dyDescent="0.3">
      <c r="A175" s="68">
        <f>IF(rekod!B168="","",A174+1)</f>
        <v>162</v>
      </c>
      <c r="B175" s="106" t="str">
        <f>IF(A175="","",UPPER(rekod!B168))</f>
        <v>TETUAN KINGSLEY HILLS SDN. BHD.</v>
      </c>
      <c r="C175" s="98" t="str">
        <f>IF(B175="","",rekod!D168)</f>
        <v>MPSJ</v>
      </c>
      <c r="D175" s="98">
        <f>IF(B175="","",rekod!E168)</f>
        <v>2018</v>
      </c>
      <c r="E175" s="95" t="str">
        <f>IF(B175="","",PROPER(rekod!H168))</f>
        <v xml:space="preserve">Permohonan Pindaan Kebenaran Merancang Pendirian Bangunan Pelan Yang Diluluskan (No. Rujukan : Mpsj.Ps.260/36/329 Bertarikh 24 April 2012 Dan Mpsj.Ps.260/36/297 Bertarikh 21 Februari 2012) Bagi Cadangan Membina Pangsapuri (616 Unit) Di Atas Lot Pt 35823 (Dahulunya Lot Pt 36309, Pt 36310, Pt 36301 Dan Pt 36302) Di Jalan Kingsley 2, Kingsley Hills, Putra Heights, Mukim Damansara, Daerah Petaling, Selangor Darul Ehsan. </v>
      </c>
      <c r="F175" s="98" t="str">
        <f>IF(rekod!F168="","",rekod!F168)</f>
        <v>BERSETUJU</v>
      </c>
    </row>
    <row r="176" spans="1:6" s="69" customFormat="1" ht="55.5" hidden="1" customHeight="1" x14ac:dyDescent="0.3">
      <c r="A176" s="68">
        <f>IF(rekod!B169="","",A175+1)</f>
        <v>163</v>
      </c>
      <c r="B176" s="106" t="str">
        <f>IF(A176="","",UPPER(rekod!B169))</f>
        <v xml:space="preserve">TETUAN KL-KEPONG PROPERTY DEVELOPMENT SDN. BHD. </v>
      </c>
      <c r="C176" s="98" t="str">
        <f>IF(B176="","",rekod!D169)</f>
        <v>MPS</v>
      </c>
      <c r="D176" s="98">
        <f>IF(B176="","",rekod!E169)</f>
        <v>2018</v>
      </c>
      <c r="E176" s="398" t="str">
        <f>IF(B176="","",PROPER(rekod!H169))</f>
        <v>Permohonan Cadangan Kelulusan Pelan Induk Bagi Pembangunan Bercampur (Perumahan Dan Perniagaan) Melaui Penyerahan Balik Dan Pemberimilikan Semula Di Bawah Seksyen 204B, Kanun Tanah Negara (Ktn) 1965, Di Atas Lot 1456, Lot 1504, Lot 1755, Lot 1757, Lot 1759, Lot 1861, Lot 1862, Dan Lot 1754 (Lot Baru 84401, Lot Baru 84402, Lot Baru 84403), Mukim Rawang, Daerah Gombak, Selangor Darul Ehsan.</v>
      </c>
      <c r="F176" s="98" t="str">
        <f>IF(rekod!F169="","",rekod!F169)</f>
        <v>BERSETUJU</v>
      </c>
    </row>
    <row r="177" spans="1:6" s="69" customFormat="1" ht="67.5" hidden="1" customHeight="1" x14ac:dyDescent="0.3">
      <c r="A177" s="68">
        <f>IF(rekod!B170="","",A176+1)</f>
        <v>164</v>
      </c>
      <c r="B177" s="106" t="str">
        <f>IF(A177="","",UPPER(rekod!B170))</f>
        <v>TETUAN KL-KEPONG COUNTRY HOMES SDN. BHD.</v>
      </c>
      <c r="C177" s="98" t="str">
        <f>IF(B177="","",rekod!D170)</f>
        <v>MPS</v>
      </c>
      <c r="D177" s="98">
        <f>IF(B177="","",rekod!E170)</f>
        <v>2018</v>
      </c>
      <c r="E177" s="399"/>
      <c r="F177" s="98" t="str">
        <f>IF(rekod!F170="","",rekod!F170)</f>
        <v>BERSETUJU</v>
      </c>
    </row>
    <row r="178" spans="1:6" s="69" customFormat="1" ht="92.25" hidden="1" customHeight="1" x14ac:dyDescent="0.3">
      <c r="A178" s="68">
        <f>IF(rekod!B171="","",A177+1)</f>
        <v>165</v>
      </c>
      <c r="B178" s="106" t="str">
        <f>IF(A178="","",UPPER(rekod!B171))</f>
        <v>TETUAN PERMODALAN YBK SDN. BHD.</v>
      </c>
      <c r="C178" s="98" t="str">
        <f>IF(B178="","",rekod!D171)</f>
        <v>MDHS</v>
      </c>
      <c r="D178" s="98">
        <f>IF(B178="","",rekod!E171)</f>
        <v>2018</v>
      </c>
      <c r="E178" s="95" t="str">
        <f>IF(B178="","",PROPER(rekod!H171))</f>
        <v xml:space="preserve">Permohonan Kebenaran Merancang Bagi Fasa 1, Bukit Tasik Serendah (Pembangunan Homestead) Melalui Serah Balik Dan Berimilik Semula Di Bawah Seksyen 204B (Ktn 1965) Di Atas Lot Pt 11031 (Blok 26) Dan Sebahagian Lot 11015 (Blok 10), Di Mukim Serendah, Daerah Hulu Selangor, Selangor Darul Ehsan. </v>
      </c>
      <c r="F178" s="98" t="str">
        <f>IF(rekod!F171="","",rekod!F171)</f>
        <v>DITANGGUHKAN</v>
      </c>
    </row>
    <row r="179" spans="1:6" s="69" customFormat="1" ht="103.5" hidden="1" customHeight="1" x14ac:dyDescent="0.3">
      <c r="A179" s="68">
        <f>IF(rekod!B172="","",A178+1)</f>
        <v>166</v>
      </c>
      <c r="B179" s="106" t="str">
        <f>IF(A179="","",UPPER(rekod!B172))</f>
        <v>TETUAN SURIA VILLA SDN. BHD.</v>
      </c>
      <c r="C179" s="98" t="str">
        <f>IF(B179="","",rekod!D172)</f>
        <v>MPKj</v>
      </c>
      <c r="D179" s="98">
        <f>IF(B179="","",rekod!E172)</f>
        <v>2018</v>
      </c>
      <c r="E179" s="95" t="str">
        <f>IF(B179="","",PROPER(rekod!H172))</f>
        <v xml:space="preserve">Permohonan Kebenaran Merancang Pelan Susunatur Bagi Cadangan Pembangunan Bercampur Diatas Lot 935. 1077, 1640, 1933, 1934, 1935, 1936, Pt 9781, Pt 29942, Pt29943, Pt 29946, Sebahagian Lot563 Dan Tanah Kerajaan (Pt 9779 Dan Pt 9780-1.89 Ekar, Dibawah Seksyen 197&amp;76 Kanun Tanah Negara (Ktn 1965), Mukim Semenyih, Daerah Hulu Langat, Selangor Darul Ehsan. </v>
      </c>
      <c r="F179" s="98" t="str">
        <f>IF(rekod!F172="","",rekod!F172)</f>
        <v>BERSETUJU</v>
      </c>
    </row>
    <row r="180" spans="1:6" s="69" customFormat="1" ht="85.5" hidden="1" customHeight="1" x14ac:dyDescent="0.3">
      <c r="A180" s="68">
        <f>IF(rekod!B173="","",A179+1)</f>
        <v>167</v>
      </c>
      <c r="B180" s="106" t="str">
        <f>IF(A180="","",UPPER(rekod!B173))</f>
        <v>TETUAN GLM EMERALD WEST (RAWANG) SDN. BHD.</v>
      </c>
      <c r="C180" s="98" t="str">
        <f>IF(B180="","",rekod!D173)</f>
        <v>MPS</v>
      </c>
      <c r="D180" s="98">
        <f>IF(B180="","",rekod!E173)</f>
        <v>2018</v>
      </c>
      <c r="E180" s="95" t="str">
        <f>IF(B180="","",PROPER(rekod!H173))</f>
        <v>Permohonan Kebenaran Merancang Bagi Cadangan Pindaan Terhadap Pelan Susunatur Perumahan Dan Perniagaan Yang Telah Diluluskan (Bil:10 Dlm. Mps 3/3-120/546 Pin-5 Jld.1) Bertarikh 16 Julai 2013 Di Atas Lot 982,934,1286,3513,1246 Dan 1851, Mukim Rawang Daerah Gombak, Selangor Darul Ehsan.</v>
      </c>
      <c r="F180" s="98" t="str">
        <f>IF(rekod!F173="","",rekod!F173)</f>
        <v>BERSETUJU</v>
      </c>
    </row>
    <row r="181" spans="1:6" s="69" customFormat="1" ht="169.5" hidden="1" customHeight="1" x14ac:dyDescent="0.3">
      <c r="A181" s="68">
        <f>IF(rekod!B174="","",A180+1)</f>
        <v>168</v>
      </c>
      <c r="B181" s="106" t="str">
        <f>IF(A181="","",UPPER(rekod!B174))</f>
        <v>TETUAN MZK LAND SDN. BHD.</v>
      </c>
      <c r="C181" s="98" t="str">
        <f>IF(B181="","",rekod!D174)</f>
        <v>MPKj</v>
      </c>
      <c r="D181" s="98">
        <f>IF(B181="","",rekod!E174)</f>
        <v>2018</v>
      </c>
      <c r="E181" s="95" t="str">
        <f>IF(B181="","",PROPER(rekod!H174))</f>
        <v xml:space="preserve">Permohonan Kebenaran Merancang Pendirian Bangunan Untuk Cadangan Pembangunan :
1. Lot 1826 (Fasa 1) : 188 Unit (16 Tingkat) Pangsapuri Harga Bebas Beserta 3 Tingkat Tlk Bertingkat (Basemen)
2. Lot 9867 (Fasa 2) : 119 Unit (18 Tingkat) Pangsapuri Harga Bebas Beserta 5 Tingkat (Podium 1-5) Dan Kemudahan Pejabat Pengurusan, Dewan, Tadika, Gelanggang Sukan, Gimnasium Dan Lain-Lain
Diatas Lot 1826 Dan Pt 9867, (Lot Lama 14660), Mukim Hulu Langat, Daerah Hulu Langat, Selangor Darul Ehsan. </v>
      </c>
      <c r="F181" s="98" t="str">
        <f>IF(rekod!F174="","",rekod!F174)</f>
        <v>BERSETUJU</v>
      </c>
    </row>
    <row r="182" spans="1:6" s="69" customFormat="1" ht="90.75" hidden="1" customHeight="1" x14ac:dyDescent="0.3">
      <c r="A182" s="68">
        <f>IF(rekod!B175="","",A181+1)</f>
        <v>169</v>
      </c>
      <c r="B182" s="106" t="str">
        <f>IF(A182="","",UPPER(rekod!B175))</f>
        <v>TETUAN SIME DARBY SERENIA DEVELOPMENT SDN. BHD.</v>
      </c>
      <c r="C182" s="98" t="str">
        <f>IF(B182="","",rekod!D175)</f>
        <v>MPSpg</v>
      </c>
      <c r="D182" s="98">
        <f>IF(B182="","",rekod!E175)</f>
        <v>2018</v>
      </c>
      <c r="E182" s="95" t="str">
        <f>IF(B182="","",PROPER(rekod!H175))</f>
        <v xml:space="preserve">Permohonan Kebenaran Merancang Bagi Cadangan Pembangunan Bercampur Fasa 3, Melalui Serah Balik Secara Dan Pemberimilikan Semula Tanah Dibawah Seksyen 204B, Kanun Tanah Negara (Ktn) 1965, Di Atas Lot Pt 55389, Pt 55390, Pt55393 Bandar Serenia, Mukim Dengkil, Daerah Sepang, Selangor Darul Ehsan. </v>
      </c>
      <c r="F182" s="98" t="str">
        <f>IF(rekod!F175="","",rekod!F175)</f>
        <v>BERSETUJU</v>
      </c>
    </row>
    <row r="183" spans="1:6" s="69" customFormat="1" ht="43.5" hidden="1" customHeight="1" x14ac:dyDescent="0.3">
      <c r="A183" s="68">
        <f>IF(rekod!B176="","",A182+1)</f>
        <v>170</v>
      </c>
      <c r="B183" s="106" t="str">
        <f>IF(A183="","",UPPER(rekod!B176))</f>
        <v>TETUAN PROJEK LINTASAN SUNGAI BESI – ULU KELANG SDN. BHD.</v>
      </c>
      <c r="C183" s="98" t="str">
        <f>IF(B183="","",rekod!D176)</f>
        <v>MPAJ</v>
      </c>
      <c r="D183" s="98">
        <f>IF(B183="","",rekod!E176)</f>
        <v>2018</v>
      </c>
      <c r="E183" s="95" t="str">
        <f>IF(B183="","",PROPER(rekod!H176))</f>
        <v>Cadangan Pembangunan Pejabat Hutan Dan Kuarters Kakitangan Jabatan Hutan Di Ampang Lookout Point Daerah Hulu Langat, Selangor Darul Ehsan.</v>
      </c>
      <c r="F183" s="98" t="str">
        <f>IF(rekod!F176="","",rekod!F176)</f>
        <v>DITANGGUHKAN</v>
      </c>
    </row>
    <row r="184" spans="1:6" s="69" customFormat="1" ht="101.25" hidden="1" customHeight="1" x14ac:dyDescent="0.3">
      <c r="A184" s="68">
        <f>IF(rekod!B177="","",A183+1)</f>
        <v>171</v>
      </c>
      <c r="B184" s="106" t="str">
        <f>IF(A184="","",UPPER(rekod!B177))</f>
        <v>TETUAN PERBADANAN KEMAJUAN NEGERI SELANGOR-3A</v>
      </c>
      <c r="C184" s="98" t="str">
        <f>IF(B184="","",rekod!D177)</f>
        <v>MDHS</v>
      </c>
      <c r="D184" s="98">
        <f>IF(B184="","",rekod!E177)</f>
        <v>2018</v>
      </c>
      <c r="E184" s="95" t="str">
        <f>IF(B184="","",PROPER(rekod!H177))</f>
        <v xml:space="preserve">Permohonan Kebenaran Merancang Di Bawah Subseksyen 21(1), Akta Perancangan Bandar Dan Desa 1976 (Akta 176) Bagi Cadangan Pelan Susunatur Pembangunan Perumahan Melalui Serah Balik Dan Berimilik Semula Tanah Di Bawah Seksyen 204B (Ktn) Diatas Pt894, Seksyen 3A, Antara Gapi, Mukim Bandar Sungai Chik, Daerah Hulu Selangor, Selangor Darul Ehsan. </v>
      </c>
      <c r="F184" s="98" t="str">
        <f>IF(rekod!F177="","",rekod!F177)</f>
        <v>BERSETUJU</v>
      </c>
    </row>
    <row r="185" spans="1:6" s="69" customFormat="1" ht="117" hidden="1" customHeight="1" x14ac:dyDescent="0.3">
      <c r="A185" s="68">
        <f>IF(rekod!B178="","",A184+1)</f>
        <v>172</v>
      </c>
      <c r="B185" s="106" t="str">
        <f>IF(A185="","",UPPER(rekod!B178))</f>
        <v>TETUAN PERBADANAN KEMAJUAN NEGERI SELANGOR-4B</v>
      </c>
      <c r="C185" s="98" t="str">
        <f>IF(B185="","",rekod!D178)</f>
        <v>MDHS</v>
      </c>
      <c r="D185" s="98">
        <f>IF(B185="","",rekod!E178)</f>
        <v>2018</v>
      </c>
      <c r="E185" s="95" t="str">
        <f>IF(B185="","",PROPER(rekod!H178))</f>
        <v>Permohonan Kebenaran Merancang Di Bawah Subseksyen 21(1), Akta Perancangan Bandar Dan Desa 1976 (Akta 176) Bagi Cadangan Pelan Susunatur Pembangunan Perumahan Melalui Serah Balik (Dibawah Seksyen 197 Ktn) Dan Pemberimilikan Semula (Di Bawah Seksyen 76 Ktn) Diatas Lot 5944 (Pt897) Fasa 4B, Seksyen 4, Antara Gapi, Bandar Sungai Chik, Daerah Hulu Selangor, Selangor Darul Ehsan.</v>
      </c>
      <c r="F185" s="98" t="str">
        <f>IF(rekod!F178="","",rekod!F178)</f>
        <v>BERSETUJU</v>
      </c>
    </row>
    <row r="186" spans="1:6" s="69" customFormat="1" ht="97.5" hidden="1" customHeight="1" x14ac:dyDescent="0.3">
      <c r="A186" s="68">
        <f>IF(rekod!B179="","",A185+1)</f>
        <v>173</v>
      </c>
      <c r="B186" s="106" t="str">
        <f>IF(A186="","",UPPER(rekod!B179))</f>
        <v>TETUAN PENGURUSAN ASET AIR BERHAD - KOLAM AMPANG</v>
      </c>
      <c r="C186" s="98" t="str">
        <f>IF(B186="","",rekod!D179)</f>
        <v>MPAJ</v>
      </c>
      <c r="D186" s="98">
        <f>IF(B186="","",rekod!E179)</f>
        <v>2018</v>
      </c>
      <c r="E186" s="95" t="str">
        <f>IF(B186="","",PROPER(rekod!H179))</f>
        <v xml:space="preserve">Permohonan Pindaan Kebenaran Merancangyang Telah Diluluskan No. Mpaj.Pb.Kp/2-11(2015)Jld.2 Yang Bertarikh 11 Oktober 2015 Bagi Pembangunan Kolam Air Ampang Kepada Pembangunan Kolam Air Ampang Dan Outlet Portal Di Atas Sebahagian Lot 947, Lot 47724 Dan Sebahagian Simpanan Jalan/Tanah Kerajaan Di Mukim Ampang, Daerah Hulu Langat, Selangor Darul Ehsan. </v>
      </c>
      <c r="F186" s="98" t="str">
        <f>IF(rekod!F179="","",rekod!F179)</f>
        <v>BERSETUJU</v>
      </c>
    </row>
    <row r="187" spans="1:6" s="69" customFormat="1" ht="63.75" hidden="1" customHeight="1" x14ac:dyDescent="0.3">
      <c r="A187" s="68">
        <f>IF(rekod!B180="","",A186+1)</f>
        <v>174</v>
      </c>
      <c r="B187" s="106" t="str">
        <f>IF(A187="","",UPPER(rekod!B180))</f>
        <v>TETUAN PERBADANAN KEMAJUAN NEGERI SELANGOR -U10</v>
      </c>
      <c r="C187" s="98" t="str">
        <f>IF(B187="","",rekod!D180)</f>
        <v>MBSA</v>
      </c>
      <c r="D187" s="98">
        <f>IF(B187="","",rekod!E180)</f>
        <v>2018</v>
      </c>
      <c r="E187" s="95" t="str">
        <f>IF(B187="","",PROPER(rekod!H180))</f>
        <v xml:space="preserve">Permohonan Kebenaran Merancang Pelan Susunatur Bagi Cadangan Pembangunan Kediaman Bercampur Diatas Pt37475-Pt37483, Persiaran Mokhtar Dahari, Seksyen U10, Shah Alam, Selangor Darul Ehsan. </v>
      </c>
      <c r="F187" s="98" t="str">
        <f>IF(rekod!F180="","",rekod!F180)</f>
        <v>BERSETUJU</v>
      </c>
    </row>
    <row r="188" spans="1:6" s="69" customFormat="1" ht="116.25" hidden="1" customHeight="1" x14ac:dyDescent="0.3">
      <c r="A188" s="68">
        <f>IF(rekod!B181="","",A187+1)</f>
        <v>175</v>
      </c>
      <c r="B188" s="106" t="str">
        <f>IF(A188="","",UPPER(rekod!B181))</f>
        <v>TETUAN TUAH KAYANGAN DEVELOPMENT SDN. BHD.</v>
      </c>
      <c r="C188" s="98" t="str">
        <f>IF(B188="","",rekod!D181)</f>
        <v>MPAJ</v>
      </c>
      <c r="D188" s="98">
        <f>IF(B188="","",rekod!E181)</f>
        <v>2018</v>
      </c>
      <c r="E188" s="95" t="str">
        <f>IF(B188="","",PROPER(rekod!H181))</f>
        <v xml:space="preserve">Permohonan Kebenaran Merancang Bagi Serah Balik Dan Kurnia Semula Tanah Di Bawah Seksyen 197 &amp; 76 Kanun Tanah Negara (Ktn) Bagi Cadangan Pembangunan 1800 Unit Kondominium Dan Pangsapuri “Rumah Selangorku” Diatas Lot Pt 14558 Hingga Lot Pt 14674 Dan Sebahagian Tanah Kerajaan Yang Dipohon (Lot Lama 17837), Bukit Cheras, Mukim Bandar Ampang, Daerah Hulu Langat, Selangor Darul Ehsan. </v>
      </c>
      <c r="F188" s="98" t="str">
        <f>IF(rekod!F181="","",rekod!F181)</f>
        <v>BERSETUJU</v>
      </c>
    </row>
    <row r="189" spans="1:6" s="69" customFormat="1" ht="99" hidden="1" customHeight="1" x14ac:dyDescent="0.3">
      <c r="A189" s="68">
        <f>IF(rekod!B182="","",A188+1)</f>
        <v>176</v>
      </c>
      <c r="B189" s="106" t="str">
        <f>IF(A189="","",UPPER(rekod!B182))</f>
        <v>TETUAN SIN HEAP LEE DEVELOPMENT SDN. BHD,</v>
      </c>
      <c r="C189" s="98" t="str">
        <f>IF(B189="","",rekod!D182)</f>
        <v>MPKj</v>
      </c>
      <c r="D189" s="98">
        <f>IF(B189="","",rekod!E182)</f>
        <v>2018</v>
      </c>
      <c r="E189" s="95" t="str">
        <f>IF(B189="","",PROPER(rekod!H182))</f>
        <v xml:space="preserve">Permohonan Kebenaran Merancang Untuk Tujuan Menukar Syarat Kegunaan Tanah Dan Pecah Sempadan Tanah Secara Serentak Di Bawah Seksyen 124A Kanun Tanah Negara Daripada Perindustrian Kepada Bangunan (Kediaman) Bagi Cadangan Pembangunan Perumahan Di Atas Lot 7990, Mukim Semenyih, Daerah Hulu Langat, Selangor Darul Ehsan. </v>
      </c>
      <c r="F189" s="98" t="str">
        <f>IF(rekod!F182="","",rekod!F182)</f>
        <v>BERSETUJU</v>
      </c>
    </row>
    <row r="190" spans="1:6" s="69" customFormat="1" ht="64.5" hidden="1" customHeight="1" x14ac:dyDescent="0.3">
      <c r="A190" s="68">
        <f>IF(rekod!B183="","",A189+1)</f>
        <v>177</v>
      </c>
      <c r="B190" s="106" t="str">
        <f>IF(A190="","",UPPER(rekod!B183))</f>
        <v>TETUAN PELANGI BINARAYA SDN. BHD.</v>
      </c>
      <c r="C190" s="98" t="str">
        <f>IF(B190="","",rekod!D183)</f>
        <v>MPKj</v>
      </c>
      <c r="D190" s="98">
        <f>IF(B190="","",rekod!E183)</f>
        <v>2018</v>
      </c>
      <c r="E190" s="95" t="str">
        <f>IF(B190="","",PROPER(rekod!H183))</f>
        <v xml:space="preserve">Permohonan Kebenaran Merancang Pelan Susunatur Bagi Cadangan Pembangunan Perumahan Di Atas Lot 563, Di Bawah Seksyen 204B Kanun Tanah Negara (Ktn1965), Mukim Semenyih, Daerah Hulu Langat, Selangor Darul Ehsan. </v>
      </c>
      <c r="F190" s="98" t="str">
        <f>IF(rekod!F183="","",rekod!F183)</f>
        <v>BERSETUJU</v>
      </c>
    </row>
    <row r="191" spans="1:6" s="69" customFormat="1" ht="195" hidden="1" customHeight="1" x14ac:dyDescent="0.3">
      <c r="A191" s="68">
        <f>IF(rekod!B184="","",A190+1)</f>
        <v>178</v>
      </c>
      <c r="B191" s="106" t="str">
        <f>IF(A191="","",UPPER(rekod!B184))</f>
        <v>TETUAN OXLEY DIAMOND SDN. BHD.
TRINITY ASSETS SDN. BHD.</v>
      </c>
      <c r="C191" s="98" t="str">
        <f>IF(B191="","",rekod!D184)</f>
        <v>MBPJ</v>
      </c>
      <c r="D191" s="98">
        <f>IF(B191="","",rekod!E184)</f>
        <v>2018</v>
      </c>
      <c r="E191" s="95" t="str">
        <f>IF(B191="","",PROPER(rekod!H184))</f>
        <v xml:space="preserve">Permohonan Kebenaran Merancang Bagi Cadangan Pembangunan Pangsapuri Perkhidmatan, Sovo &amp; Ruang Perniagaan Yang Mengandungi :-
1. Blok A - 42 Tingkat Pangsapuri Perkhidmatan (560 Unit)
2. Blok B – 56 Tingkat Pangsapuri Perkhidmatan (375 Unit) &amp; Sovo (583 Unit)
3. Blok C – 44 Tingkat Pangsapuri Perkhidmatan (336 Unit Termasuk 254 Unit Mampu Milik) &amp; Sovo (168 Unit Termasuk 113 Unit Mampu Milik)
4. 12 Tingkat Podium Yang Mengandungi 1 Tingkat Podium Berserta Kemudahan Penduduk, 2 Tingkat Ruang Perniagaan Dan Tempat Letak Kereta Dan 9 Tingkat Tempat Letak Kereta
Di Atas Lot 26315, Jalan 16/11, Seksyen 39, Mukim Petaling, Daerah Petaling, Selangor Darul Ehsan. </v>
      </c>
      <c r="F191" s="98" t="str">
        <f>IF(rekod!F184="","",rekod!F184)</f>
        <v>BERSETUJU</v>
      </c>
    </row>
    <row r="192" spans="1:6" s="69" customFormat="1" ht="105" customHeight="1" x14ac:dyDescent="0.3">
      <c r="A192" s="68">
        <f>IF(rekod!B185="","",A191+1)</f>
        <v>179</v>
      </c>
      <c r="B192" s="106" t="str">
        <f>IF(A192="","",UPPER(rekod!B185))</f>
        <v>TETUAN DATO' APPALASUWAMI A/L SURIDEMUDU</v>
      </c>
      <c r="C192" s="98" t="str">
        <f>IF(B192="","",rekod!D185)</f>
        <v>MDHS</v>
      </c>
      <c r="D192" s="98">
        <f>IF(B192="","",rekod!E185)</f>
        <v>2019</v>
      </c>
      <c r="E192" s="95" t="str">
        <f>IF(B192="","",PROPER(rekod!H185))</f>
        <v>Permohonan Kebenaran  Merancang Di Bawah Seksyen 204B Kanun Tanah Negara  Bagi Tujuan Serah Balik Dan Berimilik Semula Untuk Cadangan Membina 1 Unit Bangunan Pejabat Beserta Litar Bagi Sekolah Memandu Di Atas Lot 23075, Lot 23076, Lot 23963,Lot 23039 Dan Lot 23040 Bandar Serendah, Daerah Hulu Selangor, Selangor Darul Ehsan.</v>
      </c>
      <c r="F192" s="98" t="str">
        <f>IF(rekod!F185="","",rekod!F185)</f>
        <v>DITOLAK</v>
      </c>
    </row>
    <row r="193" spans="1:6" s="69" customFormat="1" ht="278.25" customHeight="1" x14ac:dyDescent="0.3">
      <c r="A193" s="68">
        <f>IF(rekod!B186="","",A192+1)</f>
        <v>180</v>
      </c>
      <c r="B193" s="106" t="str">
        <f>IF(A193="","",UPPER(rekod!B186))</f>
        <v xml:space="preserve">TETUAN D-HILL SDN. BHD. </v>
      </c>
      <c r="C193" s="98" t="str">
        <f>IF(B193="","",rekod!D186)</f>
        <v>MPKj</v>
      </c>
      <c r="D193" s="98">
        <f>IF(B193="","",rekod!E186)</f>
        <v>2019</v>
      </c>
      <c r="E193" s="95" t="str">
        <f>IF(B193="","",PROPER(rekod!H186))</f>
        <v xml:space="preserve">Permohonan Kebenaran Merancang Untuk Mendirikan : 
Fasa 1: 
A. 1 Blok (Blok A) 315 Unit Pangsapuri Rumah Selangorku (Rsku) 25 Tingkat (147 Unit Pangsapuri Rsku Jenis B, 84 Unit Pangsapuri Rsku Unit C Dan 84 Unit Pangsapuri Rsku Jenis D), Termasuk 3 Tingkat Podium Tempat Letak Kereta, 5 Unit Kedai, 1 Unit Kebuk Sampah Dan 1 Tingkat Kemudahan. 
Fasa 2: 
B. 1 Blok (Blok B) 195 Unit Pangsapuri Rumah Selangoku (Rsku) 17 Tingkat (57 Unit Pangsapuri Rsku Jenis B, 68 Unit Pangsapuri Jenis C Dan 70 Unit Pangsapuri Rsku Jenis D), Termasuk 3 Tingkat Podium Tempat Letak Kereta, Dan 1 Tingkat Kemudahan. 
Iii. 1 Unit Rumah Pam Kumbahan 
Iv. Sebuah Tapak Sekolah Rendah 
Secara Serah Balik Dan Berimilikan Semula Di Bawah Seksyen 204B, Kanun Tanah Negara, Di Atas Lot 942, Taman Kajang Perdana, Mukim Semenyih, Daerah Hulu Langat, Selangor Darul Ehsan. </v>
      </c>
      <c r="F193" s="98" t="str">
        <f>IF(rekod!F186="","",rekod!F186)</f>
        <v>BERSETUJU</v>
      </c>
    </row>
    <row r="194" spans="1:6" s="69" customFormat="1" ht="101.25" customHeight="1" x14ac:dyDescent="0.3">
      <c r="A194" s="68">
        <f>IF(rekod!B187="","",A193+1)</f>
        <v>181</v>
      </c>
      <c r="B194" s="106" t="str">
        <f>IF(A194="","",UPPER(rekod!B187))</f>
        <v>TETUAN GALERI KENCANA SDN. BHD.</v>
      </c>
      <c r="C194" s="98" t="str">
        <f>IF(B194="","",rekod!D187)</f>
        <v>MPSpg</v>
      </c>
      <c r="D194" s="98">
        <f>IF(B194="","",rekod!E187)</f>
        <v>2019</v>
      </c>
      <c r="E194" s="95" t="str">
        <f>IF(B194="","",PROPER(rekod!H187))</f>
        <v>Permohonan Kebenaran Merancang Bagi Cadangan Skim Pembangunan Di Bawah Akta Hakmilik Strata Melalui Tukar Syarat Dan Pecah Sempadan Tanah Secara Serentak Di Bawah Seksyen 124A, Kanun Tanah Negara (Ktn) 1965, Di Atas Lot 115430, Tanah Sempadan Melayu Dengkil, Daerah Sepang, Selangor Darul Ehsan Secara Usahasama Dengan Permodalan Negeri Selangor Berhad (Pnsb).</v>
      </c>
      <c r="F194" s="98" t="str">
        <f>IF(rekod!F187="","",rekod!F187)</f>
        <v>BERSETUJU</v>
      </c>
    </row>
    <row r="195" spans="1:6" s="69" customFormat="1" ht="297" customHeight="1" x14ac:dyDescent="0.3">
      <c r="A195" s="68">
        <f>IF(rekod!B188="","",A194+1)</f>
        <v>182</v>
      </c>
      <c r="B195" s="106" t="str">
        <f>IF(A195="","",UPPER(rekod!B188))</f>
        <v>TETUAN LEMBAGA ZAKAT SELANGOR (LZS)</v>
      </c>
      <c r="C195" s="98" t="str">
        <f>IF(B195="","",rekod!D188)</f>
        <v>MDHS</v>
      </c>
      <c r="D195" s="98">
        <f>IF(B195="","",rekod!E188)</f>
        <v>2019</v>
      </c>
      <c r="E195" s="95" t="str">
        <f>IF(B195="","",PROPER(rekod!H188))</f>
        <v xml:space="preserve">Permohonan Kebenaran Merancang Di Bawah Seksyen 21(A) Akta Perancangan Bandar Dan Desa (Akta 172) Bagi Cadangan Pembangunan Rumah Asnaf Yang Mengandungi :
A) 62 Unit Rumah Berkembar Asnaf 1 Tingkat
B) 1 Unit Surau 1 Tingkat
C) 1 Unit Dewan Serbaguna 1 Tingkat
D) 1 Unit Pusat Komuniti 1 Tingkat
E) 1 Unit Tadika 1 Tingkat
F) 4 Unit Lot Kedai 1 Tingkat
G) 1 Unit Pusat Pengumpulan
H) 1 Unit Rumah Sampah
I) 1 Unit Pencawang Elektrik
J) 2 Unit Tangki Air
K) 2 Unit Rumah Pam
L) 1 Unit Tangki Sedut
 Atas Lot Pt 11436 Dan Sebahagian Pt 11437, Jalan Kuala Kali, Mukim Serendah, Daerah Hulu Selangor, Selangor Darul Ehsan. </v>
      </c>
      <c r="F195" s="98" t="str">
        <f>IF(rekod!F188="","",rekod!F188)</f>
        <v>BERSETUJU</v>
      </c>
    </row>
    <row r="196" spans="1:6" s="69" customFormat="1" ht="114.75" customHeight="1" x14ac:dyDescent="0.3">
      <c r="A196" s="68">
        <f>IF(rekod!B189="","",A195+1)</f>
        <v>183</v>
      </c>
      <c r="B196" s="106" t="str">
        <f>IF(A196="","",UPPER(rekod!B189))</f>
        <v>TETUAN MIRAGO INTERNATIONAL SDN BHD</v>
      </c>
      <c r="C196" s="98" t="str">
        <f>IF(B196="","",rekod!D189)</f>
        <v>MPKj</v>
      </c>
      <c r="D196" s="98">
        <f>IF(B196="","",rekod!E189)</f>
        <v>2019</v>
      </c>
      <c r="E196" s="95" t="str">
        <f>IF(B196="","",PROPER(rekod!H189))</f>
        <v xml:space="preserve">Permohonan Kebenaran Merancang Bagi Tujuan Penyerahan Dan Pemberimilikan Semula Tanah Di Bawah Seksyen 204B, Kanun Tanah Negara Serentak Dengan Cadangan Pembangunan Perumahan Dan Perniagaan Di Bawah Satu Badan Pengurusan, (Seksyen 6 (1A), Akta Hakmilik Strata 1985, Act 318) Di Atas Lot 699, Mukim Ulu Semenyih, Daerah Hulu Langat, Selangor Darul Ehsan. </v>
      </c>
      <c r="F196" s="98" t="str">
        <f>IF(rekod!F189="","",rekod!F189)</f>
        <v>DITOLAK</v>
      </c>
    </row>
    <row r="197" spans="1:6" s="69" customFormat="1" ht="220.5" customHeight="1" x14ac:dyDescent="0.3">
      <c r="A197" s="68">
        <f>IF(rekod!B190="","",A196+1)</f>
        <v>184</v>
      </c>
      <c r="B197" s="106" t="str">
        <f>IF(A197="","",UPPER(rekod!B190))</f>
        <v>TETUAN CYPARK RESOURCES BERHAD</v>
      </c>
      <c r="C197" s="98" t="str">
        <f>IF(B197="","",rekod!D190)</f>
        <v>MPKj</v>
      </c>
      <c r="D197" s="98">
        <f>IF(B197="","",rekod!E190)</f>
        <v>2019</v>
      </c>
      <c r="E197" s="95" t="str">
        <f>IF(B197="","",PROPER(rekod!H190))</f>
        <v xml:space="preserve">Permohonan Kebenaran Merancang Bagi Membina 3 Blok Pangsapuri 518 Unit Yang Terdiri Daripada: 
I. Blok A - 211 Unit Pangsapuri 39 Tingkat, Blok B -180 Unit 37 Tingkat &amp; Blok C - 127 Unit 23 Tingkat, Termasuk 7 Tingkat Podium Tempat Letak Kereta 1 Tingkat Kemudahan + 1 Tingkat Tempat Letak Kereta Separa Basement 
Ii.3 Unit Pencawang Elektrik, 
Iii.2 Unit Kebuk Sampah &amp; 
Iv.1 Unit Pondok Pengawal 
Secara Serah Balik Dan Berimilik Semula Di Bawah Seksyen 2048 Kanun Tanah Negara, Di Atas Lot 2425 Dan Lot 2426, Kawasan Simpanan Melayu Bukit Enggang, Jalan Desa Budiman, Bandar Sungai Long, Mukim Hulu Langat, Daerah Hulu Langat, Selangor Darul Ehsan. </v>
      </c>
      <c r="F197" s="98" t="str">
        <f>IF(rekod!F190="","",rekod!F190)</f>
        <v>BERSETUJU</v>
      </c>
    </row>
    <row r="198" spans="1:6" s="69" customFormat="1" ht="81" customHeight="1" x14ac:dyDescent="0.3">
      <c r="A198" s="68">
        <f>IF(rekod!B191="","",A197+1)</f>
        <v>185</v>
      </c>
      <c r="B198" s="106" t="str">
        <f>IF(A198="","",UPPER(rekod!B191))</f>
        <v>TETUAN AEROFRONT CITY DEVELOPMENTS SDN. BHD</v>
      </c>
      <c r="C198" s="98" t="str">
        <f>IF(B198="","",rekod!D191)</f>
        <v>MPSpg</v>
      </c>
      <c r="D198" s="98">
        <f>IF(B198="","",rekod!E191)</f>
        <v>2019</v>
      </c>
      <c r="E198" s="95" t="str">
        <f>IF(B198="","",PROPER(rekod!H191))</f>
        <v xml:space="preserve">Permohonan Kebenaran Merancang Bagi Cadangan Pembangunan Bercampur Secara Serah Balik Dan Berimilik Semula Tanah Di Bawah Seksyen 204B, Kanun Tanah Negara 1965 Di Atas Lot 8590 Pn 113455, Mukim Labu, Daerah Sepang, Selangor Darul Ehsan. </v>
      </c>
      <c r="F198" s="98" t="str">
        <f>IF(rekod!F191="","",rekod!F191)</f>
        <v>BERSETUJU</v>
      </c>
    </row>
    <row r="199" spans="1:6" s="69" customFormat="1" ht="268.5" customHeight="1" x14ac:dyDescent="0.3">
      <c r="A199" s="68">
        <f>IF(rekod!B192="","",A198+1)</f>
        <v>186</v>
      </c>
      <c r="B199" s="106" t="str">
        <f>IF(A199="","",UPPER(rekod!B192))</f>
        <v>TETUAN FATIN NATASHA KAMARUDDIN</v>
      </c>
      <c r="C199" s="98" t="str">
        <f>IF(B199="","",rekod!D192)</f>
        <v>MPS</v>
      </c>
      <c r="D199" s="98">
        <f>IF(B199="","",rekod!E192)</f>
        <v>2019</v>
      </c>
      <c r="E199" s="95" t="str">
        <f>IF(B199="","",PROPER(rekod!H192))</f>
        <v xml:space="preserve">Permohonan Kebenaran Merancang Pendirian Bangunan Bagi Tujuan Penyerahan Balik Dan Pemberimilikan Semula Di Bawah Seksyen 204B Untuk Cadangan Pembangunan Perumahan Mampu Milik 924 Unit Perumahan Mampu Milik Selangorku (Jenis C Dan Jenis D) Di Bawah Lembaga Perumahan Dan Hartanah Selangor Yang Mengandungi:-
1. 2Blok Pangsapuri Blok A-17 Tingkat 476 Unit (Jenis C-136 Dan Jenis D-40), Blok B-16 Tingkat 448 Unit (Jenis C-144 Dan Jenis D-304)
2. 4 Tingkat Blok Kemudahan Yang Mengandungi 8 Unit Kedai, 1 Unit Dewan Serbaguna, 1 Unit Pejabat Pengurusan, 1 Unit Tadika, 1 Unit Bilik Serbaguna Dan 2 Unit Surau
3. 6 Tingkat Tempat Letak Kereta Beserta 1 Unit Pencawang Elektrik (Ssu), Stor, Taman Permainan Kanak-Kanak, Pavilion Serbaguna Serta Gelanggang Serbaguna
4. Tempat Pembuangan Sampah Dan Pondok Pengawal
Di Atas Lot 4678, 46179 Dan 46180 Mukim Baru, Daerah Gombak Selangor Darul Ehsan. </v>
      </c>
      <c r="F199" s="98" t="str">
        <f>IF(rekod!F192="","",rekod!F192)</f>
        <v>BERSETUJU</v>
      </c>
    </row>
    <row r="200" spans="1:6" s="69" customFormat="1" ht="262.5" customHeight="1" x14ac:dyDescent="0.3">
      <c r="A200" s="68">
        <f>IF(rekod!B193="","",A199+1)</f>
        <v>187</v>
      </c>
      <c r="B200" s="106" t="str">
        <f>IF(A200="","",UPPER(rekod!B193))</f>
        <v>TETUAN LEMBAH LANGAT DEVELOPMENT SDN BHD</v>
      </c>
      <c r="C200" s="98" t="str">
        <f>IF(B200="","",rekod!D193)</f>
        <v>MPAJ</v>
      </c>
      <c r="D200" s="98">
        <f>IF(B200="","",rekod!E193)</f>
        <v>2019</v>
      </c>
      <c r="E200" s="95" t="str">
        <f>IF(B200="","",PROPER(rekod!H193))</f>
        <v xml:space="preserve">Permohonan Kebenaran Merancang Pindaan Pelan Susunatur Yang Telah Diluluskan Majlis Perbandaran Ampang Jaya, Rujukan Kelulusan : Mpaj 11 / 2 / 2 / 27-2012 Bertarikh 11 September 2013 Bagi Pindaan Cadangan Pembangunan Yang Mengandungi: 
I. Fasa B1 - 3 Blok Pangsapuri (7 - 14 Tingkat) Berjumlah 256 Unit Berserta 4 Podium Tempat Letak Kereta Dan 2 Tingkat Tempat Letak Kereta Di Aras Bawah 1 Hingga 2 Di Atas Lot 126923 (Grn 335465)
Ii. Fasa B2 - Pangsapuri (6-9 Tingkat) Berjumlah 178 Unit Berserta 3 Tingkat Tempat Letak Kereta Di Aras Bawah 1 Hingga 3 Di Atas Lot 126926 (Grn 335468) 
Iii. Fasa D - 3 Blok Pangsapuri (8 - 19 Tingkat) Berjumlah 287 Unit Dan Rumah Bandar Berjumlah 55 Unit Berserta 3 Tingkat Podium Tempat Letak Kereta Dan 1 Tingkat Tempat Letak Kereta Di Aras Bawah Di Atas Lot 126925 (Grn 335467) 
Seksyen 2, (Lot Lama Sebahagian Lot 7125) Taman Kelab Ukay, Bandar Hulu Kelang, Daerah Gombak, Selangor Darul Ehsan. </v>
      </c>
      <c r="F200" s="98" t="str">
        <f>IF(rekod!F193="","",rekod!F193)</f>
        <v>BERSETUJU</v>
      </c>
    </row>
    <row r="201" spans="1:6" s="69" customFormat="1" ht="97.5" customHeight="1" x14ac:dyDescent="0.3">
      <c r="A201" s="68">
        <f>IF(rekod!B194="","",A200+1)</f>
        <v>188</v>
      </c>
      <c r="B201" s="106" t="str">
        <f>IF(A201="","",UPPER(rekod!B194))</f>
        <v>TETUAN FAME ACTION SDN. BHD</v>
      </c>
      <c r="C201" s="98" t="str">
        <f>IF(B201="","",rekod!D194)</f>
        <v>MPKj</v>
      </c>
      <c r="D201" s="98">
        <f>IF(B201="","",rekod!E194)</f>
        <v>2019</v>
      </c>
      <c r="E201" s="95" t="str">
        <f>IF(B201="","",PROPER(rekod!H194))</f>
        <v xml:space="preserve">Permohonan Kebenaran Merancang Bagi Serahbalik Dan Berimilik Semula Di Bawah Seksyen 204 (B) Kanun Tanah Negara Bagi Cadangan Pembangunan Perumahan Bercampur Sejumlah 598 Unit Di Atas Lot 4293, 4294, 4295, 4296, 1656 Dan 4192, Persiaran Sl 7A, Sungai Long, Mukim Cheras, Daerah Hulu Langat, Selangor Darul Ehsan.  </v>
      </c>
      <c r="F201" s="98" t="str">
        <f>IF(rekod!F194="","",rekod!F194)</f>
        <v>BERSETUJU</v>
      </c>
    </row>
    <row r="202" spans="1:6" s="69" customFormat="1" ht="86.25" customHeight="1" x14ac:dyDescent="0.3">
      <c r="A202" s="68">
        <f>IF(rekod!B195="","",A201+1)</f>
        <v>189</v>
      </c>
      <c r="B202" s="106" t="str">
        <f>IF(A202="","",UPPER(rekod!B195))</f>
        <v>TETUAN BANDAR INTAN SDN. BHD</v>
      </c>
      <c r="C202" s="98" t="str">
        <f>IF(B202="","",rekod!D195)</f>
        <v>MDKL</v>
      </c>
      <c r="D202" s="98">
        <f>IF(B202="","",rekod!E195)</f>
        <v>2019</v>
      </c>
      <c r="E202" s="95" t="str">
        <f>IF(B202="","",PROPER(rekod!H195))</f>
        <v>Permohonan Kebenaran Merancang Mengikut Seksyen 21 Akta 172 Bagi Tujuan Menyerah Balik Dan Pemberimilikan Semula Tanah Di Bawah Seksyen 204B, Kanun Tanah Negara, Di Atas Lot 3924 (Pm 1099), Seluas 2.762 Ekar, Mukim Teluk Panglima Garang,Daerah Kuala Langat, Selangor Darul Ehsan.</v>
      </c>
      <c r="F202" s="98" t="str">
        <f>IF(rekod!F195="","",rekod!F195)</f>
        <v>BERSETUJU</v>
      </c>
    </row>
    <row r="203" spans="1:6" s="69" customFormat="1" ht="101.25" customHeight="1" x14ac:dyDescent="0.3">
      <c r="A203" s="68">
        <f>IF(rekod!B196="","",A202+1)</f>
        <v>190</v>
      </c>
      <c r="B203" s="106" t="str">
        <f>IF(A203="","",UPPER(rekod!B196))</f>
        <v>TETUAN SUNGEI LALANG DEVELOPMENT SDN. BHD,</v>
      </c>
      <c r="C203" s="98" t="str">
        <f>IF(B203="","",rekod!D196)</f>
        <v>MPSpg</v>
      </c>
      <c r="D203" s="98">
        <f>IF(B203="","",rekod!E196)</f>
        <v>2019</v>
      </c>
      <c r="E203" s="95" t="str">
        <f>IF(B203="","",PROPER(rekod!H196))</f>
        <v xml:space="preserve">Permohonan Kebenaran Merancang Bagi Tujuan Penyerahan Balik Dan Pemberimilikan Semula Di Bawah Seksyen 204B, Kanun Tanah Negara (Ktn) Dan Seksyen 6 Akta 318 (Akta Hak Milik Strata 1985), Bagi Cadangan Pembangunan Pangsapuri Di Atas Lot 2936, 2937,2938,2939, 2940 Dan Lot 2941, Rezab Melayu Sg. Meras, Mukim Dengkil, Daerah Sepang, Selangor Darul Ehsan. </v>
      </c>
      <c r="F203" s="98" t="str">
        <f>IF(rekod!F196="","",rekod!F196)</f>
        <v>BERSETUJU</v>
      </c>
    </row>
    <row r="204" spans="1:6" s="69" customFormat="1" ht="108.75" customHeight="1" x14ac:dyDescent="0.3">
      <c r="A204" s="68">
        <f>IF(rekod!B197="","",A203+1)</f>
        <v>191</v>
      </c>
      <c r="B204" s="106" t="str">
        <f>IF(A204="","",UPPER(rekod!B197))</f>
        <v>TETUAN MALAYSIA BOTANICAL GARDENS RESORT SDN.BHD.</v>
      </c>
      <c r="C204" s="98" t="str">
        <f>IF(B204="","",rekod!D197)</f>
        <v>MDHS</v>
      </c>
      <c r="D204" s="98">
        <f>IF(B204="","",rekod!E197)</f>
        <v>2019</v>
      </c>
      <c r="E204" s="95" t="str">
        <f>IF(B204="","",PROPER(rekod!H197))</f>
        <v xml:space="preserve">Permohonan Kebenaran Merancang Pelan Susunatur Bagi Tujuan Penyerahan Balik Dan Pemberimilikan Semula Di Bawah Seksyen 204B Kanun Tanah Negara Bagi Cadangan Pembangunan Sebuah 'Resort Peranginan' Di Atas Tapak Seluas 9.66 Ekar Serta Taman Botani Di Atas Tapak Seluas 186.74 Ekar Di Atas Lot 8993 (Pt 2910) Seluas 201.91 Ekar, Mukim Batang Kali, Daerah Hulu Selangor, Selangor Darul Ehsan. </v>
      </c>
      <c r="F204" s="98" t="str">
        <f>IF(rekod!F197="","",rekod!F197)</f>
        <v>BERSETUJU</v>
      </c>
    </row>
    <row r="205" spans="1:6" s="69" customFormat="1" ht="114" customHeight="1" x14ac:dyDescent="0.3">
      <c r="A205" s="68">
        <f>IF(rekod!B198="","",A204+1)</f>
        <v>192</v>
      </c>
      <c r="B205" s="106" t="str">
        <f>IF(A205="","",UPPER(rekod!B198))</f>
        <v>TETUAN SCIENTEX PARK (M) SDN BHD</v>
      </c>
      <c r="C205" s="98" t="str">
        <f>IF(B205="","",rekod!D198)</f>
        <v>MPS</v>
      </c>
      <c r="D205" s="98">
        <f>IF(B205="","",rekod!E198)</f>
        <v>2019</v>
      </c>
      <c r="E205" s="95" t="str">
        <f>IF(B205="","",PROPER(rekod!H198))</f>
        <v>Permohonan Kebenaran Merancang Bagi Tujuan Penyerahan Balik Dan Pemberimilikan Semula Di Bawah Seksyen 204B (Ktn) Untuk Cadangan Pembangunan Rumah Selangorku, Plot Perdagangan Dan Pembangunan Perumahan Skim Gated Komuniti Di Bawah Seksyen 6(1) Akta 318 (Akya Hakmilik Strata 1985) Fasa 2 Di Atas Lot Pt 49625 (Sebahagian Lot Lama 12165), Mukim Rawang, Daerah Gombak, Selangor Darul Ehsan.</v>
      </c>
      <c r="F205" s="98" t="str">
        <f>IF(rekod!F198="","",rekod!F198)</f>
        <v>BERSETUJU</v>
      </c>
    </row>
    <row r="206" spans="1:6" s="69" customFormat="1" ht="77.25" customHeight="1" x14ac:dyDescent="0.3">
      <c r="A206" s="68">
        <f>IF(rekod!B199="","",A205+1)</f>
        <v>193</v>
      </c>
      <c r="B206" s="106" t="str">
        <f>IF(A206="","",UPPER(rekod!B199))</f>
        <v>TETUAN TENAGA NASIONAL BERHAD</v>
      </c>
      <c r="C206" s="98" t="str">
        <f>IF(B206="","",rekod!D199)</f>
        <v>MPSpg</v>
      </c>
      <c r="D206" s="98">
        <f>IF(B206="","",rekod!E199)</f>
        <v>2019</v>
      </c>
      <c r="E206" s="95" t="str">
        <f>IF(B206="","",PROPER(rekod!H199))</f>
        <v xml:space="preserve">Permohonan Kebenaran Merancang Bagi Cadangan Pembangunan Projek Pencawang Masuk Utama (Pmu) 500/275Kv Di Atas Lot 3493, 3494, 3495, 3499, 3500, 3501 Dan Lot 3496 Mukim Dengkil, Daerah Sepang, Selangor Darul Ehsan. </v>
      </c>
      <c r="F206" s="98" t="str">
        <f>IF(rekod!F199="","",rekod!F199)</f>
        <v>BERSETUJU</v>
      </c>
    </row>
    <row r="207" spans="1:6" s="69" customFormat="1" ht="353.25" customHeight="1" x14ac:dyDescent="0.3">
      <c r="A207" s="68">
        <f>IF(rekod!B200="","",A206+1)</f>
        <v>194</v>
      </c>
      <c r="B207" s="106" t="str">
        <f>IF(A207="","",UPPER(rekod!B200))</f>
        <v>TETUAN MAGNA FORUM SDN. BHD.</v>
      </c>
      <c r="C207" s="98" t="str">
        <f>IF(B207="","",rekod!D200)</f>
        <v>MPS</v>
      </c>
      <c r="D207" s="98">
        <f>IF(B207="","",rekod!E200)</f>
        <v>2019</v>
      </c>
      <c r="E207" s="95" t="str">
        <f>IF(B207="","",PROPER(rekod!H200))</f>
        <v xml:space="preserve">Permohonan Kebenaran Merancang Bagi Serah Balik Dan Berimilik Semula Tanah Di Bawah Seksyen 204B Ktn Bagi Cadangan Pembangunan Yang Mengandungi :-
1.  1 Blok Soho 46 Tingkat Yang Terdiri Daripada Pangsapuri Mampu Milik (100 Unit) Dari Tingkat 5 Hingga Tingkat 14 Dan Soho Mampu Milik (34 Unit) Dari Tingkat 15 Hingga Tingkat 18 Dan Soho (302 Unit) Dari Tingkat 18 Hingga Tingkat 46.
2.   2 Blok Pangsapuri Perkhidmatan (560 Unit) 34 Tingkat Dari Tingkat 5 Hingga Tingkat 34
3.   6 Tingkat Tempat Letak Kereta Aras Bawah Tanah
4.  5 Tingkat Podium Yang Mengandungi 4 Tingkat Tempat Letak Kereta Dari Tingkat Bawah Hingga Tingkat 3 Dan 1 Tingkat Kemudahan Di Tingkat 4 Yang Mengandungi: 
I. Kolam Renang Dan Ruang Persalinan
Ii. Gymnasium
Iii. Ruang Membaca
Iv. Surau
V. Dewan Serbaguna
Vi. Taska
Vii. Pejabat Pengurusan
5. 1 Unit Pondok Pengawal, 1 Unit Kebuk Sampah Dan 1 Unit Pencawang Elektrik.
Di Atas Lot 1342 Dan Lot 1343, Mukim Rawang, Daerah Gombak, Selangor Darul Ehsan. </v>
      </c>
      <c r="F207" s="98" t="str">
        <f>IF(rekod!F200="","",rekod!F200)</f>
        <v>BERSETUJU</v>
      </c>
    </row>
    <row r="208" spans="1:6" s="69" customFormat="1" ht="83.25" customHeight="1" x14ac:dyDescent="0.3">
      <c r="A208" s="68">
        <f>IF(rekod!B201="","",A207+1)</f>
        <v>195</v>
      </c>
      <c r="B208" s="106" t="str">
        <f>IF(A208="","",UPPER(rekod!B201))</f>
        <v>TETUAN KETAPANG BUMI SDN BHD.</v>
      </c>
      <c r="C208" s="98" t="str">
        <f>IF(B208="","",rekod!D201)</f>
        <v>MPSpg</v>
      </c>
      <c r="D208" s="98">
        <f>IF(B208="","",rekod!E201)</f>
        <v>2019</v>
      </c>
      <c r="E208" s="95" t="str">
        <f>IF(B208="","",PROPER(rekod!H201))</f>
        <v>Permohonan Kebenaran Merancang Bagi Pembangunan Bercampur Di Bawah Akta Hakmilik Strata 1985 (Akta 318) Secara Serah Balik Dan Berimilik Semula Dibawah Seksyen 204B, Kanun Tanah Negara (Ktn) 1965, Di Atas Lot 30725 &amp; 30726, Cybersouth, Mukim Dengkil Daerah Sepang, Selangor Darul Ehsan.</v>
      </c>
      <c r="F208" s="98" t="str">
        <f>IF(rekod!F201="","",rekod!F201)</f>
        <v>BERSETUJU</v>
      </c>
    </row>
    <row r="209" spans="1:6" s="69" customFormat="1" ht="83.25" customHeight="1" x14ac:dyDescent="0.3">
      <c r="A209" s="68">
        <f>IF(rekod!B202="","",A208+1)</f>
        <v>196</v>
      </c>
      <c r="B209" s="106" t="str">
        <f>IF(A209="","",UPPER(rekod!B202))</f>
        <v>TETUAN MENARA TUNGGAL SDN. BHD.</v>
      </c>
      <c r="C209" s="98" t="str">
        <f>IF(B209="","",rekod!D202)</f>
        <v>MDKL</v>
      </c>
      <c r="D209" s="98">
        <f>IF(B209="","",rekod!E202)</f>
        <v>2019</v>
      </c>
      <c r="E209" s="95" t="str">
        <f>IF(B209="","",PROPER(rekod!H202))</f>
        <v xml:space="preserve">Permohonan Kebenaran Merancang Mengikut Seksyen 21 Akta 172 Bagi Tujuan Menyerah Balik Dan Pemberimilikan Semula Tanah Di Bawah Seksyen 204B Kanun Tanah Negara, Di Atas Lot 11861 (Pm 2286) 2.930 Ekar, Mukim Tanjung Dua Belas, Daerah Kuala Langat, Selangor Darul Ehsan. </v>
      </c>
      <c r="F209" s="98" t="str">
        <f>IF(rekod!F202="","",rekod!F202)</f>
        <v>BERSETUJU</v>
      </c>
    </row>
    <row r="210" spans="1:6" s="69" customFormat="1" ht="83.25" customHeight="1" x14ac:dyDescent="0.3">
      <c r="A210" s="68">
        <f>IF(rekod!B203="","",A209+1)</f>
        <v>197</v>
      </c>
      <c r="B210" s="106" t="str">
        <f>IF(A210="","",UPPER(rekod!B203))</f>
        <v>TETUAN ASC CONSTRUCTION &amp; DEVELOPMENT SDN. BHD.</v>
      </c>
      <c r="C210" s="98" t="str">
        <f>IF(B210="","",rekod!D203)</f>
        <v>MPS</v>
      </c>
      <c r="D210" s="98">
        <f>IF(B210="","",rekod!E203)</f>
        <v>2019</v>
      </c>
      <c r="E210" s="95" t="str">
        <f>IF(B210="","",PROPER(rekod!H203))</f>
        <v xml:space="preserve">Permohonan Kebenaran Merancang Pelan Susunatur Bagi Cadangan Pembangunan Perumahan Dan Perniagaan Secara Serah Balik Dan Berimilik Semula Tanah, Dibawah Seksyen 204B, Kanun Tanah Negara (Ktn) Di Atas Lot 13 Seksyen 1, Bandar Batu Arang, Daerah Gombak, Selangor Darul Ehsan. </v>
      </c>
      <c r="F210" s="127" t="str">
        <f>IF(rekod!F203="","",rekod!F203)</f>
        <v>DITANGGUHKAN</v>
      </c>
    </row>
    <row r="211" spans="1:6" s="69" customFormat="1" ht="208.5" customHeight="1" x14ac:dyDescent="0.3">
      <c r="A211" s="68">
        <f>IF(rekod!B204="","",A210+1)</f>
        <v>198</v>
      </c>
      <c r="B211" s="106" t="str">
        <f>IF(A211="","",UPPER(rekod!B204))</f>
        <v>TETUAN LA CIME DEVELOPMENT SDN. BHD.</v>
      </c>
      <c r="C211" s="98" t="str">
        <f>IF(B211="","",rekod!D204)</f>
        <v>MPAJ</v>
      </c>
      <c r="D211" s="98">
        <f>IF(B211="","",rekod!E204)</f>
        <v>2019</v>
      </c>
      <c r="E211" s="95" t="str">
        <f>IF(B211="","",PROPER(rekod!H204))</f>
        <v xml:space="preserve">Permohonan Kebenaran Merancang Bagi Cadangan 29 Unit Rumah Pangsapuri Kos Bebas Yang Mengandungi :
I. 1 Blok 3 Tingkat Yang Terdiri Dari 9 Unit Pangsapuri
Ii. 1 Blok 8 Tingkat Yang Terdiri Dari 20 Unit Pangsapuri
Iii. Rumah Kelab, Tempat Letak Kereta Beserta Fasiliti Sokongan Kemudahan Di Aras Bawah Tanah
Iv. 1 Unit Pondok Pengawal
Bagi Penyerahan Balik Tanah Di Bawah Seksyen 197 Dan Pemberimilikan Semula Dibawah Seksyen 76 Ktn Di Atas Lot 1467 (Grn 46302), Lot 1648 (Grn 46303) Dan Sebahagian Tanah Kerajaan, Mukim Hulu Kelang, Daerah Gombak, Selangor Darul Ehsan. 
</v>
      </c>
      <c r="F211" s="98" t="str">
        <f>IF(rekod!F204="","",rekod!F204)</f>
        <v>BERSETUJU</v>
      </c>
    </row>
    <row r="212" spans="1:6" s="69" customFormat="1" ht="76.5" customHeight="1" x14ac:dyDescent="0.3">
      <c r="A212" s="68">
        <f>IF(rekod!B205="","",A211+1)</f>
        <v>199</v>
      </c>
      <c r="B212" s="106" t="str">
        <f>IF(A212="","",UPPER(rekod!B205))</f>
        <v>TETUAN MOHAMMED NASH'AD EMIR BIN JAMIL</v>
      </c>
      <c r="C212" s="98" t="str">
        <f>IF(B212="","",rekod!D205)</f>
        <v>MBPJ</v>
      </c>
      <c r="D212" s="98">
        <f>IF(B212="","",rekod!E205)</f>
        <v>2020</v>
      </c>
      <c r="E212" s="95" t="str">
        <f>IF(B212="","",PROPER(rekod!H205))</f>
        <v xml:space="preserve">Permohonan Kebenaran Merancang Bagi Cadangan Membina Sebuah Rumah Sesebuah Tiga Tingkat Dan Kolam Renang Di Atas Lot Pt573, Jalan 5/66A, Bandar Petaling Jaya, Daerah Petaling, Selangor Darul Ehsan. </v>
      </c>
      <c r="F212" s="98" t="str">
        <f>IF(rekod!F205="","",rekod!F205)</f>
        <v>DITOLAK</v>
      </c>
    </row>
    <row r="213" spans="1:6" s="69" customFormat="1" ht="53.25" customHeight="1" x14ac:dyDescent="0.3">
      <c r="A213" s="68">
        <f>IF(rekod!B206="","",A212+1)</f>
        <v>200</v>
      </c>
      <c r="B213" s="106" t="str">
        <f>IF(A213="","",UPPER(rekod!B206))</f>
        <v>TETUAN MALAYSIA RAIL LINK SDN. BHD.</v>
      </c>
      <c r="C213" s="98" t="str">
        <f>IF(B213="","",rekod!D206)</f>
        <v>MDKL</v>
      </c>
      <c r="D213" s="98">
        <f>IF(B213="","",rekod!E206)</f>
        <v>2020</v>
      </c>
      <c r="E213" s="95" t="str">
        <f>IF(B213="","",PROPER(rekod!H206))</f>
        <v xml:space="preserve">Cadangan Projek Laluan Rel Pantai Timur (Ecrl) Bagi Konsep Pembangunan Jajaran Dan Lokasi Stesen Ecrl Di Selangor. </v>
      </c>
      <c r="F213" s="98" t="str">
        <f>IF(rekod!F206="","",rekod!F206)</f>
        <v>BERSETUJU</v>
      </c>
    </row>
    <row r="214" spans="1:6" s="69" customFormat="1" ht="102.75" customHeight="1" x14ac:dyDescent="0.3">
      <c r="A214" s="68">
        <f>IF(rekod!B207="","",A213+1)</f>
        <v>201</v>
      </c>
      <c r="B214" s="106" t="str">
        <f>IF(A214="","",UPPER(rekod!B207))</f>
        <v>TETUAN DATO' APPALASUWAMI A/L SURIDEMUDU</v>
      </c>
      <c r="C214" s="98" t="str">
        <f>IF(B214="","",rekod!D207)</f>
        <v>MDHS</v>
      </c>
      <c r="D214" s="98">
        <f>IF(B214="","",rekod!E207)</f>
        <v>2020</v>
      </c>
      <c r="E214" s="95" t="str">
        <f>IF(B214="","",PROPER(rekod!H207))</f>
        <v>Permohonan Kebenaran  Merancang Di Bawah Seksyen 204B Kanun Tanah Negara  Bagi Tujuan Serah Balik Dan Berimilik Semula Untuk Cadangan Membina 1 Unit Bangunan Pejabat Beserta Litar Bagi Sekolah Memandu Di Atas Lot 23075, Lot 23076, Lot 23963,Lot 23039 Dan Lot 23040 Bandar Serendah, Daerah Hulu Selangor, Selangor Darul Ehsan.</v>
      </c>
      <c r="F214" s="98" t="str">
        <f>IF(rekod!F207="","",rekod!F207)</f>
        <v>BERSETUJU</v>
      </c>
    </row>
    <row r="215" spans="1:6" s="69" customFormat="1" ht="137.25" customHeight="1" x14ac:dyDescent="0.3">
      <c r="A215" s="68">
        <f>IF(rekod!B208="","",A214+1)</f>
        <v>202</v>
      </c>
      <c r="B215" s="106" t="str">
        <f>IF(A215="","",UPPER(rekod!B208))</f>
        <v>TETUAN ZHINMUN SDN. BHD.</v>
      </c>
      <c r="C215" s="98" t="str">
        <f>IF(B215="","",rekod!D208)</f>
        <v>MPS</v>
      </c>
      <c r="D215" s="98">
        <f>IF(B215="","",rekod!E208)</f>
        <v>2020</v>
      </c>
      <c r="E215" s="95" t="str">
        <f>IF(B215="","",PROPER(rekod!H208))</f>
        <v>Permohonan Kebenaran  Merancang Bagi Tujuan Penyerahan Balik Secara Keseluruhan Di Bawah Seksyen 197 Dan Pelupusan Secara Pemberimilikan Di Bawah Seksyen 76, Kanun Tanah Negara (Ktn), Bagi Cadangan Pembangunan Perumahan Bercampur Di Atas Lot 67746 Hingga Lot 67796, Lot 67799 Hingga Lot 68136, Lot 68138 Hingga Lot 68182, Lot 68185 Hingga 68281, Lot 68283 Hingga 68311, Dan Sebahagian Tanah Kerajaan, Seluas 50.00 Ekar, Bandar Selayang, Daerah Gombak, Selangor Darul Ehsan.</v>
      </c>
      <c r="F215" s="98" t="str">
        <f>IF(rekod!F208="","",rekod!F208)</f>
        <v>BERSETUJU</v>
      </c>
    </row>
    <row r="216" spans="1:6" s="69" customFormat="1" ht="133.5" customHeight="1" x14ac:dyDescent="0.3">
      <c r="A216" s="68">
        <f>IF(rekod!B209="","",A215+1)</f>
        <v>203</v>
      </c>
      <c r="B216" s="106" t="str">
        <f>IF(A216="","",UPPER(rekod!B209))</f>
        <v>TETUAN OIB PROPERTIES (C) SDN. BHD.</v>
      </c>
      <c r="C216" s="98" t="str">
        <f>IF(B216="","",rekod!D209)</f>
        <v>MPSpg</v>
      </c>
      <c r="D216" s="98">
        <f>IF(B216="","",rekod!E209)</f>
        <v>2020</v>
      </c>
      <c r="E216" s="95" t="str">
        <f>IF(B216="","",PROPER(rekod!H209))</f>
        <v xml:space="preserve">Permohonan Kebenaran Merancang Bagi Tujuan Penyerahan Balik Keseluruhan Tanah Mengikut Seksyen 197 Dan Pemberimilikan Semula Tanah Di Bawah Seksyen 76 (Kanun Tanah Negara 1965) Bagi Cadangan Pembangunan Pangsapuri Di Atas Lot 9034, Pt 39543 Hingga Pt 39638 (Lot Asal 8996, 9027, 9047 Dan Sebahagian Lot Asal 9005, 9026, 9028 &amp; 9033) Dan Sebahagian Tanah Kerajaan, Puncak Pinggiran Putra, Sg. Merab, Mukim Dengkil, Daerah Sepang, Selangor Darul Ehsan. </v>
      </c>
      <c r="F216" s="98" t="str">
        <f>IF(rekod!F209="","",rekod!F209)</f>
        <v>BERSETUJU</v>
      </c>
    </row>
    <row r="217" spans="1:6" s="69" customFormat="1" ht="114" customHeight="1" x14ac:dyDescent="0.3">
      <c r="A217" s="68">
        <f>IF(rekod!B210="","",A216+1)</f>
        <v>204</v>
      </c>
      <c r="B217" s="106" t="str">
        <f>IF(A217="","",UPPER(rekod!B210))</f>
        <v xml:space="preserve">TETUAN ASPIRE ESTATE SDN. BHD. </v>
      </c>
      <c r="C217" s="98" t="str">
        <f>IF(B217="","",rekod!D210)</f>
        <v>MBPJ</v>
      </c>
      <c r="D217" s="98">
        <f>IF(B217="","",rekod!E210)</f>
        <v>2020</v>
      </c>
      <c r="E217" s="95" t="str">
        <f>IF(B217="","",PROPER(rekod!H210))</f>
        <v xml:space="preserve">Permohonan Kebenaran Merancang Mengikut Seksyen 21, Akta Perancangan Bandar Dan Desa (1976) Bagi Cadangan Pembinaan 3 Blok 16-17 Tingkat Pangsapuri (736 Unit) Dan Kemudahan Berkaitan Di Tingkat 1 Serta 1 Aras Bawah Rendah Dan 5 Aras Sub-Basemen Tempat Letak Kereta Di Atas Lot 51585, Damansara Perdana, Mukim Sungai Buloh, Daerah Petaling, Selangor Darul Ehsan. </v>
      </c>
      <c r="F217" s="98" t="str">
        <f>IF(rekod!F210="","",rekod!F210)</f>
        <v>BERSETUJU</v>
      </c>
    </row>
    <row r="218" spans="1:6" s="69" customFormat="1" ht="123" customHeight="1" x14ac:dyDescent="0.3">
      <c r="A218" s="68">
        <f>IF(rekod!B211="","",A217+1)</f>
        <v>205</v>
      </c>
      <c r="B218" s="106" t="str">
        <f>IF(A218="","",UPPER(rekod!B211))</f>
        <v>TETUAN KWASA LAND SDN. BHD.</v>
      </c>
      <c r="C218" s="98" t="str">
        <f>IF(B218="","",rekod!D211)</f>
        <v>MBPJ</v>
      </c>
      <c r="D218" s="98">
        <f>IF(B218="","",rekod!E211)</f>
        <v>2020</v>
      </c>
      <c r="E218" s="95" t="str">
        <f>IF(B218="","",PROPER(rekod!H211))</f>
        <v xml:space="preserve">Permohonan Kebenaran Merancang Pelan Susunatur Bagi Pembangunan Bercampur Di Atas Lot 2822, 73530, 73605, 85118, 85119 (Lot Lama 73531), Dan 86292 (Lot Lama 73603) Serta Permohonan Tanah Kerajaan (Rizab Paip Air Dan Tangki Air) Melalui Kaedah Serah Balik Dan Berimilik Semula Di Bawah Seksyen 204B (Ktn 1965) Di Pju 4, Petaling Jaya, Mukim Sungai Buloh Dan Bandar Petaling Jaya, Daerah Petaling, Selangor Darul Ehsan. </v>
      </c>
      <c r="F218" s="98" t="str">
        <f>IF(rekod!F211="","",rekod!F211)</f>
        <v>BERSETUJU</v>
      </c>
    </row>
    <row r="219" spans="1:6" s="69" customFormat="1" ht="85.5" customHeight="1" x14ac:dyDescent="0.3">
      <c r="A219" s="68">
        <f>IF(rekod!B212="","",A218+1)</f>
        <v>206</v>
      </c>
      <c r="B219" s="106" t="str">
        <f>IF(A219="","",UPPER(rekod!B212))</f>
        <v>TETUAN SIME DARBY PROPERTY (SERENIA CITY) SDN. BHD.</v>
      </c>
      <c r="C219" s="98" t="str">
        <f>IF(B219="","",rekod!D212)</f>
        <v>MPSpg</v>
      </c>
      <c r="D219" s="98">
        <f>IF(B219="","",rekod!E212)</f>
        <v>2020</v>
      </c>
      <c r="E219" s="95" t="str">
        <f>IF(B219="","",PROPER(rekod!H212))</f>
        <v xml:space="preserve">Permohonan Kebenaran Merancang Bagi Cadangan Pembangunan Bercampur Melalui Serahbalik Dan Berimilik Semula Di Bawah Seksyen 204B, Kanun Tanah Negara, Di Atas Lot 115633, Lot 115634, Lot 115635, Pt 55389 Dan Pt 55390 Bandar Serenia (Fasa 3), Mukim Dengkil, Daerah Sepang, Selangor Darul Ehsan. </v>
      </c>
      <c r="F219" s="98" t="str">
        <f>IF(rekod!F212="","",rekod!F212)</f>
        <v>DITOLAK</v>
      </c>
    </row>
    <row r="220" spans="1:6" s="69" customFormat="1" ht="153" customHeight="1" x14ac:dyDescent="0.3">
      <c r="A220" s="68">
        <f>IF(rekod!B213="","",A219+1)</f>
        <v>207</v>
      </c>
      <c r="B220" s="106" t="str">
        <f>IF(A220="","",UPPER(rekod!B213))</f>
        <v xml:space="preserve">TETUAN PN. ROZITA BINTI IBRAHIM </v>
      </c>
      <c r="C220" s="98" t="str">
        <f>IF(B220="","",rekod!D213)</f>
        <v>MDHS</v>
      </c>
      <c r="D220" s="98">
        <f>IF(B220="","",rekod!E213)</f>
        <v>2020</v>
      </c>
      <c r="E220" s="95" t="str">
        <f>IF(B220="","",PROPER(rekod!H213))</f>
        <v xml:space="preserve">Permohonan Kebenaran Merancang Pindaan Kepada Pelan Yang Telah Diluluskan Pelan Bil. Mdhs/Tp/70/2017 (Bertarikh : 22Hb. Ogos 2017) Bagi Tujuan Membina Bangunan :
I.	Rumah Pam
Ii.	Tangki Air Mentah
Iii.	Bangunan Elektrik 2 Tingkat
Di Atas Sebahagian Lot 7577, Geran 44562, Genting Highland, Mukim Batang Kali, Daerah Hulu Selangor, Selangor Darul Ehsan. </v>
      </c>
      <c r="F220" s="98" t="str">
        <f>IF(rekod!F213="","",rekod!F213)</f>
        <v>BERSETUJU</v>
      </c>
    </row>
    <row r="221" spans="1:6" s="69" customFormat="1" ht="151.5" customHeight="1" x14ac:dyDescent="0.3">
      <c r="A221" s="68">
        <f>IF(rekod!B214="","",A220+1)</f>
        <v>208</v>
      </c>
      <c r="B221" s="106" t="str">
        <f>IF(A221="","",UPPER(rekod!B214))</f>
        <v>TETUAN GENTING MALAYSIA BERHAD. (RUMAH PAM)</v>
      </c>
      <c r="C221" s="98" t="str">
        <f>IF(B221="","",rekod!D214)</f>
        <v>MDHS</v>
      </c>
      <c r="D221" s="98">
        <f>IF(B221="","",rekod!E214)</f>
        <v>2020</v>
      </c>
      <c r="E221" s="95" t="str">
        <f>IF(B221="","",PROPER(rekod!H214))</f>
        <v xml:space="preserve">Permohonan Kebenaran Merancang Pindaan Kepada Pelan Yang Telah Diluluskan Pelan Bil. Mdhs/Tp/70/2017 (Bertarikh : 22Hb. Ogos 2017) Bagi Tujuan Membina Bangunan :
I.	Rumah Pam
Ii.	Tangki Air Mentah
Iii.	Bangunan Elektrik 2 Tingkat
Di Atas Sebahagian Lot 7577, Geran 44562, Genting Highland, Mukim Batang Kali, Daerah Hulu Selangor, Selangor Darul Ehsan. </v>
      </c>
      <c r="F221" s="98" t="str">
        <f>IF(rekod!F214="","",rekod!F214)</f>
        <v>DITOLAK</v>
      </c>
    </row>
    <row r="222" spans="1:6" s="69" customFormat="1" ht="78.75" customHeight="1" x14ac:dyDescent="0.3">
      <c r="A222" s="68">
        <f>IF(rekod!B215="","",A221+1)</f>
        <v>209</v>
      </c>
      <c r="B222" s="106" t="str">
        <f>IF(A222="","",UPPER(rekod!B215))</f>
        <v xml:space="preserve">TETUAN PERBADANAN KEMAJUAN NEGERI SELANGOR (PKNS) &amp;  TANJONG WAHYU SDN. BHD. </v>
      </c>
      <c r="C222" s="98" t="str">
        <f>IF(B222="","",rekod!D215)</f>
        <v>MBSA</v>
      </c>
      <c r="D222" s="98">
        <f>IF(B222="","",rekod!E215)</f>
        <v>2021</v>
      </c>
      <c r="E222" s="95" t="str">
        <f>IF(B222="","",PROPER(rekod!H215))</f>
        <v xml:space="preserve">Permohonan Kebenaran Merancang Pelan Susunatur Bagi Cadangan Pembangunan Kediaman Bercampur Di Atas Lot 96590 -Lot 96593 &amp; Lot 96595 – Lot 96598, Persiaran Mokhtar Dahari, Seksyen U10, 40170 Shah Alam, Selangor Darul Ehsan. </v>
      </c>
      <c r="F222" s="98" t="str">
        <f>IF(rekod!F215="","",rekod!F215)</f>
        <v>BERSETUJU</v>
      </c>
    </row>
    <row r="223" spans="1:6" s="69" customFormat="1" ht="409.6" customHeight="1" x14ac:dyDescent="0.3">
      <c r="A223" s="68">
        <f>IF(rekod!B216="","",A222+1)</f>
        <v>210</v>
      </c>
      <c r="B223" s="106" t="str">
        <f>IF(A223="","",UPPER(rekod!B216))</f>
        <v>TETUAN ECOFIRST LAND SDN. BHD.</v>
      </c>
      <c r="C223" s="98" t="str">
        <f>IF(B223="","",rekod!D216)</f>
        <v>MPAJ</v>
      </c>
      <c r="D223" s="98">
        <f>IF(B223="","",rekod!E216)</f>
        <v>2021</v>
      </c>
      <c r="E223" s="95" t="str">
        <f>IF(B223="","",PROPER(rekod!H216))</f>
        <v>Permohonan Pindaan Kebenaran Merancang Pelan Susunatur Yang Telah Diluluskan No.Fail (Mpaj.Pb.Kp/2-17/2017(14) Bertarikh 29Hb September 2017 Bagi Penyerah Balik Dan Pemberimiilikan Semula Di Bawah Seksyen 197&amp;76 (Untuk Pt 5337),Penyerah Balik Sebahagian Tanah Di Bawah Seksyen 200 (Untuk Pt 5339) ,Dan Penyerah Balik Dan Pemberimiilikan Semula Di Bawah Seksyen 204B (Untuk Pt 5340), Ktn 1965 Bagi Cadangan Pembangunan Bercampur Yang Mengandungi:
Plot 2:
I.	Unit Stesen Pam Dan Tangki Sedut
Ii.	1 Unit Stesen Pam Dan Loji Kumbahan (Sewerage Treatment Plant)
Iii.	1 Unit Pencawang Padat (7M X 4M)
Iv.	3 Blok Pangsapuri (686 Unit)
- Blok A (268 Unit) - 40 Tingkat
- Blok B (214 Unit)- 33 Tingkat
- 1 Tingkat Ruang Kemudahan
- 5 Tingkat Tempat Letak
- 1 Unit Stesen Suis Utama (Ssu)
- 1 Unit Pencawang Pembahagi Utama(Ppu)
Plot 3
I.        2 Blok Pangsapuri Rumah Selangorku Jenis A, B,C Dan D (686 Unit)
- Blok A (353 Unit)- 27 Tingkat
- Blok B (333 Unit) - 27 Tingkat
- 1 Tingkat Ruang Kemudahan
- 6 Tingkat Tempat Letak Kereta
- 2 Unit Pencawang Elektrik (Pe) Dua Ruang
- 1 Blok Pangsapuri Rsku A Dan B (45 Unit)
- 1 Unit Pencawang Elektrik (Pe) Satu Ruang
- 1 Unit Stesen Pam Dan Tangki Sedut
- 1 Unit Stesen Pam (Iwk)
- 1 Unit Tangki Air
- Rumah Teres Super Link 26',36',46'X 80’
- Rumah Berkembar 35'X88'
- Rumah Sesebuah 80'X100'
- Rumah Bandar Rsku Jenis A (18'X70'), B (18'X70) Dan C(22'70')
- Rumah Teres Rsku Jenis D (20'X60')
- 1 Unit Pencawang Elektrik Dua Ruang
Di Atas Lot Pt 5337, Pt 5338, Pt 5339 Dan Pt 5340 (Dahulunya Lot 15296) Seksyen 2 Dan Pt 5341 (Dahulunya Lot 15297), Bandar Ulu Kelang Daerah Gombak, Selangor Darul Ehsan.</v>
      </c>
      <c r="F223" s="98" t="str">
        <f>IF(rekod!F216="","",rekod!F216)</f>
        <v>BERSETUJU</v>
      </c>
    </row>
    <row r="224" spans="1:6" s="69" customFormat="1" ht="111.75" customHeight="1" x14ac:dyDescent="0.3">
      <c r="A224" s="68">
        <f>IF(rekod!B217="","",A223+1)</f>
        <v>211</v>
      </c>
      <c r="B224" s="106" t="str">
        <f>IF(A224="","",UPPER(rekod!B217))</f>
        <v>TETUAN  SCIENTEX PARK (M) SDN. BHD</v>
      </c>
      <c r="C224" s="98" t="str">
        <f>IF(B224="","",rekod!D217)</f>
        <v>MPKj</v>
      </c>
      <c r="D224" s="98">
        <f>IF(B224="","",rekod!E217)</f>
        <v>2021</v>
      </c>
      <c r="E224" s="95" t="str">
        <f>IF(B224="","",PROPER(rekod!H217))</f>
        <v xml:space="preserve">Permohonan Kebenaran Merancang Dibawah Seksyen 21 Akta 172, Bagi Tujuan Serah Balik Dan Beri Milik Semula Tanah Mengikut Seksyen 204B Kanun Tanah Negara (Ktn) Bagi Cadangan Pembangunan Perumahan Skim Gated Komuniti Dibawah Seksyen 6(1) Akta 316 (Akta Hakmilik Strata 1985) Dan Perniagaan Di Atas Lot 4955, Lot 763, Lot 178, Lot 1138, Lot 1575 &amp; Lot 1708, Mukim Hulu Langat, Daerah Hulu Langat, Selangor Darul Ehsan. </v>
      </c>
      <c r="F224" s="98" t="str">
        <f>IF(rekod!F217="","",rekod!F217)</f>
        <v>BERSETUJU</v>
      </c>
    </row>
    <row r="225" spans="1:6" s="69" customFormat="1" ht="95.25" customHeight="1" x14ac:dyDescent="0.3">
      <c r="A225" s="68">
        <f>IF(rekod!B218="","",A224+1)</f>
        <v>212</v>
      </c>
      <c r="B225" s="106" t="str">
        <f>IF(A225="","",UPPER(rekod!B218))</f>
        <v>TETUAN PENGURUSAN ASET AIR BERHAD.</v>
      </c>
      <c r="C225" s="98" t="str">
        <f>IF(B225="","",rekod!D218)</f>
        <v>MPKj</v>
      </c>
      <c r="D225" s="98">
        <f>IF(B225="","",rekod!E218)</f>
        <v>2021</v>
      </c>
      <c r="E225" s="95" t="str">
        <f>IF(B225="","",PROPER(rekod!H218))</f>
        <v xml:space="preserve">Cadangan Projek Loji Rawatan Air Langat 2 Dan Kerja-Kerja Pengagihan Air Di Negeri Selangor Darul Ehsan / Wilayah Persekutuan Kuala Lumpur.
Permohonan Kebenaran Merancang Bagi Cadangan Bagi Tapak Pelupusan Enapcemar Langat 2 (Pakej 3), Mukim Hulu Langat, Daerah Hulu Langat, Selangor Darul Ehsan. </v>
      </c>
      <c r="F225" s="98" t="str">
        <f>IF(rekod!F218="","",rekod!F218)</f>
        <v>BERSETUJU</v>
      </c>
    </row>
    <row r="226" spans="1:6" s="69" customFormat="1" ht="207.75" customHeight="1" x14ac:dyDescent="0.3">
      <c r="A226" s="68">
        <f>IF(rekod!B219="","",A225+1)</f>
        <v>213</v>
      </c>
      <c r="B226" s="106" t="str">
        <f>IF(A226="","",UPPER(rekod!B219))</f>
        <v>TETUAN GOOD DEBUT SDN BHD</v>
      </c>
      <c r="C226" s="98" t="str">
        <f>IF(B226="","",rekod!D219)</f>
        <v>MPAJ</v>
      </c>
      <c r="D226" s="98">
        <f>IF(B226="","",rekod!E219)</f>
        <v>2021</v>
      </c>
      <c r="E226" s="95" t="str">
        <f>IF(B226="","",PROPER(rekod!H219))</f>
        <v>Cadangan Pindaan Ke Atas Pelan Bangunan Yang Telah Diluluskan No. Rujukan : Mpaj 04/1/2-08/04-1Bertarikh 22 Julai 2008 Untuk 100 Unit Rumah Teres 2 ½ Tingkat (Daripada 252 Unit Jumlah Keseluruhan) Seperti Berikut :
A)	29 Unit Jenis Rt-E Di Atas Pt4587 Hingga Pt4594, Pt 4730, Pt4731, Dan Pt4793 Hingga Pt4811;
B)	38 Unit Jenis Rt-F Di Atas Pt4595 Hingga Pt4610, Pt4623 Hingga Pt4637 Dan Pt4812 Hingga Pt4818;
C)	25 Unit Jenis Rt-G Di Atas Pt4611 Hingga Pt4622, Pt4729 Dan Pt4819 Hingga Pt4830,
D)	8 Unit Jenis Rt-H Di Atas Pt4579 Hingga Pt4586;
Mukim Hulu Kelang, Daerah Gombak, Selangor Darul Ehsan.</v>
      </c>
      <c r="F226" s="98" t="str">
        <f>IF(rekod!F219="","",rekod!F219)</f>
        <v>DITANGGUHKAN</v>
      </c>
    </row>
    <row r="227" spans="1:6" s="69" customFormat="1" ht="309.75" customHeight="1" x14ac:dyDescent="0.3">
      <c r="A227" s="68">
        <f>IF(rekod!B220="","",A226+1)</f>
        <v>214</v>
      </c>
      <c r="B227" s="106" t="str">
        <f>IF(A227="","",UPPER(rekod!B220))</f>
        <v>TETUAN EDISI MEGAH SDN. BHD.</v>
      </c>
      <c r="C227" s="98" t="str">
        <f>IF(B227="","",rekod!D220)</f>
        <v>MPSpg</v>
      </c>
      <c r="D227" s="98">
        <f>IF(B227="","",rekod!E220)</f>
        <v>2021</v>
      </c>
      <c r="E227" s="95" t="str">
        <f>IF(B227="","",PROPER(rekod!H220))</f>
        <v>Permohonan Kebenaran Merancang Bagi Cadangan Skim Pembangunan Yang Mengandungi :-
Fasa 4A
I.	1 Unit Kompleks Sekolah Awam
Ii.	1 Unit Pencawang Pembahagi Utama Awam (Ppu)
Fasa 4B
I.	Plot Perniagaan (9.46 Ekar)
Fasa 4B1
I.	Plot Perniagaan (1.0 Ekar)
Fasa 4C
I.	Plot Perniagaan (9.05 Ekar)
Plot Pertanian
I.	Plot Pertanian (67.42 Ekar)
Melalui Serah Balik Dan Berimilik Semula Tanah Dibawah Seksyen 204B, Kanun Tanah Negara (Ktn) 1965, Di Atas Pt 60669, Tanah Simpanan Melayu Dengkil, Cybersouth, Mukim Dengkil, Daerah Sepang, Selangor Darul Ehsan Secara Usahasama Dengan Permodalan Negeri Selangor Berhdad (Pnsb)</v>
      </c>
      <c r="F227" s="98" t="str">
        <f>IF(rekod!F220="","",rekod!F220)</f>
        <v>BERSETUJU</v>
      </c>
    </row>
    <row r="228" spans="1:6" s="69" customFormat="1" ht="70.5" customHeight="1" x14ac:dyDescent="0.3">
      <c r="A228" s="68">
        <f>IF(rekod!B221="","",A227+1)</f>
        <v>215</v>
      </c>
      <c r="B228" s="106" t="str">
        <f>IF(A228="","",UPPER(rekod!B221))</f>
        <v>TETUAN MOHAMMED NASH'AD EMIR BIN JAMIL</v>
      </c>
      <c r="C228" s="98" t="str">
        <f>IF(B228="","",rekod!D221)</f>
        <v>MBPJ</v>
      </c>
      <c r="D228" s="98">
        <f>IF(B228="","",rekod!E221)</f>
        <v>2021</v>
      </c>
      <c r="E228" s="95" t="str">
        <f>IF(B228="","",PROPER(rekod!H221))</f>
        <v xml:space="preserve">Permohonan Kebenaran Merancang Bagi Cadangan Membina Sebuah Rumah Sesebuah Tiga Tingkat Dan Kolam Renang Di Atas Lot Pt573, Jalan 5/66A, Bandar Petaling Jaya, Daerah Petaling, Selangor Darul Ehsan. </v>
      </c>
      <c r="F228" s="98" t="str">
        <f>IF(rekod!F221="","",rekod!F221)</f>
        <v>BERSETUJU</v>
      </c>
    </row>
    <row r="229" spans="1:6" s="69" customFormat="1" ht="243" customHeight="1" x14ac:dyDescent="0.3">
      <c r="A229" s="68">
        <f>IF(rekod!B222="","",A228+1)</f>
        <v>216</v>
      </c>
      <c r="B229" s="106" t="str">
        <f>IF(A229="","",UPPER(rekod!B222))</f>
        <v>TETUAN SAUJANA TRIANGLE SDN. BHD. (TERES)</v>
      </c>
      <c r="C229" s="98" t="str">
        <f>IF(B229="","",rekod!D222)</f>
        <v>MBPJ</v>
      </c>
      <c r="D229" s="98">
        <f>IF(B229="","",rekod!E222)</f>
        <v>2021</v>
      </c>
      <c r="E229" s="95" t="str">
        <f>IF(B229="","",PROPER(rekod!H222))</f>
        <v xml:space="preserve">Permohonan Pindaan Kebenaran Merancang Mengikut Seksyen 21 Akta 172 Ke Atas Pelan Lulus (Bil.: P04174/S/002 Bertarikh 6 April 2006) Bagi Cadangan Pembangunan Perumahan Yang Melibatkan :-
	Daripada 
I.	70 Unit Rumah Berkembar
	Kepada
I.	Fasa 1 : 50 Unit Rumah Teres
Ii.	Fasa 2 : 27 Unit Rumah Teres &amp; 1 Unit Pencawang Elektrik
Iii.	Fasa 3 : 36 Unit Rumah Teres
Beserta Penyerahan Balik Dan Pemberimilikan Semula Dibawah Seksyen 204B Kanun Tanah Negara Di Atas Pt 46586 – Pt 46637 &amp; Pt 46675 – Pt 46692 (Dahulunya Sebahagian Daripada Lot Asal Pt 44011), Mukim Sungai Buloh, Daerah Petaling, Selangor Darul Ehsan. </v>
      </c>
      <c r="F229" s="98" t="str">
        <f>IF(rekod!F222="","",rekod!F222)</f>
        <v>BERSETUJU</v>
      </c>
    </row>
    <row r="230" spans="1:6" s="69" customFormat="1" ht="409.5" customHeight="1" x14ac:dyDescent="0.3">
      <c r="A230" s="68">
        <f>IF(rekod!B223="","",A229+1)</f>
        <v>217</v>
      </c>
      <c r="B230" s="106" t="str">
        <f>IF(A230="","",UPPER(rekod!B223))</f>
        <v>TETUAN SAUJANA TRIANGLE SDN. BHD. (APARTMENT)</v>
      </c>
      <c r="C230" s="98" t="str">
        <f>IF(B230="","",rekod!D223)</f>
        <v>MBPJ</v>
      </c>
      <c r="D230" s="98">
        <f>IF(B230="","",rekod!E223)</f>
        <v>2021</v>
      </c>
      <c r="E230" s="95" t="str">
        <f>IF(B230="","",PROPER(rekod!H223))</f>
        <v xml:space="preserve">Permohonan Kebenaran Merancang Mengikut Seksyen 21 Akta 172 Bagi Cadangan Pembangunan Perumahan Yang Mengandungi :-
	Plot A
I.	1 Blok Pangsapuri 24 Tingkat (268 Unit) Beserta Podium Tempat Letak Kenderaan 6 Tingkat Dan Kemudahan 1 Tingkat – Blok 1
Ii.	1 Blok Pangsapuri 21 Tingkat (232 Unit) Beserta Kemudahan 1 Tingkat, Dewan Serbaguna 1 Tingkat Dan Lobi 1 Tingkat – Blok 2
Iii.	1 Unit Gimnasium 1 Tingkat
Iv.	1 Unit Rumah Pengawal
V.	1 Unit Kebuk Sampah Utama
Plot B
I.	30 Unit Rumah Bandar Duplex 6 Tingkat Beserta Tempat Letak Kenderaan 4 Tingkat
Ii.	16 Unit Rumah Bandar Duplex Berkembar 4 Tingkat Beserta Tempat Letak Kereta Kenderaan 1 Tingkat
Iii.	20 Unit Rumah Berkembar 3 Tingkat
Iv.	27 Unit Rumah Banglo 3 Tingkat
V.	1 Unit Rumah Pengawal
Vi.	1 Unit Kebuk Sampah Utama
Vii.	1 Unit Pencawang Elektrik
Beserta Penyerahan Balik Dan Pemberimilikan Semula Dibawah Seksyen 204B Kanun Tanah Negara Di Atas Pt46696 (Hsd 234003), Pju8, Damansara Perdana Mukim Sungai Buloh, Daerah Petaling, Selangor Darul Ehsan. </v>
      </c>
      <c r="F230" s="98" t="str">
        <f>IF(rekod!F223="","",rekod!F223)</f>
        <v>BERSETUJU</v>
      </c>
    </row>
    <row r="231" spans="1:6" s="69" customFormat="1" ht="117.75" customHeight="1" x14ac:dyDescent="0.3">
      <c r="A231" s="68">
        <f>IF(rekod!B224="","",A230+1)</f>
        <v>218</v>
      </c>
      <c r="B231" s="106" t="str">
        <f>IF(A231="","",UPPER(rekod!B224))</f>
        <v>TETUAN  SCIENTEX PARK (M) SDN. BHD</v>
      </c>
      <c r="C231" s="98" t="str">
        <f>IF(B231="","",rekod!D224)</f>
        <v>MPKj</v>
      </c>
      <c r="D231" s="98">
        <f>IF(B231="","",rekod!E224)</f>
        <v>2021</v>
      </c>
      <c r="E231" s="95" t="str">
        <f>IF(B231="","",PROPER(rekod!H224))</f>
        <v>Permohonan Kebenaran Merancang Dibawah Seksyen 21 Akta 172, Bagi Tujuan Serah Balik Dan Beri Milik Semula Tanah Mengikut Seksyen 204B Kanun Tanah Negara (Ktn) Bagi Cadangan Pembangunan Perumahan Skim Gated Komuniti Dibawah Seksyen 6(1) Akta 316 (Akta Hakmilik Strata 1985) Dan Perniagaan Di Atas Lot 4955, Lot 763, Lot 178, Lot 1138, Lot 1575 &amp; Lot 1708, Mukim Hulu Langat, Daerah Hulu Langat, Selangor Darul Ehsan.</v>
      </c>
      <c r="F231" s="98" t="str">
        <f>IF(rekod!F224="","",rekod!F224)</f>
        <v>BERSETUJU</v>
      </c>
    </row>
    <row r="232" spans="1:6" s="69" customFormat="1" ht="92.25" customHeight="1" x14ac:dyDescent="0.3">
      <c r="A232" s="68">
        <f>IF(rekod!B225="","",A231+1)</f>
        <v>219</v>
      </c>
      <c r="B232" s="106" t="str">
        <f>IF(A232="","",UPPER(rekod!B225))</f>
        <v>TETUAN SIME DARBY PROPERTY (SERENIA CITY) SDN. BHD.</v>
      </c>
      <c r="C232" s="98" t="str">
        <f>IF(B232="","",rekod!D225)</f>
        <v>MPSpg</v>
      </c>
      <c r="D232" s="98">
        <f>IF(B232="","",rekod!E225)</f>
        <v>2022</v>
      </c>
      <c r="E232" s="95" t="str">
        <f>IF(B232="","",PROPER(rekod!H225))</f>
        <v xml:space="preserve">Permohonan Kebenaran Merancang Bagi Cadangan Pembangunan Bercampur Melalui Serahbalik Dan Berimilik Semula Di Bawah Seksyen 204B, Kanun Tanah Negara, Di Atas Lot 115633, Lot 115634, Lot 115635, Pt 55389, Dan Pt 55390 Bandar Serenia (Fasa 3), Mukim Dengkil, Daerah Sepang, Selangor Darul Ehsan. </v>
      </c>
      <c r="F232" s="98" t="str">
        <f>IF(rekod!F225="","",rekod!F225)</f>
        <v>BERSETUJU</v>
      </c>
    </row>
    <row r="233" spans="1:6" s="69" customFormat="1" ht="115.5" customHeight="1" x14ac:dyDescent="0.3">
      <c r="A233" s="68">
        <f>IF(rekod!B226="","",A232+1)</f>
        <v>220</v>
      </c>
      <c r="B233" s="106" t="str">
        <f>IF(A233="","",UPPER(rekod!B226))</f>
        <v>TETUAN VENICE HILL RESORT SDN. BHD.</v>
      </c>
      <c r="C233" s="98" t="str">
        <f>IF(B233="","",rekod!D226)</f>
        <v>MPKj</v>
      </c>
      <c r="D233" s="98">
        <f>IF(B233="","",rekod!E226)</f>
        <v>2022</v>
      </c>
      <c r="E233" s="95" t="str">
        <f>IF(B233="","",PROPER(rekod!H226))</f>
        <v xml:space="preserve">Permohonan Kebenaran Merancang Pelan Susunatur Secara Serah Balik Dan Pemberimilikan Semula Di Bawah Seksyen 204, Kanun Tanah Negara Bagi Cadangan Pembangunan Pangsapuri Kos Bebas, Masjid, Sekolah Rendah (Sedia Ada), Loji Rawatan Iwk (Sedia Ada), Pencawang Elektrik Tnb (Sedia Ada) Dan Dewan Orang Ramai Diatas Lot 1014, Batu 8¾, Jalan Cheras-Kuala Lumpur, Mukim Cheras, Daerah Hulu Langat, Selangor Darul Ehsan. </v>
      </c>
      <c r="F233" s="98" t="str">
        <f>IF(rekod!F226="","",rekod!F226)</f>
        <v>DITOLAK</v>
      </c>
    </row>
    <row r="234" spans="1:6" s="69" customFormat="1" ht="217.5" customHeight="1" x14ac:dyDescent="0.3">
      <c r="A234" s="68">
        <f>IF(rekod!B227="","",A233+1)</f>
        <v>221</v>
      </c>
      <c r="B234" s="106" t="str">
        <f>IF(A234="","",UPPER(rekod!B227))</f>
        <v>TETUAN JADE CLASSIC SDN BHD</v>
      </c>
      <c r="C234" s="98" t="str">
        <f>IF(B234="","",rekod!D227)</f>
        <v>MPSpg</v>
      </c>
      <c r="D234" s="98">
        <f>IF(B234="","",rekod!E227)</f>
        <v>2022</v>
      </c>
      <c r="E234" s="95" t="str">
        <f>IF(B234="","",PROPER(rekod!H227))</f>
        <v xml:space="preserve">Permohonan Kebenaran Merancang Bagi Pendirian Bangunan Pangsapuri Rumah Selangorku 22 Tingkat (278 Unit) Di Bawah Seksyen 6, Akta Hakmilik Strata 1985 (Akta 318) Yang Mengandungi:-
1)	Rumah Selangorku 18 Tingkat - 68 Unit Jenis A (700Kp), 1 Unit Jenis A1 (Unit Oku) (775Kp), 68 Unit Jenis B (750Kp), 1 Unit
Jenis B1 (Unit Oku) (775Kp), 70 Unit Jenis C (800Kp) Dan 70 Unit Jenis D (900Kp)
2)	Tempat Letak Kereta 4 Tingkat Dengan Kemudahan Seperti 1 Unit Tadika, 1 Unit Dewan Serbaguna, 1 Unit Surau, 1 Unit Perpustakaan, 1 Unit Pejabat Pengurusan, 1 Unit Pondok Pengawal, 1 Unit Kebuk Sampah Dan Ruang Rekreasi
Di Atas Pt 68745 (Dahulunya Sebahagian Lot 47954), Cybersouth, Mukim Dengkil, Daerah Sepang, Selangor Darul Ehsan.  </v>
      </c>
      <c r="F234" s="98" t="str">
        <f>IF(rekod!F227="","",rekod!F227)</f>
        <v>DITOLAK</v>
      </c>
    </row>
    <row r="235" spans="1:6" s="69" customFormat="1" ht="108.75" customHeight="1" x14ac:dyDescent="0.3">
      <c r="A235" s="68">
        <f>IF(rekod!B228="","",A234+1)</f>
        <v>222</v>
      </c>
      <c r="B235" s="106" t="str">
        <f>IF(A235="","",UPPER(rekod!B228))</f>
        <v>TETUAN FIRST ALLIED HOLDINGS SDN. BHD.</v>
      </c>
      <c r="C235" s="98" t="str">
        <f>IF(B235="","",rekod!D228)</f>
        <v>MPKL</v>
      </c>
      <c r="D235" s="98">
        <f>IF(B235="","",rekod!E228)</f>
        <v>2022</v>
      </c>
      <c r="E235" s="95" t="str">
        <f>IF(B235="","",PROPER(rekod!H228))</f>
        <v xml:space="preserve">Permohonan Kebenaran Merancang (Pelan Konsep) Mengikut Seksyen 21 Akta 172 Bagi Tujuan Serah Balik Dan Berimilik Semula Di Bawah Seksyen 204B Kanun Tanah Negara Untuk Cadangan Pembangunan Pusat Pelancongan Dan Peranginan Bersepadu Di Atas Lot 34497 Dan Lot 34498 Mukim Tanjung Dua Belas, Daerah Kuala Langat, Selangor Darul Ehsan. </v>
      </c>
      <c r="F235" s="98" t="str">
        <f>IF(rekod!F228="","",rekod!F228)</f>
        <v>BERSETUJU</v>
      </c>
    </row>
    <row r="236" spans="1:6" s="69" customFormat="1" ht="73.5" customHeight="1" x14ac:dyDescent="0.3">
      <c r="A236" s="68">
        <f>IF(rekod!B229="","",A235+1)</f>
        <v>223</v>
      </c>
      <c r="B236" s="106" t="str">
        <f>IF(A236="","",UPPER(rekod!B229))</f>
        <v>TETUAN GS HILL SDN. BHD</v>
      </c>
      <c r="C236" s="98" t="str">
        <f>IF(B236="","",rekod!D229)</f>
        <v>MBPJ</v>
      </c>
      <c r="D236" s="98">
        <f>IF(B236="","",rekod!E229)</f>
        <v>2022</v>
      </c>
      <c r="E236" s="95" t="str">
        <f>IF(B236="","",PROPER(rekod!H229))</f>
        <v xml:space="preserve">Permohonan Pindaan Kebenaran Merancang Bagi Cadangan Membina Rumah Sesebuah 3 Tingkat Di Atas Lot 564 (Pt 564), Bandar Petaling Jaya, Daerah Petaling Jaya, Di Alamat 564, Jalan 5/66, Petaling Jaya,  Selangor Darul Ehsan. </v>
      </c>
      <c r="F236" s="98" t="str">
        <f>IF(rekod!F229="","",rekod!F229)</f>
        <v>BERSETUJU</v>
      </c>
    </row>
    <row r="237" spans="1:6" s="69" customFormat="1" ht="308.25" customHeight="1" x14ac:dyDescent="0.3">
      <c r="A237" s="68">
        <f>IF(rekod!B230="","",A236+1)</f>
        <v>224</v>
      </c>
      <c r="B237" s="106" t="str">
        <f>IF(A237="","",UPPER(rekod!B230))</f>
        <v>TETUAN KINGSLEY HILLS SDN.  BHD.</v>
      </c>
      <c r="C237" s="98" t="str">
        <f>IF(B237="","",rekod!D230)</f>
        <v>MBSJ</v>
      </c>
      <c r="D237" s="98">
        <f>IF(B237="","",rekod!E230)</f>
        <v>2022</v>
      </c>
      <c r="E237" s="95" t="str">
        <f>IF(B237="","",PROPER(rekod!H230))</f>
        <v>Permohonan Serentak Serah Balik Di Bawah Seksyen 197 Dan Berimilik Semula Tanah Dibawah Seksyen 76, Kanun Tanah Negara Dan Pindaan Kebenaran Merancang Pelan Susunatur Yang Telah Diluluskan (No. Rujukan: Mpsj/ Jbp/ 600-1/1 Bp3-9 Jld 2 Bertarikh 18 Januari 2017), Bagi Cadangan Pembangunan Yang Mengandungi: 
A. 100 Unit Rumah Sesebuah 
B. 174 Unit Rumah Berkembar 
C. 1 Lot Pangsapuri Harga Bebas (616 Unit) 
D. 1 Lot Pangsapuri Harga Bebas (76 Unit) 
E.  1 Lot Sekolah Antarabangsa
F.	1 Lot Hostel 
G. 1 Unit Rumah Kelab 
Di Atas Pt 35824 Hingga Pt35827, Pt35829, Pt 36106 Hingga Pt 36109, Pt 36148 Hingga Pt 36150, Pt 36200 Hingga Pt 36213, Pt 36223, Pt 36284 Hingga Pt 36291, Pt 36295 Hingga Pt 36300. Pt 36303, Pt 36304 Dan Pt 36311, Kingley Hills, Putra Heights, Subang Jaya, Mukim Damansara, Daerah Petaling, Selangor Darul Ehsan.</v>
      </c>
      <c r="F237" s="98" t="str">
        <f>IF(rekod!F230="","",rekod!F230)</f>
        <v>DITOLAK</v>
      </c>
    </row>
    <row r="238" spans="1:6" s="69" customFormat="1" ht="108.75" customHeight="1" x14ac:dyDescent="0.3">
      <c r="A238" s="68">
        <f>IF(rekod!B231="","",A237+1)</f>
        <v>225</v>
      </c>
      <c r="B238" s="106" t="str">
        <f>IF(A238="","",UPPER(rekod!B231))</f>
        <v>TETUAN LANDMARK CONCORD RESORTS SDN BHD.</v>
      </c>
      <c r="C238" s="98" t="str">
        <f>IF(B238="","",rekod!D231)</f>
        <v>MPHS</v>
      </c>
      <c r="D238" s="98">
        <f>IF(B238="","",rekod!E231)</f>
        <v>2022</v>
      </c>
      <c r="E238" s="95" t="str">
        <f>IF(B238="","",PROPER(rekod!H231))</f>
        <v>Permohonan Kebenaran Merancang Mengikut Seksyen 21 Akta 172, Bagi Maksud Penyerahanbalik Dan Pemberimilikan Semula Di Bawah Seksyen 204B, Kanun Tanah Negara (Ktn) Bagi Cadangan Pembangunan Industri, Di Atas Lot 2100-2108, Lot 1258 Dan Lot 1795, Mukim Serendah, Ulu Selangor, Selangor Darul Ehsan. (Mdhs / Ptd Hulu Selangor)</v>
      </c>
      <c r="F238" s="98" t="str">
        <f>IF(rekod!F231="","",rekod!F231)</f>
        <v>BERSETUJU</v>
      </c>
    </row>
    <row r="239" spans="1:6" s="69" customFormat="1" ht="177.75" customHeight="1" x14ac:dyDescent="0.3">
      <c r="A239" s="68">
        <f>IF(rekod!B232="","",A238+1)</f>
        <v>226</v>
      </c>
      <c r="B239" s="106" t="str">
        <f>IF(A239="","",UPPER(rekod!B232))</f>
        <v>TETUAN BINASTRA LAND SDN. BHD.</v>
      </c>
      <c r="C239" s="98" t="str">
        <f>IF(B239="","",rekod!D232)</f>
        <v>MPAJ</v>
      </c>
      <c r="D239" s="98">
        <f>IF(B239="","",rekod!E232)</f>
        <v>2022</v>
      </c>
      <c r="E239" s="95" t="str">
        <f>IF(B239="","",PROPER(rekod!H232))</f>
        <v>Permohonan Kebenaran Merancang Bagi Tujuan Serah Balik Dan Memberimilik Semula Di Bawah Seksyen 197 Dan 76 (Kanun Tanah Negara) Untuk Pembangunan Pangsapuri Yang Mengandungi : 
A.	Pangsapuri Kos Bebas Skyvilla - 219 Unit 
B.	Pangsapuri Selangorku Jenis E - 55 Unit 
C.	Pondok Pengawal - 1 Unit 
Di Atas Lot Pt 18763 (Hsm 15133) [ Lot Lama Lot 15690 (Pt 14872) Dan Lot 18631 (Pt 16431)  Dan Sebahagian Tanah Kerajaan Yang Dipohon, Mukim Ulu Kelang, Daerah Gombak Selangor Darul Ehsan. (Mpaj / Ptd Gombak)</v>
      </c>
      <c r="F239" s="98" t="str">
        <f>IF(rekod!F232="","",rekod!F232)</f>
        <v>BERSETUJU</v>
      </c>
    </row>
    <row r="240" spans="1:6" s="69" customFormat="1" ht="74.25" customHeight="1" x14ac:dyDescent="0.3">
      <c r="A240" s="68">
        <f>IF(rekod!B233="","",A239+1)</f>
        <v>227</v>
      </c>
      <c r="B240" s="106" t="str">
        <f>IF(A240="","",UPPER(rekod!B233))</f>
        <v>TETUAN TAN LOKE MUN, KENNETH KOH SENG KEE &amp; LOO JIAN SERN</v>
      </c>
      <c r="C240" s="98" t="str">
        <f>IF(B240="","",rekod!D233)</f>
        <v>MBPJ</v>
      </c>
      <c r="D240" s="98">
        <f>IF(B240="","",rekod!E233)</f>
        <v>2022</v>
      </c>
      <c r="E240" s="95" t="str">
        <f>IF(B240="","",PROPER(rekod!H233))</f>
        <v>Permohonan Kebenaran Merancang Bagi Cadangan Membina Sebuah Rumah Tingkat Di Atas Lot 574, Lorong 5/66A Seksyen 19, Bandar Petaling Jaya, Daerah Petaling, Selangor Darul Ehsan. (Mbpj / Ptd Petaling)</v>
      </c>
      <c r="F240" s="98" t="str">
        <f>IF(rekod!F233="","",rekod!F233)</f>
        <v>BERSETUJU</v>
      </c>
    </row>
    <row r="241" spans="1:6" s="69" customFormat="1" ht="96.75" customHeight="1" x14ac:dyDescent="0.3">
      <c r="A241" s="68">
        <f>IF(rekod!B234="","",A240+1)</f>
        <v>228</v>
      </c>
      <c r="B241" s="106" t="str">
        <f>IF(A241="","",UPPER(rekod!B234))</f>
        <v>TETUAN PENGURUSAN ASET AIR BERHAD.</v>
      </c>
      <c r="C241" s="98" t="str">
        <f>IF(B241="","",rekod!D234)</f>
        <v>MPKj</v>
      </c>
      <c r="D241" s="98">
        <f>IF(B241="","",rekod!E234)</f>
        <v>2022</v>
      </c>
      <c r="E241" s="95" t="str">
        <f>IF(B241="","",PROPER(rekod!H234))</f>
        <v>Cadangan Projek Loji Rawatan Air Langat 2 Dan Kerja- Kerja Pengagihan Air Di Negeri Selangor Darul Ehsan / Wilayah Persekutuan Kuala Lumpur.
Permohonan Kebenaran Merancang Bagi Cadangan Bagi Tapak Pelupusan Enapcemar Langat 2 (Pakej 3), Mukim Hulu Langat, Daerah Hulu Langat, Selangor Darul Ehsan.</v>
      </c>
      <c r="F241" s="98" t="str">
        <f>IF(rekod!F234="","",rekod!F234)</f>
        <v>BERSETUJU</v>
      </c>
    </row>
    <row r="242" spans="1:6" s="69" customFormat="1" ht="66" customHeight="1" x14ac:dyDescent="0.3">
      <c r="A242" s="68">
        <f>IF(rekod!B235="","",A241+1)</f>
        <v>229</v>
      </c>
      <c r="B242" s="106" t="str">
        <f>IF(A242="","",UPPER(rekod!B235))</f>
        <v>TETUAN BONAVA SDN. BHD.</v>
      </c>
      <c r="C242" s="98" t="str">
        <f>IF(B242="","",rekod!D235)</f>
        <v>MBSA</v>
      </c>
      <c r="D242" s="98">
        <f>IF(B242="","",rekod!E235)</f>
        <v>2022</v>
      </c>
      <c r="E242" s="95" t="str">
        <f>IF(B242="","",PROPER(rekod!H235))</f>
        <v xml:space="preserve">Permohonan Kebenaran Merancang Bagi Cadangan Pelan Susunatur Di Bawah Akta 204D, Kanun Tanah Negara, Di Atas Pt40733, Seksyen U10, Mukim Bukit Raja, Daerah Petaling, Selangor Darul Ehsan. </v>
      </c>
      <c r="F242" s="98" t="str">
        <f>IF(rekod!F235="","",rekod!F235)</f>
        <v>DITOLAK</v>
      </c>
    </row>
    <row r="243" spans="1:6" ht="409.5" customHeight="1" x14ac:dyDescent="0.25">
      <c r="A243" s="68">
        <f>IF(rekod!B236="","",A242+1)</f>
        <v>230</v>
      </c>
      <c r="B243" s="106" t="str">
        <f>IF(A243="","",UPPER(rekod!B236))</f>
        <v>TETUAN HIJRAH MURNI (M) SDN. BHD.</v>
      </c>
      <c r="C243" s="98" t="str">
        <f>IF(B243="","",rekod!D236)</f>
        <v>MPSpg</v>
      </c>
      <c r="D243" s="98">
        <f>IF(B243="","",rekod!E236)</f>
        <v>2022</v>
      </c>
      <c r="E243" s="95" t="str">
        <f>IF(B243="","",PROPER(rekod!H236))</f>
        <v>Permohonan Pindaan Kebenaran Merancang Bagi Pendirian Bangunan Atas Pelan Susunatur Yang Telah Diluluskan Dengan Rujukan Mp Sepang/Ps/600-43/3/583 Bertarikh 07Hb Jun 2017 Untuk Pembangunan Yang Mengandungi: 
Daripada:
1)	Rumah Selangorku Jenis A - 100 Unit (11 Tingkat)
2)	Rumah Selangorku Jenis B - 100 Unit (11 Tingkat) 
3)	Rumah Selangorku Jenis C - 52 Unit (8 Tingkat)
4)	Rumah Selangorku Jenis D - 250 Unit (17 Tingkat) 
5)	1 Unit Dewan Serbanguna 1 Unit Pondok Pengawal 4 Unit Kebuk Sampah 
Kepada Rumah Selangorku Idaman:
1)	Blok A - 251 Unit (21 Tingkat) 
2)	Blok B - 251 Unit (21 Tingkat) 
3)	Blok C - 7 Unit Podium Tempat Letak Kereta Berserta 1 Tingkat Kemudahan Sokongan Yang Mengandungi: 
I.	Bilik Peti Surat 
Ii.	 Dewan Serbaguna 
Iii.	Surau (Lelaki &amp; Perempuan) 
Iv.	Pejabat Pengurusan 
V.	 Bilik Kawalan Api 
4)	2 Unit Kebuk Sampah Dan 1 Unit Pondok Pengawal 
Melalui Serahbalik Dan Berimilik Semula Tanah Di Bawah Seksyen 204B  Kanun   Tanah   Negara  (Ktn),   Di  Atas   Lot   38767,    Desa Pinggiran Putra, Mukim Dengkil, Daerah Sepang, Selangor Darul Ehsan.</v>
      </c>
      <c r="F243" s="98" t="str">
        <f>IF(rekod!F236="","",rekod!F236)</f>
        <v>BERSETUJU</v>
      </c>
    </row>
    <row r="244" spans="1:6" ht="117.75" customHeight="1" x14ac:dyDescent="0.25">
      <c r="A244" s="68">
        <f>IF(rekod!B237="","",A243+1)</f>
        <v>231</v>
      </c>
      <c r="B244" s="106" t="str">
        <f>IF(A244="","",UPPER(rekod!B237))</f>
        <v>TETUAN ASET KAYAMAS SDN. BHD.</v>
      </c>
      <c r="C244" s="98" t="str">
        <f>IF(B244="","",rekod!D237)</f>
        <v>MPHS</v>
      </c>
      <c r="D244" s="98">
        <f>IF(B244="","",rekod!E237)</f>
        <v>2022</v>
      </c>
      <c r="E244" s="95" t="str">
        <f>IF(B244="","",PROPER(rekod!H237))</f>
        <v>Permohonan Kebenaran Merancang Bagi Tujuan Penyerahan Balik Dan Pemberimilikan Semula Di Bawah Seksyen 204B , Akta Kanun Tanah Negara ( Ktn ) Bagi Cadangan Pembangunan Bercampur Secara Strata Mengikut Akta Hakmilik Strata 1985 ( Akta 318 ) Di Bawah Seksyen 21 ( 1 ) Akta 172 Di Atas Lot 3278 ( Grn 24223 ) , Seluas 16.781 Ekar , Mukim Batang Kali , Daerah Ulu Selangor , Selangor Darul Ehsan.</v>
      </c>
      <c r="F244" s="98" t="str">
        <f>IF(rekod!F237="","",rekod!F237)</f>
        <v>BERSETUJU</v>
      </c>
    </row>
    <row r="245" spans="1:6" ht="221.25" customHeight="1" x14ac:dyDescent="0.25">
      <c r="A245" s="68">
        <f>IF(rekod!B238="","",A244+1)</f>
        <v>232</v>
      </c>
      <c r="B245" s="106" t="str">
        <f>IF(A245="","",UPPER(rekod!B238))</f>
        <v>TETUAN JADE CLASSIC SDN. BHD.</v>
      </c>
      <c r="C245" s="98" t="str">
        <f>IF(B245="","",rekod!D238)</f>
        <v>MPSpg</v>
      </c>
      <c r="D245" s="98">
        <f>IF(B245="","",rekod!E238)</f>
        <v>2022</v>
      </c>
      <c r="E245" s="95" t="str">
        <f>IF(B245="","",PROPER(rekod!H238))</f>
        <v xml:space="preserve">Permohonan Kebenaran Merancang Bagi Pendirian Bangunan Pangsapuri Rumah Selangorku 22 Tingkat (278 Unit) Di Bawah Seksyen 6, Akta Hakmilik Strata 1985 (Akta 318) Yang Mengandungi:-
1) Rumah Selangorku 18 Tingkat - 68 Unit Jenis A (700Kp), 1 Unit Jenis A1 (Unit Oku) (775Kp), 68 Unit Jenis B (750Kp), 1 Unit Jenis B1 (Unit Oku) (775Kp), 70 Unit Jenis C (800Kp) Dan 70 Unit 
Jenis D (900Kp)
2) Tempat Letak Kereta 4 Tingkat Dengan Kemudahan Seperti 1 Unit Tadika, 1 Unit Dewan Serbaguna, 1 Unit Surau, 1 Unit Perpustakaan, 1 Unit Pejabat Pengurusan, 1 Unit Pondok Pengawal, 1 Unit Kebuk Sampah Dan Ruang Rekreasi
Di Atas Pt 68745 (Dahulunya Sebahagian Lot 47954), Cybersouth, Mukim Dengkil, Daerah Sepang, Selangor Darul Ehsan.  </v>
      </c>
      <c r="F245" s="98" t="str">
        <f>IF(rekod!F238="","",rekod!F238)</f>
        <v>BERSETUJU</v>
      </c>
    </row>
    <row r="246" spans="1:6" ht="79.5" customHeight="1" x14ac:dyDescent="0.25">
      <c r="A246" s="68">
        <f>IF(rekod!B239="","",A245+1)</f>
        <v>233</v>
      </c>
      <c r="B246" s="106" t="str">
        <f>IF(A246="","",UPPER(rekod!B239))</f>
        <v>TETUAN MAGNA BAY SDN. BHD.</v>
      </c>
      <c r="C246" s="98" t="str">
        <f>IF(B246="","",rekod!D239)</f>
        <v>MPKj</v>
      </c>
      <c r="D246" s="98">
        <f>IF(B246="","",rekod!E239)</f>
        <v>2022</v>
      </c>
      <c r="E246" s="95" t="str">
        <f>IF(B246="","",PROPER(rekod!H239))</f>
        <v xml:space="preserve">Permohonan Pelupusan Secara Pemberimilikan Tanah Kerajaan Di Bawah Seksyen 76, Kanun Tanah Negara, Bandar Cheras, Daerah Hulu Langat, Bagi Tujuan Perusahaan. </v>
      </c>
      <c r="F246" s="98" t="str">
        <f>IF(rekod!F239="","",rekod!F239)</f>
        <v>BERSETUJU</v>
      </c>
    </row>
    <row r="247" spans="1:6" ht="103.5" customHeight="1" x14ac:dyDescent="0.25">
      <c r="A247" s="68">
        <f>IF(rekod!B241="","",A246+1)</f>
        <v>234</v>
      </c>
      <c r="B247" s="106" t="str">
        <f>IF(A247="","",UPPER(rekod!B241))</f>
        <v>TETUAN TRIDENT TREASURE SDN. BHD.</v>
      </c>
      <c r="C247" s="98" t="str">
        <f>IF(B247="","",rekod!D241)</f>
        <v>MBSJ</v>
      </c>
      <c r="D247" s="98">
        <f>IF(B247="","",rekod!E241)</f>
        <v>2022</v>
      </c>
      <c r="E247" s="95" t="str">
        <f>IF(B247="","",PROPER(rekod!H241))</f>
        <v xml:space="preserve">Permohonan Pindaan Kebenaran Merancang (Pelan Susunatur Yang Telah Diluluskan Bil. Mpsj/Jpb/600-1/2/14/Ps(A) Bertarikh 15 Februari 2022) Bagi Sebahagian Pembangunan Bercampur Di Atas Pt 62420 Dan Pt 62421, Taman Puj 9/11, Bandar Putra Permai, Mukim Petaling, Daerah Petaling, Selangor Darul Ehsan. </v>
      </c>
      <c r="F247" s="98" t="str">
        <f>IF(rekod!F241="","",rekod!F241)</f>
        <v>DITOLAK</v>
      </c>
    </row>
    <row r="248" spans="1:6" ht="258.75" hidden="1" x14ac:dyDescent="0.25">
      <c r="A248" s="68">
        <f>IF(rekod!B242="","",A247+1)</f>
        <v>235</v>
      </c>
      <c r="B248" s="106" t="str">
        <f>IF(A248="","",UPPER(rekod!B242))</f>
        <v>TETUAN FIESTA SENADA SDN. BHD.</v>
      </c>
      <c r="C248" s="98" t="str">
        <f>IF(B248="","",rekod!D242)</f>
        <v>MPKj</v>
      </c>
      <c r="D248" s="98">
        <f>IF(B248="","",rekod!E242)</f>
        <v>2022</v>
      </c>
      <c r="E248" s="95" t="str">
        <f>IF(B248="","",PROPER(rekod!H242))</f>
        <v xml:space="preserve">Permohonan Kebenaran Merancang Bagi Cadangan Pelan Susunatur Membina Pangsapuri Yang Mengandungi :
Plot 1
I.	1 Blok (Blok A) Pangsapuri Kos Bebas (241 Unit) 26 Tingkat Termasuk 4 Tingkat Podium Tempat Letak Kereta &amp; Kemudahan
Ii.	1 Blok (Blok B) Pangsapuri Kos Bebas (241 Unit) 26 Tingkat Termasuk 4 Tingkat Podium Tempat Letak Kereta &amp; Kemudahan
Plot 2
I.	1 Blok (Blok A) Pangsapuri Rsku (288 Unit) Jenis B – 96 Unit, Jenis C – 96 Unit &amp; Jenisd 96 Unit, 22 Tingkat Termasuk 5 Tingkat Podium Tempat Letak Kereta &amp; 1 Tingkat Kemudahan
Ii.	1 Blok (Blok B) Pangsapuri Rsku (194 Unit) Jenis A-194 Unit, 16 Tingkat Termasuk 3 Tingkat Podium Tempat Letak Kereta &amp; Kemudahan 
Di Bawah Seksyen 204D Kanun Tanah Negara Di Atas Lot 1211, Mukim Cheras, Daerah Hulu Langat, Selangor Darul Ehsan. </v>
      </c>
      <c r="F248" s="98" t="str">
        <f>IF(rekod!F242="","",rekod!F242)</f>
        <v>BERSETUJU</v>
      </c>
    </row>
    <row r="249" spans="1:6" ht="120.75" hidden="1" x14ac:dyDescent="0.25">
      <c r="A249" s="68">
        <f>IF(rekod!B243="","",A248+1)</f>
        <v>236</v>
      </c>
      <c r="B249" s="106" t="str">
        <f>IF(A249="","",UPPER(rekod!B243))</f>
        <v xml:space="preserve">TETUAN NCT LAND SDN. BHD. DAN NCT CONSOLIDATED SDN. BHD. </v>
      </c>
      <c r="C249" s="98" t="str">
        <f>IF(B249="","",rekod!D243)</f>
        <v>MPKL</v>
      </c>
      <c r="D249" s="98">
        <f>IF(B249="","",rekod!E243)</f>
        <v>2022</v>
      </c>
      <c r="E249" s="95" t="str">
        <f>IF(B249="","",PROPER(rekod!H243))</f>
        <v>Permohonan Kebenaran Merancang Mengikut Seksyen 21(1), Akta Perancangan Bandar Dan Desa 1976 (Akta 172) Bagi Penyerahan Balik Dan Berimilik Semula Di Bawah Seksyen 204B Kanun Tanah Negara 1965 (Akta 56) Bagi Cadangan Perindustrian ‘Managed Industrial Park’  (Mip)  Di Atas  Lot 12193, Pt34036,  Pt34037,  Pt34038, Pt 34039 Pt34040 Dan Pt34043 Berkeluasan 732.53 Ekar, Mukim Tanjong Duabelas, Daerah Kuala Langat, Selangor Darul Ehsan.</v>
      </c>
      <c r="F249" s="98" t="str">
        <f>IF(rekod!F243="","",rekod!F243)</f>
        <v>BERSETUJU</v>
      </c>
    </row>
    <row r="250" spans="1:6" ht="345" hidden="1" x14ac:dyDescent="0.25">
      <c r="A250" s="68">
        <f>IF(rekod!B244="","",A249+1)</f>
        <v>237</v>
      </c>
      <c r="B250" s="106" t="str">
        <f>IF(A250="","",UPPER(rekod!B244))</f>
        <v>TETUAN AMONA MKH VENTURES SDN. BHD.</v>
      </c>
      <c r="C250" s="98" t="str">
        <f>IF(B250="","",rekod!D244)</f>
        <v>MPKj</v>
      </c>
      <c r="D250" s="98">
        <f>IF(B250="","",rekod!E244)</f>
        <v>2022</v>
      </c>
      <c r="E250" s="95" t="str">
        <f>IF(B250="","",PROPER(rekod!H244))</f>
        <v>Permohonan Kebenaran Merancang Pendirian Bangunan Bagi Cadangan Pembangunan Perumahan Yang Mengandungi : 
Plot 1 
I.	2 Blok Kondominium (524 Unit)
A)	Blok A – 23 Tingkat 260 Unit Beserta 1 Tingkat Kemudahan (Tingkat 1)
B)	Blok C – 22 Tingkat 264 Unit
Ii.	1 Blok Podium 4 Tingkat (Blok B) Yang Mengandungi :
A)	4 Tingkat Tempat Letak Kereta
B)	1 Tingkat Kemudahan Rekreasi (Tingkat 5)
Iii.	1 Unit Kebuk Sampah
Iv.	1 Unit Pondok Pengawal
V.	1 Unit Blok Bangunan Terbahagi Kepada Dua Pencawang Elektrik
Plot 2
I.	1 Blok Rumah Selangorku 17 Tingkat (228 Unit) Termasuk
A)	5 Unit Kedai
B)	1 Blok Podium 5 Tingkat Beserta Kemudahan Rekreasi
Ii.	1 Unit Pondok Pengawal
Di Atas Lot 2005 Dan 1 Unit Stesen Pam Loji Rawatan Kumbahan Lot 2006, Di Bawah Seksyen 137 Dan Seksyen 200 Kanun Tanah Negara 1965 (Akta 56) Mukim Semenyih, Daerah Ulu Langat, Selangor Darul Ehsan.</v>
      </c>
      <c r="F250" s="98" t="str">
        <f>IF(rekod!F244="","",rekod!F244)</f>
        <v>DITOLAK</v>
      </c>
    </row>
    <row r="251" spans="1:6" ht="103.5" hidden="1" x14ac:dyDescent="0.25">
      <c r="A251" s="68">
        <f>IF(rekod!B245="","",A250+1)</f>
        <v>238</v>
      </c>
      <c r="B251" s="106" t="str">
        <f>IF(A251="","",UPPER(rekod!B245))</f>
        <v>TETUAN TROPICANA ALAM SDN. BHD.</v>
      </c>
      <c r="C251" s="98" t="str">
        <f>IF(B251="","",rekod!D245)</f>
        <v>MPKS</v>
      </c>
      <c r="D251" s="98">
        <f>IF(B251="","",rekod!E245)</f>
        <v>2022</v>
      </c>
      <c r="E251" s="95" t="str">
        <f>IF(B251="","",PROPER(rekod!H245))</f>
        <v>Permohonan Kebenaran Merancang Bagi Cadangan Pembangunan Perumahan Teres 2 Tingkat 20’ X 70’ Dan 22’ X 70’ Dan Rumah Selangorku (Rsku) Secara Penyerahan Balik Dan Pemberimilikan Semula Tanah Di Bawah Seksyen 204B Kanun Tanah Negara (Ktn) Di Atas Lot 33962 (Plot C) Seluas 87,423 Ekar, Persiaran Puncak Alam 6, 42300 Bandar Puncak Alam, Mukim Ijok, Daerah Kuala Selangor,Selangor Darul Ehsan</v>
      </c>
      <c r="F251" s="98" t="str">
        <f>IF(rekod!F245="","",rekod!F245)</f>
        <v>DITOLAK</v>
      </c>
    </row>
    <row r="252" spans="1:6" ht="51.75" hidden="1" x14ac:dyDescent="0.25">
      <c r="A252" s="68">
        <f>IF(rekod!B246="","",A251+1)</f>
        <v>239</v>
      </c>
      <c r="B252" s="106" t="str">
        <f>IF(A252="","",UPPER(rekod!B246))</f>
        <v xml:space="preserve">TETUAN GENISAN A/L MUTHAN </v>
      </c>
      <c r="C252" s="98" t="str">
        <f>IF(B252="","",rekod!D246)</f>
        <v>MPHS</v>
      </c>
      <c r="D252" s="98">
        <f>IF(B252="","",rekod!E246)</f>
        <v>2022</v>
      </c>
      <c r="E252" s="95" t="str">
        <f>IF(B252="","",PROPER(rekod!H246))</f>
        <v>Cadangan Pembangunan Inap Dusun Yang Mengandungi 1 Unit Rumah Dusun 2 Tingkat Beserta 1 Tingkat Bawah Tanah Di Atas Lot Pt81, Mukim Buloh Telor, Daerah Hulu Selangor, Selangor Darul Ehsan.</v>
      </c>
      <c r="F252" s="98" t="str">
        <f>IF(rekod!F246="","",rekod!F246)</f>
        <v>DITOLAK</v>
      </c>
    </row>
    <row r="253" spans="1:6" ht="103.5" hidden="1" x14ac:dyDescent="0.25">
      <c r="A253" s="68">
        <f>IF(rekod!B247="","",A252+1)</f>
        <v>240</v>
      </c>
      <c r="B253" s="106" t="str">
        <f>IF(A253="","",UPPER(rekod!B247))</f>
        <v>TETUAN SIME DARBY PROPERTY (LAGONG) SDN. BHD.</v>
      </c>
      <c r="C253" s="98" t="str">
        <f>IF(B253="","",rekod!D247)</f>
        <v>MPS</v>
      </c>
      <c r="D253" s="98">
        <f>IF(B253="","",rekod!E247)</f>
        <v>2022</v>
      </c>
      <c r="E253" s="95" t="str">
        <f>IF(B253="","",PROPER(rekod!H247))</f>
        <v>Permohonan Jawatankuasa Teknikal Kawasan Sensitif Alam Sekitar Negeri Selangor (Jtksas) Di Atas Cadangan Permohonan Pindaan Pelan Induk Pembangunan Bercampur Di Atas Lot 482, 484, 6, 688, 35231, 1424,1000, 1020, 493, 1023, 492, 5399, 1427, 1430, 1876 &amp; 1433, 1434, 993, 494, 491, 41, 42, 4157 Mukim Rawang, Lot 488, 489, 497, 498 Pekan Kuang, Pt 49797 Dan Lot 35227 Lagong Mas, Daerah Gombak, Selangor Darul Ehsan.</v>
      </c>
      <c r="F253" s="98" t="str">
        <f>IF(rekod!F247="","",rekod!F247)</f>
        <v>BERSETUJU</v>
      </c>
    </row>
    <row r="254" spans="1:6" ht="69" hidden="1" x14ac:dyDescent="0.25">
      <c r="A254" s="68">
        <f>IF(rekod!B248="","",A253+1)</f>
        <v>241</v>
      </c>
      <c r="B254" s="106" t="str">
        <f>IF(A254="","",UPPER(rekod!B248))</f>
        <v>TETUAN BAGAN TEGUH SDN. BHD.</v>
      </c>
      <c r="C254" s="98" t="str">
        <f>IF(B254="","",rekod!D248)</f>
        <v>MPKj</v>
      </c>
      <c r="D254" s="98">
        <f>IF(B254="","",rekod!E248)</f>
        <v>2022</v>
      </c>
      <c r="E254" s="95" t="str">
        <f>IF(B254="","",PROPER(rekod!H248))</f>
        <v xml:space="preserve">Permohonan Kebenaran Merancang Bagi Pengesahan Semula Untuk Cadangan Pembangunan 51 Unit Rumah Teres 3 Tingkat (15’ X 55’) Di Atas Pt 13569 Hingga Lot 20032, Mukim Cheras, Daerah Hulu Langat, Selangor Darul Ehsan. </v>
      </c>
      <c r="F254" s="98" t="str">
        <f>IF(rekod!F248="","",rekod!F248)</f>
        <v>BERSETUJU</v>
      </c>
    </row>
    <row r="255" spans="1:6" ht="120.75" hidden="1" x14ac:dyDescent="0.25">
      <c r="A255" s="68">
        <f>IF(rekod!B249="","",A254+1)</f>
        <v>242</v>
      </c>
      <c r="B255" s="106" t="str">
        <f>IF(A255="","",UPPER(rekod!B249))</f>
        <v>TETUAN TEKNI HILIRAN SDN. BHD.</v>
      </c>
      <c r="C255" s="98" t="str">
        <f>IF(B255="","",rekod!D249)</f>
        <v>MPSpg</v>
      </c>
      <c r="D255" s="98">
        <f>IF(B255="","",rekod!E249)</f>
        <v>2022</v>
      </c>
      <c r="E255" s="95" t="str">
        <f>IF(B255="","",PROPER(rekod!H249))</f>
        <v>Permohonan Kebenaran Merancang Bagi Cadangan Pembangunan Yang Mengandungi ;
I)	13 Unit Rumah Sesebuah 2 Tingkat
Di Atas Lot 20834, Lot 20835, Lot 20837, Lot 20838, Lot 20839, Lot 20840, Lot 20841, Lot 20843, Lot 20847, Lot 20848, Lot 20850, Lot 20851 Dan Lot 20852, (Sebahagian Lot Asal Lot 9024), Tanah Simpanan Melayu Sungai Merab, Mukim Dengkil, Daerah Sepang, Selangor Darul Ehsan.</v>
      </c>
      <c r="F255" s="98" t="str">
        <f>IF(rekod!F249="","",rekod!F249)</f>
        <v>DITOLAK</v>
      </c>
    </row>
  </sheetData>
  <sheetProtection selectLockedCells="1"/>
  <autoFilter ref="A13:E255" xr:uid="{00000000-0009-0000-0000-000001000000}">
    <filterColumn colId="3">
      <filters>
        <filter val="2019"/>
        <filter val="2020"/>
        <filter val="2021"/>
        <filter val="2022"/>
      </filters>
    </filterColumn>
    <filterColumn colId="4" showButton="0"/>
  </autoFilter>
  <mergeCells count="5">
    <mergeCell ref="A5:E5"/>
    <mergeCell ref="A4:E4"/>
    <mergeCell ref="A1:F1"/>
    <mergeCell ref="A2:F2"/>
    <mergeCell ref="E176:E177"/>
  </mergeCells>
  <conditionalFormatting sqref="F14:F255">
    <cfRule type="cellIs" dxfId="3" priority="1" operator="equal">
      <formula>$I$17</formula>
    </cfRule>
    <cfRule type="cellIs" dxfId="2" priority="2" operator="equal">
      <formula>$I$16</formula>
    </cfRule>
    <cfRule type="cellIs" dxfId="1" priority="3" operator="equal">
      <formula>$I$15</formula>
    </cfRule>
    <cfRule type="cellIs" dxfId="0" priority="4" operator="equal">
      <formula>$I$14</formula>
    </cfRule>
  </conditionalFormatting>
  <pageMargins left="0.39370078740157483" right="0" top="0.39370078740157483" bottom="0" header="0" footer="0"/>
  <pageSetup paperSize="9" scale="54" orientation="portrait" r:id="rId1"/>
  <rowBreaks count="13" manualBreakCount="13">
    <brk id="130" max="5" man="1"/>
    <brk id="134" max="5" man="1"/>
    <brk id="139" max="5" man="1"/>
    <brk id="146" max="5" man="1"/>
    <brk id="152" max="5" man="1"/>
    <brk id="156" max="5" man="1"/>
    <brk id="161" max="5" man="1"/>
    <brk id="169" max="5" man="1"/>
    <brk id="180" max="5" man="1"/>
    <brk id="189" max="5" man="1"/>
    <brk id="199" max="5" man="1"/>
    <brk id="210" max="5" man="1"/>
    <brk id="222" max="5" man="1"/>
  </rowBreaks>
  <colBreaks count="1" manualBreakCount="1">
    <brk id="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rekod</vt:lpstr>
      <vt:lpstr>Sheet3</vt:lpstr>
      <vt:lpstr>mesy pengarah neg</vt:lpstr>
      <vt:lpstr>rekod!_Hlk167378349</vt:lpstr>
      <vt:lpstr>'mesy pengarah neg'!Print_Area</vt:lpstr>
      <vt:lpstr>rekod!Print_Area</vt:lpstr>
      <vt:lpstr>'mesy pengarah neg'!Print_Titles</vt:lpstr>
      <vt:lpstr>rekod!Print_Titles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YADDY</dc:creator>
  <cp:keywords/>
  <dc:description/>
  <cp:lastModifiedBy>Bahagian Rancangan Pembangunan</cp:lastModifiedBy>
  <cp:revision/>
  <dcterms:created xsi:type="dcterms:W3CDTF">2015-10-29T04:14:53Z</dcterms:created>
  <dcterms:modified xsi:type="dcterms:W3CDTF">2026-10-08T02:20:24Z</dcterms:modified>
  <cp:category/>
  <cp:contentStatus/>
</cp:coreProperties>
</file>